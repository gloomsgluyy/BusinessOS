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1iTkvBpK937YxyZ6l6uiefL5fRPDE04E\00. SUPPLIER\07. ICI\"/>
    </mc:Choice>
  </mc:AlternateContent>
  <xr:revisionPtr revIDLastSave="0" documentId="13_ncr:1_{9F3B8564-BF7C-48A3-9870-FF6E84D272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CI, GNewc, Delta" sheetId="1" r:id="rId1"/>
    <sheet name="HPB Calculation" sheetId="2" r:id="rId2"/>
    <sheet name="HPB" sheetId="3" r:id="rId3"/>
    <sheet name="HD 5000" sheetId="4" r:id="rId4"/>
    <sheet name="HBA" sheetId="5" r:id="rId5"/>
    <sheet name="BAC" sheetId="6" r:id="rId6"/>
  </sheets>
  <definedNames>
    <definedName name="_xlnm._FilterDatabase" localSheetId="4" hidden="1">HBA!$A$2:$V$116</definedName>
    <definedName name="_xlnm._FilterDatabase" localSheetId="0" hidden="1">'ICI, GNewc, Delta'!$A$4:$G$760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wzK3EcJxXpLGfWCHg2YlNANw76k5l2KLue8aAqn6eF8="/>
    </ext>
  </extLst>
</workbook>
</file>

<file path=xl/calcChain.xml><?xml version="1.0" encoding="utf-8"?>
<calcChain xmlns="http://schemas.openxmlformats.org/spreadsheetml/2006/main">
  <c r="V747" i="1" l="1"/>
  <c r="AB747" i="1"/>
  <c r="AC747" i="1"/>
  <c r="AF747" i="1"/>
  <c r="R747" i="1"/>
  <c r="Q747" i="1"/>
  <c r="P747" i="1"/>
  <c r="O747" i="1"/>
  <c r="N747" i="1"/>
  <c r="R746" i="1"/>
  <c r="Q746" i="1"/>
  <c r="P746" i="1"/>
  <c r="O746" i="1"/>
  <c r="N746" i="1"/>
  <c r="R745" i="1"/>
  <c r="Q745" i="1"/>
  <c r="P745" i="1"/>
  <c r="O745" i="1"/>
  <c r="N745" i="1"/>
  <c r="N744" i="1"/>
  <c r="R744" i="1"/>
  <c r="Q744" i="1"/>
  <c r="P744" i="1"/>
  <c r="O744" i="1"/>
  <c r="AH747" i="1"/>
  <c r="AG747" i="1"/>
  <c r="AE747" i="1"/>
  <c r="AD747" i="1"/>
  <c r="AA747" i="1"/>
  <c r="Z747" i="1"/>
  <c r="AR747" i="1" s="1"/>
  <c r="Y747" i="1"/>
  <c r="X747" i="1"/>
  <c r="W747" i="1"/>
  <c r="AO747" i="1"/>
  <c r="U747" i="1"/>
  <c r="T747" i="1"/>
  <c r="S747" i="1"/>
  <c r="M747" i="1"/>
  <c r="L747" i="1"/>
  <c r="K747" i="1"/>
  <c r="J747" i="1"/>
  <c r="I747" i="1"/>
  <c r="H747" i="1"/>
  <c r="A747" i="1"/>
  <c r="M746" i="1"/>
  <c r="M745" i="1"/>
  <c r="AH746" i="1"/>
  <c r="AG746" i="1"/>
  <c r="AF746" i="1"/>
  <c r="AE746" i="1"/>
  <c r="AD746" i="1"/>
  <c r="AC746" i="1"/>
  <c r="AB746" i="1"/>
  <c r="AA746" i="1"/>
  <c r="Z746" i="1"/>
  <c r="AR746" i="1" s="1"/>
  <c r="Y746" i="1"/>
  <c r="X746" i="1"/>
  <c r="W746" i="1"/>
  <c r="V746" i="1"/>
  <c r="AO746" i="1" s="1"/>
  <c r="U746" i="1"/>
  <c r="T746" i="1"/>
  <c r="S746" i="1"/>
  <c r="L746" i="1"/>
  <c r="K746" i="1"/>
  <c r="J746" i="1"/>
  <c r="I746" i="1"/>
  <c r="H746" i="1"/>
  <c r="M744" i="1"/>
  <c r="AH745" i="1"/>
  <c r="AG745" i="1"/>
  <c r="AF745" i="1"/>
  <c r="AE745" i="1"/>
  <c r="AD745" i="1"/>
  <c r="AC745" i="1"/>
  <c r="AB745" i="1"/>
  <c r="AA745" i="1"/>
  <c r="Z745" i="1"/>
  <c r="AR745" i="1" s="1"/>
  <c r="Y745" i="1"/>
  <c r="X745" i="1"/>
  <c r="W745" i="1"/>
  <c r="V745" i="1"/>
  <c r="AO745" i="1" s="1"/>
  <c r="U745" i="1"/>
  <c r="T745" i="1"/>
  <c r="S745" i="1"/>
  <c r="L745" i="1"/>
  <c r="K745" i="1"/>
  <c r="J745" i="1"/>
  <c r="I745" i="1"/>
  <c r="H745" i="1"/>
  <c r="N101" i="6"/>
  <c r="L101" i="6"/>
  <c r="J101" i="6"/>
  <c r="I101" i="6"/>
  <c r="H101" i="6"/>
  <c r="U100" i="6"/>
  <c r="N100" i="6"/>
  <c r="L100" i="6"/>
  <c r="J100" i="6"/>
  <c r="I100" i="6"/>
  <c r="H100" i="6"/>
  <c r="U99" i="6"/>
  <c r="N99" i="6"/>
  <c r="L99" i="6"/>
  <c r="J99" i="6"/>
  <c r="I99" i="6"/>
  <c r="H99" i="6"/>
  <c r="U98" i="6"/>
  <c r="N98" i="6"/>
  <c r="L98" i="6"/>
  <c r="J98" i="6"/>
  <c r="I98" i="6"/>
  <c r="H98" i="6"/>
  <c r="G92" i="6"/>
  <c r="L125" i="5"/>
  <c r="H125" i="5"/>
  <c r="D125" i="5"/>
  <c r="L124" i="5"/>
  <c r="H124" i="5"/>
  <c r="D124" i="5"/>
  <c r="L123" i="5"/>
  <c r="H123" i="5"/>
  <c r="D123" i="5"/>
  <c r="L122" i="5"/>
  <c r="H122" i="5"/>
  <c r="D122" i="5"/>
  <c r="L121" i="5"/>
  <c r="H121" i="5"/>
  <c r="D121" i="5"/>
  <c r="L120" i="5"/>
  <c r="H120" i="5"/>
  <c r="D120" i="5"/>
  <c r="L119" i="5"/>
  <c r="H119" i="5"/>
  <c r="D119" i="5"/>
  <c r="L118" i="5"/>
  <c r="H118" i="5"/>
  <c r="D118" i="5"/>
  <c r="L117" i="5"/>
  <c r="H117" i="5"/>
  <c r="D117" i="5"/>
  <c r="L116" i="5"/>
  <c r="H116" i="5"/>
  <c r="D116" i="5"/>
  <c r="L115" i="5"/>
  <c r="H115" i="5"/>
  <c r="D115" i="5"/>
  <c r="L114" i="5"/>
  <c r="H114" i="5"/>
  <c r="D114" i="5"/>
  <c r="L113" i="5"/>
  <c r="H113" i="5"/>
  <c r="D113" i="5"/>
  <c r="L112" i="5"/>
  <c r="H112" i="5"/>
  <c r="D112" i="5"/>
  <c r="N111" i="5"/>
  <c r="M111" i="5"/>
  <c r="L111" i="5"/>
  <c r="J111" i="5"/>
  <c r="I111" i="5"/>
  <c r="H111" i="5"/>
  <c r="F111" i="5"/>
  <c r="E111" i="5"/>
  <c r="D111" i="5"/>
  <c r="L110" i="5"/>
  <c r="H110" i="5"/>
  <c r="D110" i="5"/>
  <c r="L109" i="5"/>
  <c r="H109" i="5"/>
  <c r="D109" i="5"/>
  <c r="L108" i="5"/>
  <c r="H108" i="5"/>
  <c r="D108" i="5"/>
  <c r="L107" i="5"/>
  <c r="H107" i="5"/>
  <c r="D107" i="5"/>
  <c r="L106" i="5"/>
  <c r="H106" i="5"/>
  <c r="D106" i="5"/>
  <c r="L105" i="5"/>
  <c r="H105" i="5"/>
  <c r="D105" i="5"/>
  <c r="L104" i="5"/>
  <c r="H104" i="5"/>
  <c r="D104" i="5"/>
  <c r="L103" i="5"/>
  <c r="H103" i="5"/>
  <c r="D103" i="5"/>
  <c r="P102" i="5"/>
  <c r="H102" i="5"/>
  <c r="D102" i="5"/>
  <c r="P101" i="5"/>
  <c r="H101" i="5"/>
  <c r="D101" i="5"/>
  <c r="N99" i="5"/>
  <c r="M99" i="5"/>
  <c r="J99" i="5"/>
  <c r="I99" i="5"/>
  <c r="F99" i="5"/>
  <c r="E99" i="5"/>
  <c r="N75" i="5"/>
  <c r="M75" i="5"/>
  <c r="J75" i="5"/>
  <c r="I75" i="5"/>
  <c r="F75" i="5"/>
  <c r="E75" i="5"/>
  <c r="N63" i="5"/>
  <c r="M63" i="5"/>
  <c r="J63" i="5"/>
  <c r="I63" i="5"/>
  <c r="F63" i="5"/>
  <c r="E63" i="5"/>
  <c r="N51" i="5"/>
  <c r="M51" i="5"/>
  <c r="J51" i="5"/>
  <c r="I51" i="5"/>
  <c r="F51" i="5"/>
  <c r="E51" i="5"/>
  <c r="N39" i="5"/>
  <c r="M39" i="5"/>
  <c r="J39" i="5"/>
  <c r="I39" i="5"/>
  <c r="F39" i="5"/>
  <c r="E39" i="5"/>
  <c r="N27" i="5"/>
  <c r="M27" i="5"/>
  <c r="J27" i="5"/>
  <c r="I27" i="5"/>
  <c r="F27" i="5"/>
  <c r="E27" i="5"/>
  <c r="N15" i="5"/>
  <c r="M15" i="5"/>
  <c r="J15" i="5"/>
  <c r="I15" i="5"/>
  <c r="F15" i="5"/>
  <c r="E15" i="5"/>
  <c r="N3" i="5"/>
  <c r="M3" i="5"/>
  <c r="J3" i="5"/>
  <c r="I3" i="5"/>
  <c r="F3" i="5"/>
  <c r="E3" i="5"/>
  <c r="V132" i="4"/>
  <c r="W132" i="4" s="1"/>
  <c r="T132" i="4"/>
  <c r="Q132" i="4"/>
  <c r="W131" i="4"/>
  <c r="V131" i="4"/>
  <c r="T131" i="4"/>
  <c r="Q131" i="4"/>
  <c r="V130" i="4"/>
  <c r="T130" i="4"/>
  <c r="Q130" i="4"/>
  <c r="V129" i="4"/>
  <c r="T129" i="4"/>
  <c r="Q129" i="4"/>
  <c r="V128" i="4"/>
  <c r="T128" i="4"/>
  <c r="Q128" i="4"/>
  <c r="W127" i="4"/>
  <c r="V127" i="4"/>
  <c r="T127" i="4"/>
  <c r="Q127" i="4"/>
  <c r="W126" i="4"/>
  <c r="V126" i="4"/>
  <c r="T126" i="4"/>
  <c r="Q126" i="4"/>
  <c r="T125" i="4"/>
  <c r="Q125" i="4"/>
  <c r="T124" i="4"/>
  <c r="Q124" i="4"/>
  <c r="V123" i="4"/>
  <c r="T123" i="4"/>
  <c r="Q123" i="4"/>
  <c r="T122" i="4"/>
  <c r="V122" i="4" s="1"/>
  <c r="Q122" i="4"/>
  <c r="T121" i="4"/>
  <c r="Q121" i="4"/>
  <c r="T120" i="4"/>
  <c r="Q120" i="4"/>
  <c r="V119" i="4"/>
  <c r="T119" i="4"/>
  <c r="Q119" i="4"/>
  <c r="V118" i="4"/>
  <c r="T118" i="4"/>
  <c r="Q118" i="4"/>
  <c r="T117" i="4"/>
  <c r="Q117" i="4"/>
  <c r="V116" i="4"/>
  <c r="T116" i="4"/>
  <c r="Q116" i="4"/>
  <c r="V115" i="4"/>
  <c r="T115" i="4"/>
  <c r="Q115" i="4"/>
  <c r="V114" i="4"/>
  <c r="T114" i="4"/>
  <c r="Q114" i="4"/>
  <c r="T113" i="4"/>
  <c r="Q113" i="4"/>
  <c r="T112" i="4"/>
  <c r="Q112" i="4"/>
  <c r="T111" i="4"/>
  <c r="V111" i="4" s="1"/>
  <c r="Q111" i="4"/>
  <c r="T110" i="4"/>
  <c r="V110" i="4" s="1"/>
  <c r="Q110" i="4"/>
  <c r="V109" i="4"/>
  <c r="T109" i="4"/>
  <c r="Q109" i="4"/>
  <c r="V108" i="4"/>
  <c r="T108" i="4"/>
  <c r="Q108" i="4"/>
  <c r="T107" i="4"/>
  <c r="Q107" i="4"/>
  <c r="T106" i="4"/>
  <c r="Q106" i="4"/>
  <c r="T105" i="4"/>
  <c r="Q105" i="4"/>
  <c r="T104" i="4"/>
  <c r="V104" i="4" s="1"/>
  <c r="Q104" i="4"/>
  <c r="T103" i="4"/>
  <c r="V103" i="4" s="1"/>
  <c r="Q103" i="4"/>
  <c r="W102" i="4"/>
  <c r="T102" i="4"/>
  <c r="V102" i="4" s="1"/>
  <c r="Q102" i="4"/>
  <c r="T101" i="4"/>
  <c r="Q101" i="4"/>
  <c r="V100" i="4"/>
  <c r="W100" i="4" s="1"/>
  <c r="T100" i="4"/>
  <c r="Q100" i="4"/>
  <c r="T99" i="4"/>
  <c r="Q99" i="4"/>
  <c r="V98" i="4"/>
  <c r="T98" i="4"/>
  <c r="Q98" i="4"/>
  <c r="V97" i="4"/>
  <c r="T97" i="4"/>
  <c r="Q97" i="4"/>
  <c r="T96" i="4"/>
  <c r="Q96" i="4"/>
  <c r="V95" i="4"/>
  <c r="T95" i="4"/>
  <c r="Q95" i="4"/>
  <c r="T94" i="4"/>
  <c r="Q94" i="4"/>
  <c r="W93" i="4"/>
  <c r="V93" i="4"/>
  <c r="T93" i="4"/>
  <c r="Q93" i="4"/>
  <c r="T92" i="4"/>
  <c r="Q92" i="4"/>
  <c r="V91" i="4"/>
  <c r="T91" i="4"/>
  <c r="Q91" i="4"/>
  <c r="T90" i="4"/>
  <c r="V90" i="4" s="1"/>
  <c r="Q90" i="4"/>
  <c r="T89" i="4"/>
  <c r="V89" i="4" s="1"/>
  <c r="Q89" i="4"/>
  <c r="T88" i="4"/>
  <c r="Q88" i="4"/>
  <c r="T87" i="4"/>
  <c r="V87" i="4" s="1"/>
  <c r="W87" i="4" s="1"/>
  <c r="Q87" i="4"/>
  <c r="W86" i="4"/>
  <c r="V86" i="4"/>
  <c r="T86" i="4"/>
  <c r="Q86" i="4"/>
  <c r="T85" i="4"/>
  <c r="V85" i="4" s="1"/>
  <c r="W85" i="4" s="1"/>
  <c r="Q85" i="4"/>
  <c r="T84" i="4"/>
  <c r="Q84" i="4"/>
  <c r="T83" i="4"/>
  <c r="V83" i="4" s="1"/>
  <c r="W83" i="4" s="1"/>
  <c r="Q83" i="4"/>
  <c r="V82" i="4"/>
  <c r="T82" i="4"/>
  <c r="Q82" i="4"/>
  <c r="T81" i="4"/>
  <c r="Q81" i="4"/>
  <c r="T80" i="4"/>
  <c r="Q80" i="4"/>
  <c r="W79" i="4"/>
  <c r="V79" i="4"/>
  <c r="T79" i="4"/>
  <c r="Q79" i="4"/>
  <c r="W78" i="4"/>
  <c r="T78" i="4"/>
  <c r="V78" i="4" s="1"/>
  <c r="Q78" i="4"/>
  <c r="V77" i="4"/>
  <c r="T77" i="4"/>
  <c r="Q77" i="4"/>
  <c r="T76" i="4"/>
  <c r="Q76" i="4"/>
  <c r="W75" i="4"/>
  <c r="V75" i="4"/>
  <c r="T75" i="4"/>
  <c r="Q75" i="4"/>
  <c r="T74" i="4"/>
  <c r="Q74" i="4"/>
  <c r="V73" i="4"/>
  <c r="T73" i="4"/>
  <c r="Q73" i="4"/>
  <c r="T72" i="4"/>
  <c r="Q72" i="4"/>
  <c r="V71" i="4"/>
  <c r="T71" i="4"/>
  <c r="Q71" i="4"/>
  <c r="T70" i="4"/>
  <c r="Q70" i="4"/>
  <c r="V69" i="4"/>
  <c r="T69" i="4"/>
  <c r="Q69" i="4"/>
  <c r="T68" i="4"/>
  <c r="V68" i="4" s="1"/>
  <c r="Q68" i="4"/>
  <c r="V67" i="4"/>
  <c r="T67" i="4"/>
  <c r="Q67" i="4"/>
  <c r="T66" i="4"/>
  <c r="Q66" i="4"/>
  <c r="V65" i="4"/>
  <c r="T65" i="4"/>
  <c r="Q65" i="4"/>
  <c r="T64" i="4"/>
  <c r="Q64" i="4"/>
  <c r="V63" i="4"/>
  <c r="T63" i="4"/>
  <c r="Q63" i="4"/>
  <c r="T62" i="4"/>
  <c r="Q62" i="4"/>
  <c r="V61" i="4"/>
  <c r="T61" i="4"/>
  <c r="Q61" i="4"/>
  <c r="V60" i="4"/>
  <c r="T60" i="4"/>
  <c r="Q60" i="4"/>
  <c r="V59" i="4"/>
  <c r="T59" i="4"/>
  <c r="Q59" i="4"/>
  <c r="T58" i="4"/>
  <c r="Q58" i="4"/>
  <c r="V57" i="4"/>
  <c r="T57" i="4"/>
  <c r="Q57" i="4"/>
  <c r="W56" i="4"/>
  <c r="V56" i="4"/>
  <c r="T56" i="4"/>
  <c r="Q56" i="4"/>
  <c r="T55" i="4"/>
  <c r="V55" i="4" s="1"/>
  <c r="Q55" i="4"/>
  <c r="T54" i="4"/>
  <c r="Q54" i="4"/>
  <c r="T53" i="4"/>
  <c r="V53" i="4" s="1"/>
  <c r="Q53" i="4"/>
  <c r="T52" i="4"/>
  <c r="Q52" i="4"/>
  <c r="V51" i="4"/>
  <c r="T51" i="4"/>
  <c r="Q51" i="4"/>
  <c r="T50" i="4"/>
  <c r="Q50" i="4"/>
  <c r="V49" i="4"/>
  <c r="W49" i="4" s="1"/>
  <c r="T49" i="4"/>
  <c r="Q49" i="4"/>
  <c r="T48" i="4"/>
  <c r="V48" i="4" s="1"/>
  <c r="Q48" i="4"/>
  <c r="T47" i="4"/>
  <c r="Q47" i="4"/>
  <c r="V46" i="4"/>
  <c r="W46" i="4" s="1"/>
  <c r="T46" i="4"/>
  <c r="Q46" i="4"/>
  <c r="V45" i="4"/>
  <c r="W45" i="4" s="1"/>
  <c r="T45" i="4"/>
  <c r="Q45" i="4"/>
  <c r="V44" i="4"/>
  <c r="T44" i="4"/>
  <c r="Q44" i="4"/>
  <c r="T43" i="4"/>
  <c r="V43" i="4" s="1"/>
  <c r="Q43" i="4"/>
  <c r="T42" i="4"/>
  <c r="Q42" i="4"/>
  <c r="V41" i="4"/>
  <c r="T41" i="4"/>
  <c r="Q41" i="4"/>
  <c r="T40" i="4"/>
  <c r="V40" i="4" s="1"/>
  <c r="Q40" i="4"/>
  <c r="T39" i="4"/>
  <c r="Q39" i="4"/>
  <c r="V38" i="4"/>
  <c r="T38" i="4"/>
  <c r="Q38" i="4"/>
  <c r="T37" i="4"/>
  <c r="V37" i="4" s="1"/>
  <c r="W37" i="4" s="1"/>
  <c r="Q37" i="4"/>
  <c r="T36" i="4"/>
  <c r="Q36" i="4"/>
  <c r="T35" i="4"/>
  <c r="V35" i="4" s="1"/>
  <c r="W35" i="4" s="1"/>
  <c r="Q35" i="4"/>
  <c r="T34" i="4"/>
  <c r="Q34" i="4"/>
  <c r="T33" i="4"/>
  <c r="Q33" i="4"/>
  <c r="T32" i="4"/>
  <c r="Q32" i="4"/>
  <c r="T31" i="4"/>
  <c r="V31" i="4" s="1"/>
  <c r="Q31" i="4"/>
  <c r="T30" i="4"/>
  <c r="V30" i="4" s="1"/>
  <c r="Q30" i="4"/>
  <c r="W29" i="4"/>
  <c r="V29" i="4"/>
  <c r="T29" i="4"/>
  <c r="Q29" i="4"/>
  <c r="W28" i="4"/>
  <c r="T28" i="4"/>
  <c r="V28" i="4" s="1"/>
  <c r="Q28" i="4"/>
  <c r="T27" i="4"/>
  <c r="V27" i="4" s="1"/>
  <c r="Q27" i="4"/>
  <c r="T26" i="4"/>
  <c r="V26" i="4" s="1"/>
  <c r="Q26" i="4"/>
  <c r="V25" i="4"/>
  <c r="T25" i="4"/>
  <c r="Q25" i="4"/>
  <c r="T24" i="4"/>
  <c r="Q24" i="4"/>
  <c r="T23" i="4"/>
  <c r="Q23" i="4"/>
  <c r="T22" i="4"/>
  <c r="Q22" i="4"/>
  <c r="V21" i="4"/>
  <c r="T21" i="4"/>
  <c r="Q21" i="4"/>
  <c r="T20" i="4"/>
  <c r="V20" i="4" s="1"/>
  <c r="Q20" i="4"/>
  <c r="V19" i="4"/>
  <c r="T19" i="4"/>
  <c r="Q19" i="4"/>
  <c r="T18" i="4"/>
  <c r="V18" i="4" s="1"/>
  <c r="W18" i="4" s="1"/>
  <c r="Q18" i="4"/>
  <c r="T17" i="4"/>
  <c r="V17" i="4" s="1"/>
  <c r="Q17" i="4"/>
  <c r="T16" i="4"/>
  <c r="Q16" i="4"/>
  <c r="V15" i="4"/>
  <c r="T15" i="4"/>
  <c r="Q15" i="4"/>
  <c r="T14" i="4"/>
  <c r="V14" i="4" s="1"/>
  <c r="W14" i="4" s="1"/>
  <c r="Q14" i="4"/>
  <c r="T13" i="4"/>
  <c r="V13" i="4" s="1"/>
  <c r="Q13" i="4"/>
  <c r="T12" i="4"/>
  <c r="V12" i="4" s="1"/>
  <c r="Q12" i="4"/>
  <c r="H12" i="4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V11" i="4"/>
  <c r="T11" i="4"/>
  <c r="Q11" i="4"/>
  <c r="K11" i="4"/>
  <c r="J11" i="4"/>
  <c r="M11" i="4" s="1"/>
  <c r="H11" i="4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E11" i="4"/>
  <c r="I11" i="4" s="1"/>
  <c r="D11" i="4"/>
  <c r="D12" i="4" s="1"/>
  <c r="T10" i="4"/>
  <c r="Q10" i="4"/>
  <c r="N10" i="4"/>
  <c r="M10" i="4"/>
  <c r="K10" i="4"/>
  <c r="J10" i="4"/>
  <c r="I10" i="4"/>
  <c r="N9" i="4"/>
  <c r="I38" i="3"/>
  <c r="H38" i="3"/>
  <c r="O37" i="3"/>
  <c r="N37" i="3"/>
  <c r="L37" i="3"/>
  <c r="I37" i="3"/>
  <c r="H37" i="3"/>
  <c r="Q35" i="3"/>
  <c r="R35" i="3" s="1"/>
  <c r="N35" i="3"/>
  <c r="O35" i="3" s="1"/>
  <c r="S35" i="3" s="1"/>
  <c r="L35" i="3"/>
  <c r="I35" i="3"/>
  <c r="H35" i="3"/>
  <c r="Q34" i="3"/>
  <c r="R34" i="3" s="1"/>
  <c r="N34" i="3"/>
  <c r="O34" i="3" s="1"/>
  <c r="S34" i="3" s="1"/>
  <c r="L34" i="3"/>
  <c r="I34" i="3"/>
  <c r="H34" i="3"/>
  <c r="Q33" i="3"/>
  <c r="R33" i="3" s="1"/>
  <c r="N33" i="3"/>
  <c r="O33" i="3" s="1"/>
  <c r="S33" i="3" s="1"/>
  <c r="L33" i="3"/>
  <c r="I33" i="3"/>
  <c r="H33" i="3"/>
  <c r="B29" i="3"/>
  <c r="R326" i="2"/>
  <c r="S326" i="2" s="1"/>
  <c r="M326" i="2"/>
  <c r="J326" i="2"/>
  <c r="N326" i="2" s="1"/>
  <c r="I326" i="2"/>
  <c r="H326" i="2"/>
  <c r="A326" i="2"/>
  <c r="S325" i="2"/>
  <c r="M325" i="2"/>
  <c r="K325" i="2"/>
  <c r="O325" i="2" s="1"/>
  <c r="J325" i="2"/>
  <c r="I325" i="2"/>
  <c r="H325" i="2"/>
  <c r="N325" i="2" s="1"/>
  <c r="A325" i="2"/>
  <c r="M324" i="2"/>
  <c r="J324" i="2"/>
  <c r="I324" i="2"/>
  <c r="H324" i="2"/>
  <c r="A324" i="2"/>
  <c r="R323" i="2"/>
  <c r="N323" i="2"/>
  <c r="M323" i="2"/>
  <c r="K323" i="2"/>
  <c r="J323" i="2"/>
  <c r="I323" i="2"/>
  <c r="H323" i="2"/>
  <c r="A323" i="2"/>
  <c r="M322" i="2"/>
  <c r="J322" i="2"/>
  <c r="I322" i="2"/>
  <c r="H322" i="2"/>
  <c r="A322" i="2"/>
  <c r="M321" i="2"/>
  <c r="J321" i="2"/>
  <c r="I321" i="2"/>
  <c r="H321" i="2"/>
  <c r="A321" i="2"/>
  <c r="M320" i="2"/>
  <c r="K320" i="2"/>
  <c r="J320" i="2"/>
  <c r="I320" i="2"/>
  <c r="H320" i="2"/>
  <c r="A320" i="2"/>
  <c r="M319" i="2"/>
  <c r="J319" i="2"/>
  <c r="I319" i="2"/>
  <c r="H319" i="2"/>
  <c r="A319" i="2"/>
  <c r="R318" i="2"/>
  <c r="M318" i="2"/>
  <c r="J318" i="2"/>
  <c r="I318" i="2"/>
  <c r="H318" i="2"/>
  <c r="A318" i="2"/>
  <c r="M317" i="2"/>
  <c r="L317" i="2"/>
  <c r="K317" i="2"/>
  <c r="J317" i="2"/>
  <c r="I317" i="2"/>
  <c r="H317" i="2"/>
  <c r="N317" i="2" s="1"/>
  <c r="A317" i="2"/>
  <c r="R316" i="2"/>
  <c r="R317" i="2" s="1"/>
  <c r="M316" i="2"/>
  <c r="K316" i="2"/>
  <c r="L316" i="2" s="1"/>
  <c r="J316" i="2"/>
  <c r="I316" i="2"/>
  <c r="H316" i="2"/>
  <c r="A316" i="2"/>
  <c r="S315" i="2"/>
  <c r="R315" i="2"/>
  <c r="M315" i="2"/>
  <c r="J315" i="2"/>
  <c r="I315" i="2"/>
  <c r="H315" i="2"/>
  <c r="A315" i="2"/>
  <c r="R314" i="2"/>
  <c r="S314" i="2" s="1"/>
  <c r="N314" i="2"/>
  <c r="M314" i="2"/>
  <c r="L314" i="2"/>
  <c r="K314" i="2"/>
  <c r="J314" i="2"/>
  <c r="I314" i="2"/>
  <c r="H314" i="2"/>
  <c r="A314" i="2"/>
  <c r="S313" i="2"/>
  <c r="M313" i="2"/>
  <c r="J313" i="2"/>
  <c r="K313" i="2" s="1"/>
  <c r="L313" i="2" s="1"/>
  <c r="I313" i="2"/>
  <c r="H313" i="2"/>
  <c r="N313" i="2" s="1"/>
  <c r="O313" i="2" s="1"/>
  <c r="A313" i="2"/>
  <c r="M312" i="2"/>
  <c r="K312" i="2"/>
  <c r="J312" i="2"/>
  <c r="I312" i="2"/>
  <c r="H312" i="2"/>
  <c r="A312" i="2"/>
  <c r="R311" i="2"/>
  <c r="R312" i="2" s="1"/>
  <c r="S312" i="2" s="1"/>
  <c r="M311" i="2"/>
  <c r="J311" i="2"/>
  <c r="I311" i="2"/>
  <c r="H311" i="2"/>
  <c r="A311" i="2"/>
  <c r="M310" i="2"/>
  <c r="J310" i="2"/>
  <c r="I310" i="2"/>
  <c r="H310" i="2"/>
  <c r="A310" i="2"/>
  <c r="N309" i="2"/>
  <c r="M309" i="2"/>
  <c r="K309" i="2"/>
  <c r="O309" i="2" s="1"/>
  <c r="V309" i="2" s="1"/>
  <c r="J309" i="2"/>
  <c r="I309" i="2"/>
  <c r="H309" i="2"/>
  <c r="A309" i="2"/>
  <c r="N308" i="2"/>
  <c r="O308" i="2" s="1"/>
  <c r="M308" i="2"/>
  <c r="L308" i="2"/>
  <c r="J308" i="2"/>
  <c r="K308" i="2" s="1"/>
  <c r="I308" i="2"/>
  <c r="H308" i="2"/>
  <c r="A308" i="2"/>
  <c r="M307" i="2"/>
  <c r="L307" i="2"/>
  <c r="K307" i="2"/>
  <c r="J307" i="2"/>
  <c r="I307" i="2"/>
  <c r="N307" i="2" s="1"/>
  <c r="O307" i="2" s="1"/>
  <c r="V307" i="2" s="1"/>
  <c r="H307" i="2"/>
  <c r="A307" i="2"/>
  <c r="M306" i="2"/>
  <c r="K306" i="2"/>
  <c r="J306" i="2"/>
  <c r="I306" i="2"/>
  <c r="H306" i="2"/>
  <c r="A306" i="2"/>
  <c r="M305" i="2"/>
  <c r="K305" i="2"/>
  <c r="O305" i="2" s="1"/>
  <c r="Q305" i="2" s="1"/>
  <c r="J305" i="2"/>
  <c r="N305" i="2" s="1"/>
  <c r="I305" i="2"/>
  <c r="H305" i="2"/>
  <c r="A305" i="2"/>
  <c r="R304" i="2"/>
  <c r="R305" i="2" s="1"/>
  <c r="O304" i="2"/>
  <c r="Q304" i="2" s="1"/>
  <c r="N304" i="2"/>
  <c r="M304" i="2"/>
  <c r="K304" i="2"/>
  <c r="L304" i="2" s="1"/>
  <c r="J304" i="2"/>
  <c r="I304" i="2"/>
  <c r="H304" i="2"/>
  <c r="A304" i="2"/>
  <c r="S303" i="2"/>
  <c r="R303" i="2"/>
  <c r="M303" i="2"/>
  <c r="J303" i="2"/>
  <c r="I303" i="2"/>
  <c r="H303" i="2"/>
  <c r="A303" i="2"/>
  <c r="R302" i="2"/>
  <c r="M302" i="2"/>
  <c r="J302" i="2"/>
  <c r="I302" i="2"/>
  <c r="H302" i="2"/>
  <c r="A302" i="2"/>
  <c r="R301" i="2"/>
  <c r="M301" i="2"/>
  <c r="K301" i="2"/>
  <c r="J301" i="2"/>
  <c r="I301" i="2"/>
  <c r="H301" i="2"/>
  <c r="A301" i="2"/>
  <c r="S300" i="2"/>
  <c r="N300" i="2"/>
  <c r="M300" i="2"/>
  <c r="J300" i="2"/>
  <c r="K300" i="2" s="1"/>
  <c r="I300" i="2"/>
  <c r="H300" i="2"/>
  <c r="A300" i="2"/>
  <c r="M299" i="2"/>
  <c r="K299" i="2"/>
  <c r="J299" i="2"/>
  <c r="I299" i="2"/>
  <c r="H299" i="2"/>
  <c r="N299" i="2" s="1"/>
  <c r="A299" i="2"/>
  <c r="R298" i="2"/>
  <c r="R299" i="2" s="1"/>
  <c r="S299" i="2" s="1"/>
  <c r="M298" i="2"/>
  <c r="J298" i="2"/>
  <c r="I298" i="2"/>
  <c r="H298" i="2"/>
  <c r="A298" i="2"/>
  <c r="M297" i="2"/>
  <c r="K297" i="2"/>
  <c r="J297" i="2"/>
  <c r="I297" i="2"/>
  <c r="N297" i="2" s="1"/>
  <c r="H297" i="2"/>
  <c r="A297" i="2"/>
  <c r="N296" i="2"/>
  <c r="M296" i="2"/>
  <c r="K296" i="2"/>
  <c r="J296" i="2"/>
  <c r="I296" i="2"/>
  <c r="H296" i="2"/>
  <c r="A296" i="2"/>
  <c r="N295" i="2"/>
  <c r="M295" i="2"/>
  <c r="J295" i="2"/>
  <c r="K295" i="2" s="1"/>
  <c r="I295" i="2"/>
  <c r="H295" i="2"/>
  <c r="A295" i="2"/>
  <c r="M294" i="2"/>
  <c r="J294" i="2"/>
  <c r="I294" i="2"/>
  <c r="H294" i="2"/>
  <c r="A294" i="2"/>
  <c r="M293" i="2"/>
  <c r="L293" i="2"/>
  <c r="K293" i="2"/>
  <c r="J293" i="2"/>
  <c r="I293" i="2"/>
  <c r="N293" i="2" s="1"/>
  <c r="H293" i="2"/>
  <c r="A293" i="2"/>
  <c r="M292" i="2"/>
  <c r="J292" i="2"/>
  <c r="I292" i="2"/>
  <c r="H292" i="2"/>
  <c r="A292" i="2"/>
  <c r="R291" i="2"/>
  <c r="O291" i="2"/>
  <c r="Q291" i="2" s="1"/>
  <c r="M291" i="2"/>
  <c r="L291" i="2"/>
  <c r="K291" i="2"/>
  <c r="J291" i="2"/>
  <c r="I291" i="2"/>
  <c r="H291" i="2"/>
  <c r="N291" i="2" s="1"/>
  <c r="A291" i="2"/>
  <c r="S290" i="2"/>
  <c r="R290" i="2"/>
  <c r="M290" i="2"/>
  <c r="K290" i="2"/>
  <c r="J290" i="2"/>
  <c r="I290" i="2"/>
  <c r="H290" i="2"/>
  <c r="A290" i="2"/>
  <c r="R289" i="2"/>
  <c r="S289" i="2" s="1"/>
  <c r="M289" i="2"/>
  <c r="J289" i="2"/>
  <c r="I289" i="2"/>
  <c r="H289" i="2"/>
  <c r="A289" i="2"/>
  <c r="S288" i="2"/>
  <c r="N288" i="2"/>
  <c r="M288" i="2"/>
  <c r="L288" i="2" s="1"/>
  <c r="K288" i="2"/>
  <c r="J288" i="2"/>
  <c r="I288" i="2"/>
  <c r="H288" i="2"/>
  <c r="A288" i="2"/>
  <c r="M287" i="2"/>
  <c r="J287" i="2"/>
  <c r="I287" i="2"/>
  <c r="H287" i="2"/>
  <c r="A287" i="2"/>
  <c r="R286" i="2"/>
  <c r="S286" i="2" s="1"/>
  <c r="M286" i="2"/>
  <c r="K286" i="2"/>
  <c r="J286" i="2"/>
  <c r="I286" i="2"/>
  <c r="H286" i="2"/>
  <c r="A286" i="2"/>
  <c r="M285" i="2"/>
  <c r="J285" i="2"/>
  <c r="I285" i="2"/>
  <c r="H285" i="2"/>
  <c r="A285" i="2"/>
  <c r="M284" i="2"/>
  <c r="K284" i="2"/>
  <c r="J284" i="2"/>
  <c r="N284" i="2" s="1"/>
  <c r="I284" i="2"/>
  <c r="H284" i="2"/>
  <c r="A284" i="2"/>
  <c r="O283" i="2"/>
  <c r="N283" i="2"/>
  <c r="M283" i="2"/>
  <c r="K283" i="2"/>
  <c r="J283" i="2"/>
  <c r="I283" i="2"/>
  <c r="H283" i="2"/>
  <c r="A283" i="2"/>
  <c r="M282" i="2"/>
  <c r="K282" i="2"/>
  <c r="J282" i="2"/>
  <c r="I282" i="2"/>
  <c r="H282" i="2"/>
  <c r="A282" i="2"/>
  <c r="M281" i="2"/>
  <c r="K281" i="2"/>
  <c r="J281" i="2"/>
  <c r="I281" i="2"/>
  <c r="H281" i="2"/>
  <c r="A281" i="2"/>
  <c r="N280" i="2"/>
  <c r="O280" i="2" s="1"/>
  <c r="Q280" i="2" s="1"/>
  <c r="M280" i="2"/>
  <c r="L280" i="2"/>
  <c r="K280" i="2"/>
  <c r="J280" i="2"/>
  <c r="I280" i="2"/>
  <c r="H280" i="2"/>
  <c r="A280" i="2"/>
  <c r="R279" i="2"/>
  <c r="R280" i="2" s="1"/>
  <c r="M279" i="2"/>
  <c r="K279" i="2"/>
  <c r="J279" i="2"/>
  <c r="I279" i="2"/>
  <c r="H279" i="2"/>
  <c r="A279" i="2"/>
  <c r="S278" i="2"/>
  <c r="R278" i="2"/>
  <c r="M278" i="2"/>
  <c r="J278" i="2"/>
  <c r="I278" i="2"/>
  <c r="H278" i="2"/>
  <c r="A278" i="2"/>
  <c r="M277" i="2"/>
  <c r="K277" i="2"/>
  <c r="J277" i="2"/>
  <c r="N277" i="2" s="1"/>
  <c r="I277" i="2"/>
  <c r="H277" i="2"/>
  <c r="A277" i="2"/>
  <c r="R276" i="2"/>
  <c r="Q276" i="2"/>
  <c r="O276" i="2"/>
  <c r="M276" i="2"/>
  <c r="K276" i="2"/>
  <c r="J276" i="2"/>
  <c r="I276" i="2"/>
  <c r="H276" i="2"/>
  <c r="N276" i="2" s="1"/>
  <c r="A276" i="2"/>
  <c r="R275" i="2"/>
  <c r="S275" i="2" s="1"/>
  <c r="M275" i="2"/>
  <c r="K275" i="2"/>
  <c r="J275" i="2"/>
  <c r="I275" i="2"/>
  <c r="H275" i="2"/>
  <c r="A275" i="2"/>
  <c r="M274" i="2"/>
  <c r="J274" i="2"/>
  <c r="I274" i="2"/>
  <c r="H274" i="2"/>
  <c r="N274" i="2" s="1"/>
  <c r="A274" i="2"/>
  <c r="M273" i="2"/>
  <c r="J273" i="2"/>
  <c r="I273" i="2"/>
  <c r="H273" i="2"/>
  <c r="A273" i="2"/>
  <c r="N272" i="2"/>
  <c r="O272" i="2" s="1"/>
  <c r="R272" i="2" s="1"/>
  <c r="M272" i="2"/>
  <c r="K272" i="2"/>
  <c r="J272" i="2"/>
  <c r="I272" i="2"/>
  <c r="H272" i="2"/>
  <c r="A272" i="2"/>
  <c r="R271" i="2"/>
  <c r="S271" i="2" s="1"/>
  <c r="M271" i="2"/>
  <c r="J271" i="2"/>
  <c r="N271" i="2" s="1"/>
  <c r="I271" i="2"/>
  <c r="H271" i="2"/>
  <c r="A271" i="2"/>
  <c r="S270" i="2"/>
  <c r="N270" i="2"/>
  <c r="M270" i="2"/>
  <c r="K270" i="2"/>
  <c r="O270" i="2" s="1"/>
  <c r="J270" i="2"/>
  <c r="I270" i="2"/>
  <c r="H270" i="2"/>
  <c r="A270" i="2"/>
  <c r="N269" i="2"/>
  <c r="M269" i="2"/>
  <c r="J269" i="2"/>
  <c r="I269" i="2"/>
  <c r="H269" i="2"/>
  <c r="A269" i="2"/>
  <c r="R268" i="2"/>
  <c r="R269" i="2" s="1"/>
  <c r="S269" i="2" s="1"/>
  <c r="M268" i="2"/>
  <c r="J268" i="2"/>
  <c r="I268" i="2"/>
  <c r="H268" i="2"/>
  <c r="A268" i="2"/>
  <c r="N267" i="2"/>
  <c r="M267" i="2"/>
  <c r="L267" i="2"/>
  <c r="K267" i="2"/>
  <c r="O267" i="2" s="1"/>
  <c r="J267" i="2"/>
  <c r="I267" i="2"/>
  <c r="H267" i="2"/>
  <c r="A267" i="2"/>
  <c r="M266" i="2"/>
  <c r="J266" i="2"/>
  <c r="I266" i="2"/>
  <c r="H266" i="2"/>
  <c r="A266" i="2"/>
  <c r="N265" i="2"/>
  <c r="M265" i="2"/>
  <c r="L265" i="2"/>
  <c r="K265" i="2"/>
  <c r="O265" i="2" s="1"/>
  <c r="J265" i="2"/>
  <c r="I265" i="2"/>
  <c r="H265" i="2"/>
  <c r="A265" i="2"/>
  <c r="M264" i="2"/>
  <c r="J264" i="2"/>
  <c r="I264" i="2"/>
  <c r="H264" i="2"/>
  <c r="A264" i="2"/>
  <c r="N263" i="2"/>
  <c r="M263" i="2"/>
  <c r="L263" i="2"/>
  <c r="J263" i="2"/>
  <c r="K263" i="2" s="1"/>
  <c r="O263" i="2" s="1"/>
  <c r="V263" i="2" s="1"/>
  <c r="I263" i="2"/>
  <c r="H263" i="2"/>
  <c r="A263" i="2"/>
  <c r="N262" i="2"/>
  <c r="M262" i="2"/>
  <c r="J262" i="2"/>
  <c r="I262" i="2"/>
  <c r="H262" i="2"/>
  <c r="A262" i="2"/>
  <c r="R261" i="2"/>
  <c r="R267" i="2" s="1"/>
  <c r="U267" i="2" s="1"/>
  <c r="M261" i="2"/>
  <c r="J261" i="2"/>
  <c r="I261" i="2"/>
  <c r="H261" i="2"/>
  <c r="A261" i="2"/>
  <c r="S260" i="2"/>
  <c r="R260" i="2"/>
  <c r="N260" i="2"/>
  <c r="O260" i="2" s="1"/>
  <c r="Q260" i="2" s="1"/>
  <c r="M260" i="2"/>
  <c r="L260" i="2"/>
  <c r="K260" i="2"/>
  <c r="J260" i="2"/>
  <c r="I260" i="2"/>
  <c r="H260" i="2"/>
  <c r="A260" i="2"/>
  <c r="M259" i="2"/>
  <c r="J259" i="2"/>
  <c r="I259" i="2"/>
  <c r="H259" i="2"/>
  <c r="A259" i="2"/>
  <c r="R258" i="2"/>
  <c r="S258" i="2" s="1"/>
  <c r="N258" i="2"/>
  <c r="M258" i="2"/>
  <c r="K258" i="2" a="1"/>
  <c r="K258" i="2" s="1"/>
  <c r="J258" i="2"/>
  <c r="I258" i="2"/>
  <c r="H258" i="2"/>
  <c r="A258" i="2"/>
  <c r="R257" i="2"/>
  <c r="S257" i="2" s="1"/>
  <c r="M257" i="2"/>
  <c r="J257" i="2"/>
  <c r="I257" i="2"/>
  <c r="H257" i="2"/>
  <c r="A257" i="2"/>
  <c r="O256" i="2"/>
  <c r="Q256" i="2" s="1"/>
  <c r="N256" i="2"/>
  <c r="M256" i="2"/>
  <c r="J256" i="2"/>
  <c r="K256" i="2" s="1"/>
  <c r="L256" i="2" s="1"/>
  <c r="I256" i="2"/>
  <c r="H256" i="2"/>
  <c r="A256" i="2"/>
  <c r="M255" i="2"/>
  <c r="J255" i="2"/>
  <c r="I255" i="2"/>
  <c r="H255" i="2"/>
  <c r="A255" i="2"/>
  <c r="N254" i="2"/>
  <c r="M254" i="2"/>
  <c r="K254" i="2"/>
  <c r="J254" i="2"/>
  <c r="I254" i="2"/>
  <c r="H254" i="2"/>
  <c r="A254" i="2"/>
  <c r="R253" i="2"/>
  <c r="S253" i="2" s="1"/>
  <c r="N253" i="2"/>
  <c r="M253" i="2"/>
  <c r="J253" i="2"/>
  <c r="I253" i="2"/>
  <c r="H253" i="2"/>
  <c r="A253" i="2"/>
  <c r="S252" i="2"/>
  <c r="M252" i="2"/>
  <c r="J252" i="2"/>
  <c r="I252" i="2"/>
  <c r="H252" i="2"/>
  <c r="A252" i="2"/>
  <c r="M251" i="2"/>
  <c r="K251" i="2"/>
  <c r="J251" i="2"/>
  <c r="I251" i="2"/>
  <c r="H251" i="2"/>
  <c r="N251" i="2" s="1"/>
  <c r="O251" i="2" s="1"/>
  <c r="A251" i="2"/>
  <c r="R250" i="2"/>
  <c r="S250" i="2" s="1"/>
  <c r="M250" i="2"/>
  <c r="K250" i="2"/>
  <c r="J250" i="2"/>
  <c r="I250" i="2"/>
  <c r="H250" i="2"/>
  <c r="A250" i="2"/>
  <c r="O249" i="2"/>
  <c r="N249" i="2"/>
  <c r="M249" i="2"/>
  <c r="J249" i="2"/>
  <c r="K249" i="2" s="1"/>
  <c r="L249" i="2" s="1"/>
  <c r="I249" i="2"/>
  <c r="H249" i="2"/>
  <c r="A249" i="2"/>
  <c r="M248" i="2"/>
  <c r="J248" i="2"/>
  <c r="I248" i="2"/>
  <c r="H248" i="2"/>
  <c r="A248" i="2"/>
  <c r="N247" i="2"/>
  <c r="M247" i="2"/>
  <c r="K247" i="2"/>
  <c r="J247" i="2"/>
  <c r="I247" i="2"/>
  <c r="H247" i="2"/>
  <c r="A247" i="2"/>
  <c r="M246" i="2"/>
  <c r="J246" i="2"/>
  <c r="I246" i="2"/>
  <c r="H246" i="2"/>
  <c r="A246" i="2"/>
  <c r="O245" i="2"/>
  <c r="V245" i="2" s="1"/>
  <c r="N245" i="2"/>
  <c r="M245" i="2"/>
  <c r="K245" i="2"/>
  <c r="J245" i="2"/>
  <c r="I245" i="2"/>
  <c r="H245" i="2"/>
  <c r="A245" i="2"/>
  <c r="N244" i="2"/>
  <c r="M244" i="2"/>
  <c r="J244" i="2"/>
  <c r="I244" i="2"/>
  <c r="H244" i="2"/>
  <c r="A244" i="2"/>
  <c r="R243" i="2"/>
  <c r="R245" i="2" s="1"/>
  <c r="M243" i="2"/>
  <c r="K243" i="2"/>
  <c r="J243" i="2"/>
  <c r="I243" i="2"/>
  <c r="N243" i="2" s="1"/>
  <c r="H243" i="2"/>
  <c r="A243" i="2"/>
  <c r="S242" i="2"/>
  <c r="R242" i="2"/>
  <c r="N242" i="2"/>
  <c r="M242" i="2"/>
  <c r="J242" i="2"/>
  <c r="I242" i="2"/>
  <c r="H242" i="2"/>
  <c r="A242" i="2"/>
  <c r="N241" i="2"/>
  <c r="M241" i="2"/>
  <c r="K241" i="2" a="1"/>
  <c r="K241" i="2"/>
  <c r="J241" i="2"/>
  <c r="I241" i="2"/>
  <c r="H241" i="2"/>
  <c r="A241" i="2"/>
  <c r="R240" i="2"/>
  <c r="M240" i="2"/>
  <c r="J240" i="2"/>
  <c r="I240" i="2"/>
  <c r="H240" i="2"/>
  <c r="A240" i="2"/>
  <c r="R239" i="2"/>
  <c r="S239" i="2" s="1"/>
  <c r="O239" i="2"/>
  <c r="N239" i="2"/>
  <c r="M239" i="2"/>
  <c r="J239" i="2"/>
  <c r="K239" i="2" s="1"/>
  <c r="L239" i="2" s="1"/>
  <c r="I239" i="2"/>
  <c r="H239" i="2"/>
  <c r="A239" i="2"/>
  <c r="M238" i="2"/>
  <c r="J238" i="2"/>
  <c r="I238" i="2"/>
  <c r="H238" i="2"/>
  <c r="A238" i="2"/>
  <c r="O237" i="2"/>
  <c r="R237" i="2" s="1"/>
  <c r="N237" i="2"/>
  <c r="M237" i="2"/>
  <c r="K237" i="2"/>
  <c r="L237" i="2" s="1"/>
  <c r="J237" i="2"/>
  <c r="I237" i="2"/>
  <c r="H237" i="2"/>
  <c r="A237" i="2"/>
  <c r="M236" i="2"/>
  <c r="J236" i="2"/>
  <c r="I236" i="2"/>
  <c r="H236" i="2"/>
  <c r="A236" i="2"/>
  <c r="R235" i="2"/>
  <c r="S235" i="2" s="1"/>
  <c r="M235" i="2"/>
  <c r="K235" i="2"/>
  <c r="J235" i="2"/>
  <c r="I235" i="2"/>
  <c r="H235" i="2"/>
  <c r="A235" i="2"/>
  <c r="S234" i="2"/>
  <c r="M234" i="2"/>
  <c r="J234" i="2"/>
  <c r="I234" i="2"/>
  <c r="H234" i="2"/>
  <c r="A234" i="2"/>
  <c r="O233" i="2"/>
  <c r="M233" i="2"/>
  <c r="K233" i="2"/>
  <c r="L233" i="2" s="1"/>
  <c r="J233" i="2"/>
  <c r="I233" i="2"/>
  <c r="H233" i="2"/>
  <c r="N233" i="2" s="1"/>
  <c r="A233" i="2"/>
  <c r="R232" i="2"/>
  <c r="R233" i="2" s="1"/>
  <c r="S233" i="2" s="1"/>
  <c r="M232" i="2"/>
  <c r="J232" i="2"/>
  <c r="N232" i="2" s="1"/>
  <c r="I232" i="2"/>
  <c r="H232" i="2"/>
  <c r="A232" i="2"/>
  <c r="M231" i="2"/>
  <c r="K231" i="2"/>
  <c r="L231" i="2" s="1"/>
  <c r="J231" i="2"/>
  <c r="I231" i="2"/>
  <c r="H231" i="2"/>
  <c r="A231" i="2"/>
  <c r="M230" i="2"/>
  <c r="J230" i="2"/>
  <c r="I230" i="2"/>
  <c r="H230" i="2"/>
  <c r="A230" i="2"/>
  <c r="M229" i="2"/>
  <c r="J229" i="2"/>
  <c r="K229" i="2" s="1"/>
  <c r="I229" i="2"/>
  <c r="H229" i="2"/>
  <c r="N229" i="2" s="1"/>
  <c r="O229" i="2" s="1"/>
  <c r="A229" i="2"/>
  <c r="M228" i="2"/>
  <c r="K228" i="2"/>
  <c r="J228" i="2"/>
  <c r="I228" i="2"/>
  <c r="H228" i="2"/>
  <c r="A228" i="2"/>
  <c r="N227" i="2"/>
  <c r="O227" i="2" s="1"/>
  <c r="V227" i="2" s="1"/>
  <c r="M227" i="2"/>
  <c r="K227" i="2"/>
  <c r="L227" i="2" s="1"/>
  <c r="J227" i="2"/>
  <c r="I227" i="2"/>
  <c r="H227" i="2"/>
  <c r="A227" i="2"/>
  <c r="M226" i="2"/>
  <c r="K226" i="2"/>
  <c r="J226" i="2"/>
  <c r="I226" i="2"/>
  <c r="H226" i="2"/>
  <c r="N226" i="2" s="1"/>
  <c r="A226" i="2"/>
  <c r="R225" i="2"/>
  <c r="R226" i="2" s="1"/>
  <c r="M225" i="2"/>
  <c r="J225" i="2"/>
  <c r="K225" i="2" s="1"/>
  <c r="I225" i="2"/>
  <c r="H225" i="2"/>
  <c r="A225" i="2"/>
  <c r="S224" i="2"/>
  <c r="R224" i="2"/>
  <c r="M224" i="2"/>
  <c r="K224" i="2"/>
  <c r="L224" i="2" s="1"/>
  <c r="J224" i="2"/>
  <c r="I224" i="2"/>
  <c r="H224" i="2"/>
  <c r="A224" i="2"/>
  <c r="M223" i="2"/>
  <c r="J223" i="2"/>
  <c r="I223" i="2"/>
  <c r="H223" i="2"/>
  <c r="A223" i="2"/>
  <c r="R222" i="2"/>
  <c r="S222" i="2" s="1"/>
  <c r="M222" i="2"/>
  <c r="J222" i="2"/>
  <c r="I222" i="2"/>
  <c r="H222" i="2"/>
  <c r="A222" i="2"/>
  <c r="R221" i="2"/>
  <c r="S221" i="2" s="1"/>
  <c r="M221" i="2"/>
  <c r="K221" i="2"/>
  <c r="L221" i="2" s="1"/>
  <c r="J221" i="2"/>
  <c r="I221" i="2"/>
  <c r="N221" i="2" s="1"/>
  <c r="H221" i="2"/>
  <c r="A221" i="2"/>
  <c r="M220" i="2"/>
  <c r="K220" i="2"/>
  <c r="J220" i="2"/>
  <c r="I220" i="2"/>
  <c r="H220" i="2"/>
  <c r="N220" i="2" s="1"/>
  <c r="A220" i="2"/>
  <c r="N219" i="2"/>
  <c r="M219" i="2"/>
  <c r="K219" i="2"/>
  <c r="J219" i="2"/>
  <c r="I219" i="2"/>
  <c r="H219" i="2"/>
  <c r="A219" i="2"/>
  <c r="M218" i="2"/>
  <c r="K218" i="2"/>
  <c r="J218" i="2"/>
  <c r="I218" i="2"/>
  <c r="H218" i="2"/>
  <c r="A218" i="2"/>
  <c r="R217" i="2"/>
  <c r="N217" i="2"/>
  <c r="M217" i="2"/>
  <c r="J217" i="2"/>
  <c r="K217" i="2" s="1"/>
  <c r="I217" i="2"/>
  <c r="H217" i="2"/>
  <c r="A217" i="2"/>
  <c r="S216" i="2"/>
  <c r="M216" i="2"/>
  <c r="L216" i="2"/>
  <c r="J216" i="2"/>
  <c r="K216" i="2" s="1"/>
  <c r="I216" i="2"/>
  <c r="H216" i="2"/>
  <c r="A216" i="2"/>
  <c r="M215" i="2"/>
  <c r="J215" i="2"/>
  <c r="I215" i="2"/>
  <c r="H215" i="2"/>
  <c r="A215" i="2"/>
  <c r="R214" i="2"/>
  <c r="M214" i="2"/>
  <c r="K214" i="2"/>
  <c r="J214" i="2"/>
  <c r="L214" i="2" s="1"/>
  <c r="I214" i="2"/>
  <c r="H214" i="2"/>
  <c r="N214" i="2" s="1"/>
  <c r="O214" i="2" s="1"/>
  <c r="A214" i="2"/>
  <c r="N213" i="2"/>
  <c r="M213" i="2"/>
  <c r="J213" i="2"/>
  <c r="K213" i="2" s="1"/>
  <c r="I213" i="2"/>
  <c r="H213" i="2"/>
  <c r="A213" i="2"/>
  <c r="M212" i="2"/>
  <c r="J212" i="2"/>
  <c r="K212" i="2" s="1"/>
  <c r="I212" i="2"/>
  <c r="H212" i="2"/>
  <c r="A212" i="2"/>
  <c r="M211" i="2"/>
  <c r="K211" i="2"/>
  <c r="J211" i="2"/>
  <c r="I211" i="2"/>
  <c r="H211" i="2"/>
  <c r="A211" i="2"/>
  <c r="M210" i="2"/>
  <c r="K210" i="2"/>
  <c r="J210" i="2"/>
  <c r="I210" i="2"/>
  <c r="H210" i="2"/>
  <c r="A210" i="2"/>
  <c r="N209" i="2"/>
  <c r="O209" i="2" s="1"/>
  <c r="M209" i="2"/>
  <c r="L209" i="2"/>
  <c r="K209" i="2"/>
  <c r="J209" i="2"/>
  <c r="I209" i="2"/>
  <c r="H209" i="2"/>
  <c r="A209" i="2"/>
  <c r="M208" i="2"/>
  <c r="J208" i="2"/>
  <c r="I208" i="2"/>
  <c r="H208" i="2"/>
  <c r="N208" i="2" s="1"/>
  <c r="A208" i="2"/>
  <c r="M207" i="2"/>
  <c r="J207" i="2"/>
  <c r="I207" i="2"/>
  <c r="H207" i="2"/>
  <c r="A207" i="2"/>
  <c r="M206" i="2"/>
  <c r="K206" i="2"/>
  <c r="J206" i="2"/>
  <c r="L206" i="2" s="1"/>
  <c r="I206" i="2"/>
  <c r="H206" i="2"/>
  <c r="A206" i="2"/>
  <c r="R205" i="2"/>
  <c r="R213" i="2" s="1"/>
  <c r="N205" i="2"/>
  <c r="M205" i="2"/>
  <c r="J205" i="2"/>
  <c r="I205" i="2"/>
  <c r="H205" i="2"/>
  <c r="A205" i="2"/>
  <c r="S204" i="2"/>
  <c r="R204" i="2"/>
  <c r="M204" i="2"/>
  <c r="J204" i="2"/>
  <c r="N204" i="2" s="1"/>
  <c r="I204" i="2"/>
  <c r="H204" i="2"/>
  <c r="A204" i="2"/>
  <c r="Z203" i="2"/>
  <c r="M203" i="2"/>
  <c r="J203" i="2"/>
  <c r="I203" i="2"/>
  <c r="H203" i="2"/>
  <c r="A203" i="2"/>
  <c r="Z202" i="2"/>
  <c r="N202" i="2"/>
  <c r="M202" i="2"/>
  <c r="K202" i="2"/>
  <c r="J202" i="2"/>
  <c r="I202" i="2"/>
  <c r="H202" i="2"/>
  <c r="A202" i="2"/>
  <c r="Z201" i="2"/>
  <c r="M201" i="2"/>
  <c r="L201" i="2"/>
  <c r="K201" i="2"/>
  <c r="J201" i="2"/>
  <c r="I201" i="2"/>
  <c r="H201" i="2"/>
  <c r="A201" i="2"/>
  <c r="Z200" i="2"/>
  <c r="M200" i="2"/>
  <c r="J200" i="2"/>
  <c r="I200" i="2"/>
  <c r="H200" i="2"/>
  <c r="N200" i="2" s="1"/>
  <c r="A200" i="2"/>
  <c r="N199" i="2"/>
  <c r="M199" i="2"/>
  <c r="K199" i="2" a="1"/>
  <c r="K199" i="2" s="1"/>
  <c r="J199" i="2"/>
  <c r="I199" i="2"/>
  <c r="H199" i="2"/>
  <c r="A199" i="2"/>
  <c r="R198" i="2"/>
  <c r="M198" i="2"/>
  <c r="K198" i="2" a="1"/>
  <c r="K198" i="2"/>
  <c r="J198" i="2"/>
  <c r="I198" i="2"/>
  <c r="N198" i="2" s="1"/>
  <c r="H198" i="2"/>
  <c r="A198" i="2"/>
  <c r="R197" i="2"/>
  <c r="N197" i="2"/>
  <c r="M197" i="2"/>
  <c r="J197" i="2"/>
  <c r="K197" i="2" s="1"/>
  <c r="I197" i="2"/>
  <c r="H197" i="2"/>
  <c r="A197" i="2"/>
  <c r="M196" i="2"/>
  <c r="L196" i="2"/>
  <c r="K196" i="2"/>
  <c r="J196" i="2"/>
  <c r="I196" i="2"/>
  <c r="H196" i="2"/>
  <c r="N196" i="2" s="1"/>
  <c r="O196" i="2" s="1"/>
  <c r="Q196" i="2" s="1"/>
  <c r="A196" i="2"/>
  <c r="M195" i="2"/>
  <c r="K195" i="2"/>
  <c r="L195" i="2" s="1"/>
  <c r="J195" i="2"/>
  <c r="I195" i="2"/>
  <c r="H195" i="2"/>
  <c r="A195" i="2"/>
  <c r="M194" i="2"/>
  <c r="K194" i="2"/>
  <c r="J194" i="2"/>
  <c r="I194" i="2"/>
  <c r="H194" i="2"/>
  <c r="N194" i="2" s="1"/>
  <c r="A194" i="2"/>
  <c r="R193" i="2"/>
  <c r="S193" i="2" s="1"/>
  <c r="M193" i="2"/>
  <c r="K193" i="2"/>
  <c r="J193" i="2"/>
  <c r="I193" i="2"/>
  <c r="H193" i="2"/>
  <c r="A193" i="2"/>
  <c r="S192" i="2"/>
  <c r="N192" i="2"/>
  <c r="M192" i="2"/>
  <c r="L192" i="2"/>
  <c r="K192" i="2"/>
  <c r="J192" i="2"/>
  <c r="I192" i="2"/>
  <c r="H192" i="2"/>
  <c r="A192" i="2"/>
  <c r="R191" i="2"/>
  <c r="S191" i="2" s="1"/>
  <c r="M191" i="2"/>
  <c r="K191" i="2"/>
  <c r="J191" i="2"/>
  <c r="I191" i="2"/>
  <c r="H191" i="2"/>
  <c r="A191" i="2"/>
  <c r="R190" i="2"/>
  <c r="N190" i="2"/>
  <c r="O190" i="2" s="1"/>
  <c r="M190" i="2"/>
  <c r="L190" i="2"/>
  <c r="K190" i="2"/>
  <c r="J190" i="2"/>
  <c r="I190" i="2"/>
  <c r="H190" i="2"/>
  <c r="A190" i="2"/>
  <c r="R189" i="2"/>
  <c r="M189" i="2"/>
  <c r="J189" i="2"/>
  <c r="I189" i="2"/>
  <c r="H189" i="2"/>
  <c r="A189" i="2"/>
  <c r="M188" i="2"/>
  <c r="L188" i="2"/>
  <c r="K188" i="2"/>
  <c r="J188" i="2"/>
  <c r="I188" i="2"/>
  <c r="H188" i="2"/>
  <c r="N188" i="2" s="1"/>
  <c r="O188" i="2" s="1"/>
  <c r="A188" i="2"/>
  <c r="M187" i="2"/>
  <c r="K187" i="2"/>
  <c r="L187" i="2" s="1"/>
  <c r="J187" i="2"/>
  <c r="I187" i="2"/>
  <c r="H187" i="2"/>
  <c r="A187" i="2"/>
  <c r="M186" i="2"/>
  <c r="K186" i="2"/>
  <c r="L186" i="2" s="1"/>
  <c r="J186" i="2"/>
  <c r="K186" i="2" s="1" a="1"/>
  <c r="I186" i="2"/>
  <c r="H186" i="2"/>
  <c r="A186" i="2"/>
  <c r="M185" i="2"/>
  <c r="J185" i="2"/>
  <c r="K185" i="2" s="1"/>
  <c r="I185" i="2"/>
  <c r="H185" i="2"/>
  <c r="A185" i="2"/>
  <c r="M184" i="2"/>
  <c r="K184" i="2"/>
  <c r="L184" i="2" s="1"/>
  <c r="J184" i="2"/>
  <c r="I184" i="2"/>
  <c r="H184" i="2"/>
  <c r="A184" i="2"/>
  <c r="M183" i="2"/>
  <c r="K183" i="2" a="1"/>
  <c r="K183" i="2" s="1"/>
  <c r="L183" i="2" s="1"/>
  <c r="J183" i="2"/>
  <c r="N183" i="2" s="1"/>
  <c r="I183" i="2"/>
  <c r="H183" i="2"/>
  <c r="A183" i="2"/>
  <c r="M182" i="2"/>
  <c r="J182" i="2"/>
  <c r="I182" i="2"/>
  <c r="H182" i="2"/>
  <c r="N182" i="2" s="1"/>
  <c r="A182" i="2"/>
  <c r="R181" i="2"/>
  <c r="M181" i="2"/>
  <c r="L181" i="2"/>
  <c r="J181" i="2"/>
  <c r="K181" i="2" s="1"/>
  <c r="I181" i="2"/>
  <c r="N181" i="2" s="1"/>
  <c r="O181" i="2" s="1"/>
  <c r="H181" i="2"/>
  <c r="A181" i="2"/>
  <c r="S180" i="2"/>
  <c r="R180" i="2"/>
  <c r="M180" i="2"/>
  <c r="J180" i="2"/>
  <c r="N180" i="2" s="1"/>
  <c r="I180" i="2"/>
  <c r="H180" i="2"/>
  <c r="A180" i="2"/>
  <c r="R179" i="2"/>
  <c r="S179" i="2" s="1"/>
  <c r="M179" i="2"/>
  <c r="J179" i="2"/>
  <c r="K179" i="2" s="1"/>
  <c r="I179" i="2"/>
  <c r="H179" i="2"/>
  <c r="A179" i="2"/>
  <c r="R178" i="2"/>
  <c r="S178" i="2" s="1"/>
  <c r="Q178" i="2"/>
  <c r="M178" i="2"/>
  <c r="K178" i="2"/>
  <c r="O178" i="2" s="1"/>
  <c r="J178" i="2"/>
  <c r="I178" i="2"/>
  <c r="H178" i="2"/>
  <c r="N178" i="2" s="1"/>
  <c r="A178" i="2"/>
  <c r="M177" i="2"/>
  <c r="L177" i="2"/>
  <c r="J177" i="2"/>
  <c r="K177" i="2" s="1"/>
  <c r="I177" i="2"/>
  <c r="H177" i="2"/>
  <c r="A177" i="2"/>
  <c r="N176" i="2"/>
  <c r="M176" i="2"/>
  <c r="J176" i="2"/>
  <c r="K176" i="2" s="1"/>
  <c r="O176" i="2" s="1"/>
  <c r="R176" i="2" s="1"/>
  <c r="I176" i="2"/>
  <c r="H176" i="2"/>
  <c r="A176" i="2"/>
  <c r="M175" i="2"/>
  <c r="J175" i="2"/>
  <c r="I175" i="2"/>
  <c r="H175" i="2"/>
  <c r="A175" i="2"/>
  <c r="R174" i="2"/>
  <c r="N174" i="2"/>
  <c r="M174" i="2"/>
  <c r="L174" i="2"/>
  <c r="J174" i="2"/>
  <c r="K174" i="2" s="1"/>
  <c r="I174" i="2"/>
  <c r="H174" i="2"/>
  <c r="A174" i="2"/>
  <c r="S173" i="2"/>
  <c r="M173" i="2"/>
  <c r="J173" i="2"/>
  <c r="I173" i="2"/>
  <c r="H173" i="2"/>
  <c r="N173" i="2" s="1"/>
  <c r="A173" i="2"/>
  <c r="M172" i="2"/>
  <c r="L172" i="2"/>
  <c r="J172" i="2"/>
  <c r="K172" i="2" s="1"/>
  <c r="I172" i="2"/>
  <c r="N172" i="2" s="1"/>
  <c r="O172" i="2" s="1"/>
  <c r="H172" i="2"/>
  <c r="A172" i="2"/>
  <c r="R171" i="2"/>
  <c r="R172" i="2" s="1"/>
  <c r="N171" i="2"/>
  <c r="M171" i="2"/>
  <c r="J171" i="2"/>
  <c r="K171" i="2" s="1"/>
  <c r="I171" i="2"/>
  <c r="H171" i="2"/>
  <c r="A171" i="2"/>
  <c r="M170" i="2"/>
  <c r="L170" i="2"/>
  <c r="J170" i="2"/>
  <c r="K170" i="2" s="1"/>
  <c r="I170" i="2"/>
  <c r="H170" i="2"/>
  <c r="A170" i="2"/>
  <c r="M169" i="2"/>
  <c r="L169" i="2"/>
  <c r="J169" i="2"/>
  <c r="K169" i="2" s="1"/>
  <c r="I169" i="2"/>
  <c r="H169" i="2"/>
  <c r="A169" i="2"/>
  <c r="M168" i="2"/>
  <c r="J168" i="2"/>
  <c r="I168" i="2"/>
  <c r="H168" i="2"/>
  <c r="A168" i="2"/>
  <c r="M167" i="2"/>
  <c r="J167" i="2"/>
  <c r="K167" i="2" s="1"/>
  <c r="I167" i="2"/>
  <c r="H167" i="2"/>
  <c r="A167" i="2"/>
  <c r="M166" i="2"/>
  <c r="J166" i="2"/>
  <c r="I166" i="2"/>
  <c r="H166" i="2"/>
  <c r="A166" i="2"/>
  <c r="M165" i="2"/>
  <c r="K165" i="2"/>
  <c r="J165" i="2"/>
  <c r="I165" i="2"/>
  <c r="N165" i="2" s="1"/>
  <c r="H165" i="2"/>
  <c r="A165" i="2"/>
  <c r="R164" i="2"/>
  <c r="M164" i="2"/>
  <c r="J164" i="2"/>
  <c r="I164" i="2"/>
  <c r="H164" i="2"/>
  <c r="A164" i="2"/>
  <c r="S163" i="2"/>
  <c r="R163" i="2"/>
  <c r="M163" i="2"/>
  <c r="L163" i="2"/>
  <c r="J163" i="2"/>
  <c r="K163" i="2" s="1"/>
  <c r="I163" i="2"/>
  <c r="H163" i="2"/>
  <c r="A163" i="2"/>
  <c r="R162" i="2"/>
  <c r="N162" i="2"/>
  <c r="M162" i="2"/>
  <c r="K162" i="2"/>
  <c r="L162" i="2" s="1"/>
  <c r="J162" i="2"/>
  <c r="I162" i="2"/>
  <c r="H162" i="2"/>
  <c r="A162" i="2"/>
  <c r="M161" i="2"/>
  <c r="J161" i="2"/>
  <c r="I161" i="2"/>
  <c r="H161" i="2"/>
  <c r="A161" i="2"/>
  <c r="N160" i="2"/>
  <c r="O160" i="2" s="1"/>
  <c r="Q160" i="2" s="1"/>
  <c r="M160" i="2"/>
  <c r="L160" i="2"/>
  <c r="K160" i="2"/>
  <c r="J160" i="2"/>
  <c r="I160" i="2"/>
  <c r="H160" i="2"/>
  <c r="A160" i="2"/>
  <c r="M159" i="2"/>
  <c r="K159" i="2"/>
  <c r="J159" i="2"/>
  <c r="I159" i="2"/>
  <c r="H159" i="2"/>
  <c r="A159" i="2"/>
  <c r="N158" i="2"/>
  <c r="O158" i="2" s="1"/>
  <c r="R158" i="2" s="1"/>
  <c r="M158" i="2"/>
  <c r="L158" i="2"/>
  <c r="K158" i="2"/>
  <c r="J158" i="2"/>
  <c r="I158" i="2"/>
  <c r="H158" i="2"/>
  <c r="A158" i="2"/>
  <c r="R157" i="2"/>
  <c r="M157" i="2"/>
  <c r="J157" i="2"/>
  <c r="I157" i="2"/>
  <c r="H157" i="2"/>
  <c r="A157" i="2"/>
  <c r="S156" i="2"/>
  <c r="M156" i="2"/>
  <c r="L156" i="2"/>
  <c r="K156" i="2"/>
  <c r="O156" i="2" s="1"/>
  <c r="J156" i="2"/>
  <c r="I156" i="2"/>
  <c r="H156" i="2"/>
  <c r="N156" i="2" s="1"/>
  <c r="A156" i="2"/>
  <c r="M155" i="2"/>
  <c r="K155" i="2"/>
  <c r="J155" i="2"/>
  <c r="I155" i="2"/>
  <c r="H155" i="2"/>
  <c r="A155" i="2"/>
  <c r="R154" i="2"/>
  <c r="M154" i="2"/>
  <c r="K154" i="2"/>
  <c r="J154" i="2"/>
  <c r="I154" i="2"/>
  <c r="H154" i="2"/>
  <c r="N154" i="2" s="1"/>
  <c r="A154" i="2"/>
  <c r="M153" i="2"/>
  <c r="K153" i="2"/>
  <c r="J153" i="2"/>
  <c r="I153" i="2"/>
  <c r="H153" i="2"/>
  <c r="A153" i="2"/>
  <c r="N152" i="2"/>
  <c r="O152" i="2" s="1"/>
  <c r="M152" i="2"/>
  <c r="L152" i="2"/>
  <c r="K152" i="2"/>
  <c r="J152" i="2"/>
  <c r="I152" i="2"/>
  <c r="H152" i="2"/>
  <c r="A152" i="2"/>
  <c r="M151" i="2"/>
  <c r="J151" i="2"/>
  <c r="I151" i="2"/>
  <c r="H151" i="2"/>
  <c r="A151" i="2"/>
  <c r="M150" i="2"/>
  <c r="K150" i="2"/>
  <c r="J150" i="2"/>
  <c r="I150" i="2"/>
  <c r="H150" i="2"/>
  <c r="N150" i="2" s="1"/>
  <c r="O150" i="2" s="1"/>
  <c r="V150" i="2" s="1"/>
  <c r="A150" i="2"/>
  <c r="M149" i="2"/>
  <c r="K149" i="2"/>
  <c r="O149" i="2" s="1"/>
  <c r="V149" i="2" s="1"/>
  <c r="J149" i="2"/>
  <c r="I149" i="2"/>
  <c r="N149" i="2" s="1"/>
  <c r="H149" i="2"/>
  <c r="A149" i="2"/>
  <c r="M148" i="2"/>
  <c r="J148" i="2"/>
  <c r="N148" i="2" s="1"/>
  <c r="I148" i="2"/>
  <c r="H148" i="2"/>
  <c r="A148" i="2"/>
  <c r="R147" i="2"/>
  <c r="U147" i="2" s="1"/>
  <c r="M147" i="2"/>
  <c r="K147" i="2"/>
  <c r="O147" i="2" s="1"/>
  <c r="Q147" i="2" s="1"/>
  <c r="J147" i="2"/>
  <c r="L147" i="2" s="1"/>
  <c r="I147" i="2"/>
  <c r="N147" i="2" s="1"/>
  <c r="H147" i="2"/>
  <c r="A147" i="2"/>
  <c r="S146" i="2"/>
  <c r="R146" i="2"/>
  <c r="M146" i="2"/>
  <c r="J146" i="2"/>
  <c r="I146" i="2"/>
  <c r="H146" i="2"/>
  <c r="N146" i="2" s="1"/>
  <c r="A146" i="2"/>
  <c r="N145" i="2"/>
  <c r="M145" i="2"/>
  <c r="L145" i="2"/>
  <c r="K145" i="2" a="1"/>
  <c r="K145" i="2"/>
  <c r="O145" i="2" s="1"/>
  <c r="J145" i="2"/>
  <c r="I145" i="2"/>
  <c r="H145" i="2"/>
  <c r="M144" i="2"/>
  <c r="K144" i="2"/>
  <c r="L144" i="2" s="1"/>
  <c r="J144" i="2"/>
  <c r="I144" i="2"/>
  <c r="H144" i="2"/>
  <c r="A144" i="2"/>
  <c r="M143" i="2"/>
  <c r="K143" i="2"/>
  <c r="L143" i="2" s="1"/>
  <c r="J143" i="2"/>
  <c r="I143" i="2"/>
  <c r="H143" i="2"/>
  <c r="N143" i="2" s="1"/>
  <c r="A143" i="2"/>
  <c r="R142" i="2"/>
  <c r="U142" i="2" s="1"/>
  <c r="M142" i="2"/>
  <c r="K142" i="2"/>
  <c r="L142" i="2" s="1"/>
  <c r="J142" i="2"/>
  <c r="N142" i="2" s="1"/>
  <c r="O142" i="2" s="1"/>
  <c r="I142" i="2"/>
  <c r="H142" i="2"/>
  <c r="A142" i="2"/>
  <c r="S141" i="2"/>
  <c r="M141" i="2"/>
  <c r="J141" i="2"/>
  <c r="L141" i="2" s="1"/>
  <c r="I141" i="2"/>
  <c r="H141" i="2"/>
  <c r="A141" i="2"/>
  <c r="M140" i="2"/>
  <c r="J140" i="2"/>
  <c r="I140" i="2"/>
  <c r="H140" i="2"/>
  <c r="N140" i="2" s="1"/>
  <c r="A140" i="2"/>
  <c r="R139" i="2"/>
  <c r="S139" i="2" s="1"/>
  <c r="M139" i="2"/>
  <c r="L139" i="2"/>
  <c r="J139" i="2"/>
  <c r="K139" i="2" s="1"/>
  <c r="I139" i="2"/>
  <c r="H139" i="2"/>
  <c r="A139" i="2"/>
  <c r="M138" i="2"/>
  <c r="J138" i="2"/>
  <c r="I138" i="2"/>
  <c r="H138" i="2"/>
  <c r="N138" i="2" s="1"/>
  <c r="A138" i="2"/>
  <c r="M137" i="2"/>
  <c r="J137" i="2"/>
  <c r="K137" i="2" s="1"/>
  <c r="I137" i="2"/>
  <c r="H137" i="2"/>
  <c r="A137" i="2"/>
  <c r="M136" i="2"/>
  <c r="K136" i="2"/>
  <c r="L136" i="2" s="1"/>
  <c r="J136" i="2"/>
  <c r="I136" i="2"/>
  <c r="H136" i="2"/>
  <c r="A136" i="2"/>
  <c r="N135" i="2"/>
  <c r="M135" i="2"/>
  <c r="L135" i="2"/>
  <c r="K135" i="2"/>
  <c r="O135" i="2" s="1"/>
  <c r="V135" i="2" s="1"/>
  <c r="J135" i="2"/>
  <c r="I135" i="2"/>
  <c r="H135" i="2"/>
  <c r="A135" i="2"/>
  <c r="M134" i="2"/>
  <c r="K134" i="2"/>
  <c r="O134" i="2" s="1"/>
  <c r="V134" i="2" s="1"/>
  <c r="J134" i="2"/>
  <c r="I134" i="2"/>
  <c r="N134" i="2" s="1"/>
  <c r="H134" i="2"/>
  <c r="A134" i="2"/>
  <c r="M133" i="2"/>
  <c r="J133" i="2"/>
  <c r="N133" i="2" s="1"/>
  <c r="I133" i="2"/>
  <c r="H133" i="2"/>
  <c r="A133" i="2"/>
  <c r="R132" i="2"/>
  <c r="R138" i="2" s="1"/>
  <c r="M132" i="2"/>
  <c r="K132" i="2"/>
  <c r="J132" i="2"/>
  <c r="I132" i="2"/>
  <c r="N132" i="2" s="1"/>
  <c r="H132" i="2"/>
  <c r="A132" i="2"/>
  <c r="S131" i="2"/>
  <c r="R131" i="2"/>
  <c r="N131" i="2"/>
  <c r="M131" i="2"/>
  <c r="J131" i="2"/>
  <c r="I131" i="2"/>
  <c r="H131" i="2"/>
  <c r="A131" i="2"/>
  <c r="S130" i="2"/>
  <c r="R130" i="2"/>
  <c r="M130" i="2"/>
  <c r="K130" i="2"/>
  <c r="J130" i="2"/>
  <c r="N130" i="2" s="1"/>
  <c r="I130" i="2"/>
  <c r="H130" i="2"/>
  <c r="A130" i="2"/>
  <c r="M129" i="2"/>
  <c r="J129" i="2"/>
  <c r="I129" i="2"/>
  <c r="H129" i="2"/>
  <c r="A129" i="2"/>
  <c r="N128" i="2"/>
  <c r="M128" i="2"/>
  <c r="L128" i="2"/>
  <c r="K128" i="2"/>
  <c r="J128" i="2"/>
  <c r="I128" i="2"/>
  <c r="H128" i="2"/>
  <c r="A128" i="2"/>
  <c r="R127" i="2"/>
  <c r="S127" i="2" s="1"/>
  <c r="M127" i="2"/>
  <c r="J127" i="2"/>
  <c r="I127" i="2"/>
  <c r="H127" i="2"/>
  <c r="A127" i="2"/>
  <c r="S126" i="2"/>
  <c r="N126" i="2"/>
  <c r="M126" i="2"/>
  <c r="L126" i="2"/>
  <c r="K126" i="2"/>
  <c r="J126" i="2"/>
  <c r="I126" i="2"/>
  <c r="H126" i="2"/>
  <c r="A126" i="2"/>
  <c r="M125" i="2"/>
  <c r="J125" i="2"/>
  <c r="I125" i="2"/>
  <c r="H125" i="2"/>
  <c r="A125" i="2"/>
  <c r="R124" i="2"/>
  <c r="R125" i="2" s="1"/>
  <c r="S125" i="2" s="1"/>
  <c r="N124" i="2"/>
  <c r="M124" i="2"/>
  <c r="L124" i="2"/>
  <c r="K124" i="2"/>
  <c r="J124" i="2"/>
  <c r="I124" i="2"/>
  <c r="H124" i="2"/>
  <c r="A124" i="2"/>
  <c r="M123" i="2"/>
  <c r="J123" i="2"/>
  <c r="I123" i="2"/>
  <c r="H123" i="2"/>
  <c r="A123" i="2"/>
  <c r="N122" i="2"/>
  <c r="M122" i="2"/>
  <c r="L122" i="2"/>
  <c r="K122" i="2"/>
  <c r="J122" i="2"/>
  <c r="I122" i="2"/>
  <c r="H122" i="2"/>
  <c r="A122" i="2"/>
  <c r="M121" i="2"/>
  <c r="K121" i="2"/>
  <c r="J121" i="2"/>
  <c r="L121" i="2" s="1"/>
  <c r="I121" i="2"/>
  <c r="N121" i="2" s="1"/>
  <c r="H121" i="2"/>
  <c r="A121" i="2"/>
  <c r="M120" i="2"/>
  <c r="J120" i="2"/>
  <c r="I120" i="2"/>
  <c r="H120" i="2"/>
  <c r="N120" i="2" s="1"/>
  <c r="A120" i="2"/>
  <c r="M119" i="2"/>
  <c r="K119" i="2"/>
  <c r="J119" i="2"/>
  <c r="N119" i="2" s="1"/>
  <c r="I119" i="2"/>
  <c r="H119" i="2"/>
  <c r="A119" i="2"/>
  <c r="M118" i="2"/>
  <c r="K118" i="2"/>
  <c r="L118" i="2" s="1"/>
  <c r="J118" i="2"/>
  <c r="I118" i="2"/>
  <c r="H118" i="2"/>
  <c r="A118" i="2"/>
  <c r="R117" i="2"/>
  <c r="R118" i="2" s="1"/>
  <c r="M117" i="2"/>
  <c r="K117" i="2"/>
  <c r="L117" i="2" s="1"/>
  <c r="J117" i="2"/>
  <c r="N117" i="2" s="1"/>
  <c r="I117" i="2"/>
  <c r="H117" i="2"/>
  <c r="A117" i="2"/>
  <c r="S116" i="2"/>
  <c r="R116" i="2"/>
  <c r="M116" i="2"/>
  <c r="J116" i="2"/>
  <c r="I116" i="2"/>
  <c r="H116" i="2"/>
  <c r="A116" i="2"/>
  <c r="M115" i="2"/>
  <c r="J115" i="2"/>
  <c r="K115" i="2" s="1" a="1"/>
  <c r="K115" i="2" s="1"/>
  <c r="I115" i="2"/>
  <c r="N115" i="2" s="1"/>
  <c r="H115" i="2"/>
  <c r="A115" i="2"/>
  <c r="M114" i="2"/>
  <c r="K114" i="2"/>
  <c r="J114" i="2"/>
  <c r="I114" i="2"/>
  <c r="N114" i="2" s="1"/>
  <c r="H114" i="2"/>
  <c r="A114" i="2"/>
  <c r="R113" i="2"/>
  <c r="S113" i="2" s="1"/>
  <c r="M113" i="2"/>
  <c r="J113" i="2"/>
  <c r="I113" i="2"/>
  <c r="H113" i="2"/>
  <c r="A113" i="2"/>
  <c r="S112" i="2"/>
  <c r="M112" i="2"/>
  <c r="K112" i="2"/>
  <c r="O112" i="2" s="1"/>
  <c r="J112" i="2"/>
  <c r="L112" i="2" s="1"/>
  <c r="I112" i="2"/>
  <c r="N112" i="2" s="1"/>
  <c r="H112" i="2"/>
  <c r="A112" i="2"/>
  <c r="M111" i="2"/>
  <c r="J111" i="2"/>
  <c r="I111" i="2"/>
  <c r="H111" i="2"/>
  <c r="A111" i="2"/>
  <c r="R110" i="2"/>
  <c r="R111" i="2" s="1"/>
  <c r="M110" i="2"/>
  <c r="K110" i="2"/>
  <c r="J110" i="2"/>
  <c r="L110" i="2" s="1"/>
  <c r="I110" i="2"/>
  <c r="N110" i="2" s="1"/>
  <c r="H110" i="2"/>
  <c r="A110" i="2"/>
  <c r="M109" i="2"/>
  <c r="J109" i="2"/>
  <c r="I109" i="2"/>
  <c r="H109" i="2"/>
  <c r="A109" i="2"/>
  <c r="M108" i="2"/>
  <c r="K108" i="2"/>
  <c r="J108" i="2"/>
  <c r="L108" i="2" s="1"/>
  <c r="I108" i="2"/>
  <c r="N108" i="2" s="1"/>
  <c r="H108" i="2"/>
  <c r="A108" i="2"/>
  <c r="N107" i="2"/>
  <c r="M107" i="2"/>
  <c r="J107" i="2"/>
  <c r="I107" i="2"/>
  <c r="H107" i="2"/>
  <c r="A107" i="2"/>
  <c r="O106" i="2"/>
  <c r="V106" i="2" s="1"/>
  <c r="M106" i="2"/>
  <c r="K106" i="2"/>
  <c r="L106" i="2" s="1"/>
  <c r="J106" i="2"/>
  <c r="N106" i="2" s="1"/>
  <c r="I106" i="2"/>
  <c r="H106" i="2"/>
  <c r="A106" i="2"/>
  <c r="M105" i="2"/>
  <c r="J105" i="2"/>
  <c r="I105" i="2"/>
  <c r="H105" i="2"/>
  <c r="A105" i="2"/>
  <c r="N104" i="2"/>
  <c r="M104" i="2"/>
  <c r="L104" i="2"/>
  <c r="K104" i="2"/>
  <c r="J104" i="2"/>
  <c r="I104" i="2"/>
  <c r="H104" i="2"/>
  <c r="A104" i="2"/>
  <c r="R103" i="2"/>
  <c r="R109" i="2" s="1"/>
  <c r="S109" i="2" s="1"/>
  <c r="M103" i="2"/>
  <c r="J103" i="2"/>
  <c r="I103" i="2"/>
  <c r="H103" i="2"/>
  <c r="A103" i="2"/>
  <c r="S102" i="2"/>
  <c r="R102" i="2"/>
  <c r="M102" i="2"/>
  <c r="J102" i="2"/>
  <c r="N102" i="2" s="1"/>
  <c r="I102" i="2"/>
  <c r="H102" i="2"/>
  <c r="A102" i="2"/>
  <c r="S101" i="2"/>
  <c r="R101" i="2"/>
  <c r="N101" i="2"/>
  <c r="M101" i="2"/>
  <c r="L101" i="2"/>
  <c r="J101" i="2"/>
  <c r="K101" i="2" s="1"/>
  <c r="O101" i="2" s="1"/>
  <c r="I101" i="2"/>
  <c r="H101" i="2"/>
  <c r="A101" i="2"/>
  <c r="R100" i="2"/>
  <c r="S100" i="2" s="1"/>
  <c r="M100" i="2"/>
  <c r="J100" i="2"/>
  <c r="I100" i="2"/>
  <c r="H100" i="2"/>
  <c r="N100" i="2" s="1"/>
  <c r="A100" i="2"/>
  <c r="S99" i="2"/>
  <c r="M99" i="2"/>
  <c r="J99" i="2"/>
  <c r="I99" i="2"/>
  <c r="H99" i="2"/>
  <c r="A99" i="2"/>
  <c r="A145" i="2" s="1"/>
  <c r="M98" i="2"/>
  <c r="J98" i="2"/>
  <c r="I98" i="2"/>
  <c r="H98" i="2"/>
  <c r="A98" i="2"/>
  <c r="R97" i="2"/>
  <c r="R98" i="2" s="1"/>
  <c r="S98" i="2" s="1"/>
  <c r="N97" i="2"/>
  <c r="M97" i="2"/>
  <c r="L97" i="2"/>
  <c r="J97" i="2"/>
  <c r="K97" i="2" s="1"/>
  <c r="I97" i="2"/>
  <c r="H97" i="2"/>
  <c r="A97" i="2"/>
  <c r="N96" i="2"/>
  <c r="M96" i="2"/>
  <c r="J96" i="2"/>
  <c r="I96" i="2"/>
  <c r="H96" i="2"/>
  <c r="A96" i="2"/>
  <c r="M95" i="2"/>
  <c r="L95" i="2"/>
  <c r="J95" i="2"/>
  <c r="K95" i="2" s="1"/>
  <c r="I95" i="2"/>
  <c r="H95" i="2"/>
  <c r="A95" i="2"/>
  <c r="N94" i="2"/>
  <c r="M94" i="2"/>
  <c r="J94" i="2"/>
  <c r="I94" i="2"/>
  <c r="H94" i="2"/>
  <c r="A94" i="2"/>
  <c r="M93" i="2"/>
  <c r="K93" i="2"/>
  <c r="L93" i="2" s="1"/>
  <c r="J93" i="2"/>
  <c r="N93" i="2" s="1"/>
  <c r="I93" i="2"/>
  <c r="H93" i="2"/>
  <c r="A93" i="2"/>
  <c r="M92" i="2"/>
  <c r="J92" i="2"/>
  <c r="I92" i="2"/>
  <c r="H92" i="2"/>
  <c r="A92" i="2"/>
  <c r="N91" i="2"/>
  <c r="M91" i="2"/>
  <c r="L91" i="2"/>
  <c r="K91" i="2"/>
  <c r="J91" i="2"/>
  <c r="I91" i="2"/>
  <c r="H91" i="2"/>
  <c r="A91" i="2"/>
  <c r="M90" i="2"/>
  <c r="J90" i="2"/>
  <c r="I90" i="2"/>
  <c r="H90" i="2"/>
  <c r="A90" i="2"/>
  <c r="R89" i="2"/>
  <c r="M89" i="2"/>
  <c r="L89" i="2"/>
  <c r="K89" i="2"/>
  <c r="J89" i="2"/>
  <c r="I89" i="2"/>
  <c r="H89" i="2"/>
  <c r="N89" i="2" s="1"/>
  <c r="A89" i="2"/>
  <c r="S88" i="2"/>
  <c r="R88" i="2"/>
  <c r="M88" i="2"/>
  <c r="K88" i="2"/>
  <c r="J88" i="2"/>
  <c r="L88" i="2" s="1"/>
  <c r="I88" i="2"/>
  <c r="N88" i="2" s="1"/>
  <c r="H88" i="2"/>
  <c r="A88" i="2"/>
  <c r="S87" i="2"/>
  <c r="M87" i="2"/>
  <c r="L87" i="2"/>
  <c r="J87" i="2"/>
  <c r="K87" i="2" s="1" a="1"/>
  <c r="K87" i="2" s="1"/>
  <c r="I87" i="2"/>
  <c r="H87" i="2"/>
  <c r="S86" i="2"/>
  <c r="M86" i="2"/>
  <c r="L86" i="2"/>
  <c r="K86" i="2" a="1"/>
  <c r="K86" i="2" s="1"/>
  <c r="O86" i="2" s="1"/>
  <c r="Y86" i="2" s="1"/>
  <c r="J86" i="2"/>
  <c r="N86" i="2" s="1"/>
  <c r="I86" i="2"/>
  <c r="H86" i="2"/>
  <c r="S85" i="2"/>
  <c r="M85" i="2"/>
  <c r="L85" i="2"/>
  <c r="K85" i="2" a="1"/>
  <c r="K85" i="2"/>
  <c r="J85" i="2"/>
  <c r="I85" i="2"/>
  <c r="H85" i="2"/>
  <c r="N85" i="2" s="1"/>
  <c r="O85" i="2" s="1"/>
  <c r="Y85" i="2" s="1"/>
  <c r="S84" i="2"/>
  <c r="M84" i="2"/>
  <c r="J84" i="2"/>
  <c r="I84" i="2"/>
  <c r="H84" i="2"/>
  <c r="S83" i="2"/>
  <c r="M83" i="2"/>
  <c r="J83" i="2"/>
  <c r="N83" i="2" s="1"/>
  <c r="I83" i="2"/>
  <c r="H83" i="2"/>
  <c r="W82" i="2"/>
  <c r="S82" i="2"/>
  <c r="N82" i="2"/>
  <c r="M82" i="2"/>
  <c r="L82" i="2"/>
  <c r="K82" i="2"/>
  <c r="J82" i="2"/>
  <c r="I82" i="2"/>
  <c r="H82" i="2"/>
  <c r="S81" i="2"/>
  <c r="O81" i="2"/>
  <c r="Y81" i="2" s="1"/>
  <c r="N81" i="2"/>
  <c r="M81" i="2"/>
  <c r="K81" i="2"/>
  <c r="J81" i="2"/>
  <c r="I81" i="2"/>
  <c r="H81" i="2"/>
  <c r="S80" i="2"/>
  <c r="M80" i="2"/>
  <c r="J80" i="2"/>
  <c r="I80" i="2"/>
  <c r="H80" i="2"/>
  <c r="S79" i="2"/>
  <c r="N79" i="2"/>
  <c r="M79" i="2"/>
  <c r="K79" i="2"/>
  <c r="L79" i="2" s="1"/>
  <c r="J79" i="2"/>
  <c r="I79" i="2"/>
  <c r="H79" i="2"/>
  <c r="S78" i="2"/>
  <c r="N78" i="2"/>
  <c r="M78" i="2"/>
  <c r="L78" i="2"/>
  <c r="J78" i="2"/>
  <c r="K78" i="2" s="1" a="1"/>
  <c r="K78" i="2" s="1"/>
  <c r="I78" i="2"/>
  <c r="H78" i="2"/>
  <c r="M77" i="2"/>
  <c r="L77" i="2"/>
  <c r="K77" i="2" a="1"/>
  <c r="K77" i="2" s="1"/>
  <c r="J77" i="2"/>
  <c r="I77" i="2"/>
  <c r="H77" i="2"/>
  <c r="S76" i="2"/>
  <c r="M76" i="2"/>
  <c r="K76" i="2" a="1"/>
  <c r="K76" i="2"/>
  <c r="L76" i="2" s="1"/>
  <c r="J76" i="2"/>
  <c r="I76" i="2"/>
  <c r="H76" i="2"/>
  <c r="N76" i="2" s="1"/>
  <c r="O76" i="2" s="1"/>
  <c r="Y76" i="2" s="1"/>
  <c r="M75" i="2"/>
  <c r="L75" i="2"/>
  <c r="K75" i="2"/>
  <c r="J75" i="2"/>
  <c r="I75" i="2"/>
  <c r="H75" i="2"/>
  <c r="N75" i="2" s="1"/>
  <c r="M74" i="2"/>
  <c r="L74" i="2"/>
  <c r="K74" i="2"/>
  <c r="J74" i="2"/>
  <c r="I74" i="2"/>
  <c r="H74" i="2"/>
  <c r="N74" i="2" s="1"/>
  <c r="N73" i="2"/>
  <c r="M73" i="2"/>
  <c r="L73" i="2"/>
  <c r="K73" i="2"/>
  <c r="J73" i="2"/>
  <c r="I73" i="2"/>
  <c r="H73" i="2"/>
  <c r="N72" i="2"/>
  <c r="M72" i="2"/>
  <c r="L72" i="2"/>
  <c r="K72" i="2"/>
  <c r="J72" i="2"/>
  <c r="I72" i="2"/>
  <c r="H72" i="2"/>
  <c r="S71" i="2"/>
  <c r="N71" i="2"/>
  <c r="M71" i="2"/>
  <c r="J71" i="2"/>
  <c r="I71" i="2"/>
  <c r="H71" i="2"/>
  <c r="S70" i="2"/>
  <c r="N70" i="2"/>
  <c r="M70" i="2"/>
  <c r="J70" i="2"/>
  <c r="I70" i="2"/>
  <c r="H70" i="2"/>
  <c r="W69" i="2"/>
  <c r="S69" i="2"/>
  <c r="M69" i="2"/>
  <c r="J69" i="2"/>
  <c r="I69" i="2"/>
  <c r="H69" i="2"/>
  <c r="S68" i="2"/>
  <c r="M68" i="2"/>
  <c r="K68" i="2"/>
  <c r="O68" i="2" s="1"/>
  <c r="J68" i="2"/>
  <c r="N68" i="2" s="1"/>
  <c r="I68" i="2"/>
  <c r="H68" i="2"/>
  <c r="S67" i="2"/>
  <c r="N67" i="2"/>
  <c r="M67" i="2"/>
  <c r="K67" i="2" a="1"/>
  <c r="K67" i="2" s="1"/>
  <c r="O67" i="2" s="1"/>
  <c r="J67" i="2"/>
  <c r="I67" i="2"/>
  <c r="H67" i="2"/>
  <c r="S66" i="2"/>
  <c r="M66" i="2"/>
  <c r="L66" i="2" s="1"/>
  <c r="K66" i="2"/>
  <c r="J66" i="2"/>
  <c r="I66" i="2"/>
  <c r="N66" i="2" s="1"/>
  <c r="H66" i="2"/>
  <c r="S65" i="2"/>
  <c r="N65" i="2"/>
  <c r="M65" i="2"/>
  <c r="J65" i="2"/>
  <c r="I65" i="2"/>
  <c r="H65" i="2"/>
  <c r="M64" i="2"/>
  <c r="K64" i="2"/>
  <c r="J64" i="2"/>
  <c r="N64" i="2" s="1"/>
  <c r="I64" i="2"/>
  <c r="H64" i="2"/>
  <c r="M63" i="2"/>
  <c r="L63" i="2"/>
  <c r="K63" i="2"/>
  <c r="J63" i="2"/>
  <c r="I63" i="2"/>
  <c r="H63" i="2"/>
  <c r="M62" i="2"/>
  <c r="K62" i="2"/>
  <c r="J62" i="2"/>
  <c r="I62" i="2"/>
  <c r="H62" i="2"/>
  <c r="N62" i="2" s="1"/>
  <c r="S61" i="2"/>
  <c r="M61" i="2"/>
  <c r="J61" i="2"/>
  <c r="N61" i="2" s="1"/>
  <c r="I61" i="2"/>
  <c r="H61" i="2"/>
  <c r="S60" i="2"/>
  <c r="M60" i="2"/>
  <c r="L60" i="2"/>
  <c r="J60" i="2"/>
  <c r="K60" i="2" s="1" a="1"/>
  <c r="K60" i="2" s="1"/>
  <c r="I60" i="2"/>
  <c r="H60" i="2"/>
  <c r="S59" i="2"/>
  <c r="M59" i="2"/>
  <c r="K59" i="2"/>
  <c r="O59" i="2" s="1"/>
  <c r="J59" i="2"/>
  <c r="N59" i="2" s="1"/>
  <c r="I59" i="2"/>
  <c r="H59" i="2"/>
  <c r="S58" i="2"/>
  <c r="M58" i="2"/>
  <c r="L58" i="2"/>
  <c r="K58" i="2"/>
  <c r="J58" i="2"/>
  <c r="I58" i="2"/>
  <c r="N58" i="2" s="1"/>
  <c r="H58" i="2"/>
  <c r="N57" i="2"/>
  <c r="M57" i="2"/>
  <c r="L57" i="2"/>
  <c r="K57" i="2"/>
  <c r="O57" i="2" s="1"/>
  <c r="J57" i="2"/>
  <c r="I57" i="2"/>
  <c r="H57" i="2"/>
  <c r="S56" i="2"/>
  <c r="M56" i="2"/>
  <c r="J56" i="2"/>
  <c r="I56" i="2"/>
  <c r="H56" i="2"/>
  <c r="S55" i="2"/>
  <c r="M55" i="2"/>
  <c r="J55" i="2"/>
  <c r="N55" i="2" s="1"/>
  <c r="I55" i="2"/>
  <c r="H55" i="2"/>
  <c r="S54" i="2"/>
  <c r="M54" i="2"/>
  <c r="K54" i="2" a="1"/>
  <c r="K54" i="2" s="1"/>
  <c r="J54" i="2"/>
  <c r="I54" i="2"/>
  <c r="H54" i="2"/>
  <c r="F31" i="2"/>
  <c r="F30" i="2"/>
  <c r="F29" i="2"/>
  <c r="F28" i="2"/>
  <c r="F27" i="2"/>
  <c r="F26" i="2"/>
  <c r="F25" i="2"/>
  <c r="F24" i="2"/>
  <c r="D771" i="1"/>
  <c r="R161" i="2" s="1"/>
  <c r="S161" i="2" s="1"/>
  <c r="C763" i="1"/>
  <c r="D763" i="1" s="1"/>
  <c r="E763" i="1" s="1"/>
  <c r="AF760" i="1"/>
  <c r="E760" i="1"/>
  <c r="AF759" i="1"/>
  <c r="E759" i="1"/>
  <c r="AD758" i="1"/>
  <c r="AE758" i="1" s="1"/>
  <c r="E758" i="1"/>
  <c r="D758" i="1"/>
  <c r="F757" i="1"/>
  <c r="G757" i="1" s="1"/>
  <c r="D757" i="1"/>
  <c r="K756" i="1"/>
  <c r="J756" i="1"/>
  <c r="J758" i="1" s="1"/>
  <c r="J760" i="1" s="1"/>
  <c r="D755" i="1"/>
  <c r="D754" i="1" s="1"/>
  <c r="U754" i="1"/>
  <c r="U755" i="1" s="1"/>
  <c r="U756" i="1" s="1"/>
  <c r="U757" i="1" s="1"/>
  <c r="U758" i="1" s="1"/>
  <c r="U759" i="1" s="1"/>
  <c r="Q754" i="1"/>
  <c r="Q755" i="1" s="1"/>
  <c r="Q756" i="1" s="1"/>
  <c r="Q757" i="1" s="1"/>
  <c r="Q758" i="1" s="1"/>
  <c r="Q759" i="1" s="1"/>
  <c r="D753" i="1"/>
  <c r="C753" i="1"/>
  <c r="N752" i="1"/>
  <c r="D752" i="1"/>
  <c r="N751" i="1"/>
  <c r="L750" i="1"/>
  <c r="L751" i="1" s="1"/>
  <c r="L753" i="1" s="1"/>
  <c r="F750" i="1"/>
  <c r="F752" i="1" s="1"/>
  <c r="J749" i="1"/>
  <c r="J750" i="1" s="1"/>
  <c r="J752" i="1" s="1"/>
  <c r="J753" i="1" s="1"/>
  <c r="G749" i="1"/>
  <c r="G750" i="1" s="1"/>
  <c r="F749" i="1"/>
  <c r="F751" i="1" s="1"/>
  <c r="D749" i="1"/>
  <c r="D750" i="1" s="1"/>
  <c r="C749" i="1"/>
  <c r="C750" i="1" s="1"/>
  <c r="C751" i="1" s="1"/>
  <c r="E748" i="1"/>
  <c r="F748" i="1" s="1"/>
  <c r="D748" i="1"/>
  <c r="C748" i="1"/>
  <c r="AL744" i="1"/>
  <c r="AH744" i="1"/>
  <c r="AG744" i="1"/>
  <c r="AF744" i="1"/>
  <c r="AE744" i="1"/>
  <c r="AD744" i="1"/>
  <c r="AC744" i="1"/>
  <c r="AB744" i="1"/>
  <c r="AA744" i="1"/>
  <c r="Z744" i="1"/>
  <c r="AR744" i="1" s="1"/>
  <c r="Y744" i="1"/>
  <c r="X744" i="1"/>
  <c r="W744" i="1"/>
  <c r="V744" i="1"/>
  <c r="AO744" i="1" s="1"/>
  <c r="U744" i="1"/>
  <c r="T744" i="1"/>
  <c r="S744" i="1"/>
  <c r="L744" i="1"/>
  <c r="K744" i="1"/>
  <c r="J744" i="1"/>
  <c r="I744" i="1"/>
  <c r="H744" i="1"/>
  <c r="AO743" i="1"/>
  <c r="AH743" i="1"/>
  <c r="AG743" i="1"/>
  <c r="AF743" i="1"/>
  <c r="R325" i="2" s="1"/>
  <c r="U325" i="2" s="1"/>
  <c r="AE743" i="1"/>
  <c r="AD743" i="1"/>
  <c r="AC743" i="1"/>
  <c r="AB743" i="1"/>
  <c r="AA743" i="1"/>
  <c r="Z743" i="1"/>
  <c r="AR743" i="1" s="1"/>
  <c r="Y743" i="1"/>
  <c r="X743" i="1"/>
  <c r="W743" i="1"/>
  <c r="V743" i="1"/>
  <c r="AN743" i="1" s="1"/>
  <c r="U743" i="1"/>
  <c r="T743" i="1"/>
  <c r="S743" i="1"/>
  <c r="M743" i="1"/>
  <c r="L743" i="1"/>
  <c r="K743" i="1"/>
  <c r="J743" i="1"/>
  <c r="I743" i="1"/>
  <c r="H743" i="1"/>
  <c r="AH742" i="1"/>
  <c r="AG742" i="1"/>
  <c r="AF742" i="1"/>
  <c r="AE742" i="1"/>
  <c r="AD742" i="1"/>
  <c r="AC742" i="1"/>
  <c r="AB742" i="1"/>
  <c r="AA742" i="1"/>
  <c r="Z742" i="1"/>
  <c r="AR742" i="1" s="1"/>
  <c r="Y742" i="1"/>
  <c r="X742" i="1"/>
  <c r="W742" i="1"/>
  <c r="V742" i="1"/>
  <c r="U742" i="1"/>
  <c r="T742" i="1"/>
  <c r="S742" i="1"/>
  <c r="M742" i="1"/>
  <c r="L742" i="1"/>
  <c r="K742" i="1"/>
  <c r="J742" i="1"/>
  <c r="I742" i="1"/>
  <c r="H742" i="1"/>
  <c r="AH741" i="1"/>
  <c r="AG741" i="1"/>
  <c r="AF741" i="1"/>
  <c r="R313" i="2" s="1"/>
  <c r="U313" i="2" s="1"/>
  <c r="AE741" i="1"/>
  <c r="AD741" i="1"/>
  <c r="AC741" i="1"/>
  <c r="AB741" i="1"/>
  <c r="AA741" i="1"/>
  <c r="Z741" i="1"/>
  <c r="Y741" i="1"/>
  <c r="X741" i="1"/>
  <c r="W741" i="1"/>
  <c r="V741" i="1"/>
  <c r="AN741" i="1" s="1"/>
  <c r="U741" i="1"/>
  <c r="T741" i="1"/>
  <c r="S741" i="1"/>
  <c r="P741" i="1"/>
  <c r="P742" i="1" s="1"/>
  <c r="P743" i="1" s="1"/>
  <c r="M741" i="1"/>
  <c r="L741" i="1"/>
  <c r="K741" i="1"/>
  <c r="J741" i="1"/>
  <c r="I741" i="1"/>
  <c r="H741" i="1"/>
  <c r="AH740" i="1"/>
  <c r="AG740" i="1"/>
  <c r="AF740" i="1"/>
  <c r="AE740" i="1"/>
  <c r="AD740" i="1"/>
  <c r="AC740" i="1"/>
  <c r="AB740" i="1"/>
  <c r="AA740" i="1"/>
  <c r="Z740" i="1"/>
  <c r="AR740" i="1" s="1"/>
  <c r="Y740" i="1"/>
  <c r="X740" i="1"/>
  <c r="W740" i="1"/>
  <c r="V740" i="1"/>
  <c r="U740" i="1"/>
  <c r="T740" i="1"/>
  <c r="S740" i="1"/>
  <c r="R740" i="1"/>
  <c r="R741" i="1" s="1"/>
  <c r="R742" i="1" s="1"/>
  <c r="R743" i="1" s="1"/>
  <c r="Q740" i="1"/>
  <c r="Q741" i="1" s="1"/>
  <c r="Q742" i="1" s="1"/>
  <c r="Q743" i="1" s="1"/>
  <c r="P740" i="1"/>
  <c r="O740" i="1"/>
  <c r="O741" i="1" s="1"/>
  <c r="O742" i="1" s="1"/>
  <c r="O743" i="1" s="1"/>
  <c r="N740" i="1"/>
  <c r="N741" i="1" s="1"/>
  <c r="N742" i="1" s="1"/>
  <c r="N743" i="1" s="1"/>
  <c r="M740" i="1"/>
  <c r="L740" i="1"/>
  <c r="K740" i="1"/>
  <c r="J740" i="1"/>
  <c r="I740" i="1"/>
  <c r="H740" i="1"/>
  <c r="AH739" i="1"/>
  <c r="AG739" i="1"/>
  <c r="AF739" i="1"/>
  <c r="R300" i="2" s="1"/>
  <c r="AE739" i="1"/>
  <c r="AD739" i="1"/>
  <c r="AC739" i="1"/>
  <c r="AB739" i="1"/>
  <c r="AA739" i="1"/>
  <c r="Z739" i="1"/>
  <c r="AR739" i="1" s="1"/>
  <c r="Y739" i="1"/>
  <c r="X739" i="1"/>
  <c r="W739" i="1"/>
  <c r="V739" i="1"/>
  <c r="AN739" i="1" s="1"/>
  <c r="U739" i="1"/>
  <c r="T739" i="1"/>
  <c r="S739" i="1"/>
  <c r="M739" i="1"/>
  <c r="L739" i="1"/>
  <c r="K739" i="1"/>
  <c r="J739" i="1"/>
  <c r="I739" i="1"/>
  <c r="H739" i="1"/>
  <c r="AH738" i="1"/>
  <c r="AG738" i="1"/>
  <c r="AF738" i="1"/>
  <c r="AE738" i="1"/>
  <c r="AD738" i="1"/>
  <c r="AC738" i="1"/>
  <c r="AB738" i="1"/>
  <c r="AA738" i="1"/>
  <c r="Z738" i="1"/>
  <c r="AQ738" i="1" s="1"/>
  <c r="Y738" i="1"/>
  <c r="X738" i="1"/>
  <c r="W738" i="1"/>
  <c r="V738" i="1"/>
  <c r="AN738" i="1" s="1"/>
  <c r="U738" i="1"/>
  <c r="T738" i="1"/>
  <c r="S738" i="1"/>
  <c r="M738" i="1"/>
  <c r="L738" i="1"/>
  <c r="K738" i="1"/>
  <c r="J738" i="1"/>
  <c r="I738" i="1"/>
  <c r="H738" i="1"/>
  <c r="AH737" i="1"/>
  <c r="AG737" i="1"/>
  <c r="AF737" i="1"/>
  <c r="AE737" i="1"/>
  <c r="AD737" i="1"/>
  <c r="AC737" i="1"/>
  <c r="AB737" i="1"/>
  <c r="AA737" i="1"/>
  <c r="Z737" i="1"/>
  <c r="AR737" i="1" s="1"/>
  <c r="Y737" i="1"/>
  <c r="X737" i="1"/>
  <c r="W737" i="1"/>
  <c r="V737" i="1"/>
  <c r="AN737" i="1" s="1"/>
  <c r="U737" i="1"/>
  <c r="T737" i="1"/>
  <c r="S737" i="1"/>
  <c r="M737" i="1"/>
  <c r="L737" i="1"/>
  <c r="K737" i="1"/>
  <c r="J737" i="1"/>
  <c r="I737" i="1"/>
  <c r="H737" i="1"/>
  <c r="AH736" i="1"/>
  <c r="AG736" i="1"/>
  <c r="AF736" i="1"/>
  <c r="R288" i="2" s="1"/>
  <c r="AE736" i="1"/>
  <c r="AD736" i="1"/>
  <c r="AC736" i="1"/>
  <c r="AB736" i="1"/>
  <c r="AA736" i="1"/>
  <c r="Z736" i="1"/>
  <c r="AJ736" i="1" s="1"/>
  <c r="Y736" i="1"/>
  <c r="X736" i="1"/>
  <c r="W736" i="1"/>
  <c r="AL736" i="1" s="1"/>
  <c r="V736" i="1"/>
  <c r="U736" i="1"/>
  <c r="T736" i="1"/>
  <c r="S736" i="1"/>
  <c r="Q736" i="1"/>
  <c r="Q737" i="1" s="1"/>
  <c r="Q738" i="1" s="1"/>
  <c r="Q739" i="1" s="1"/>
  <c r="O736" i="1"/>
  <c r="O737" i="1" s="1"/>
  <c r="O738" i="1" s="1"/>
  <c r="O739" i="1" s="1"/>
  <c r="N736" i="1"/>
  <c r="N737" i="1" s="1"/>
  <c r="N738" i="1" s="1"/>
  <c r="N739" i="1" s="1"/>
  <c r="M736" i="1"/>
  <c r="L736" i="1"/>
  <c r="K736" i="1"/>
  <c r="J736" i="1"/>
  <c r="I736" i="1"/>
  <c r="H736" i="1"/>
  <c r="A736" i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H735" i="1"/>
  <c r="AG735" i="1"/>
  <c r="AF735" i="1"/>
  <c r="AE735" i="1"/>
  <c r="AD735" i="1"/>
  <c r="AC735" i="1"/>
  <c r="AB735" i="1"/>
  <c r="AA735" i="1"/>
  <c r="Z735" i="1"/>
  <c r="AI735" i="1" s="1"/>
  <c r="Y735" i="1"/>
  <c r="X735" i="1"/>
  <c r="W735" i="1"/>
  <c r="V735" i="1"/>
  <c r="AO735" i="1" s="1"/>
  <c r="U735" i="1"/>
  <c r="T735" i="1"/>
  <c r="S735" i="1"/>
  <c r="R735" i="1"/>
  <c r="R736" i="1" s="1"/>
  <c r="R737" i="1" s="1"/>
  <c r="R738" i="1" s="1"/>
  <c r="R739" i="1" s="1"/>
  <c r="Q735" i="1"/>
  <c r="P735" i="1"/>
  <c r="P736" i="1" s="1"/>
  <c r="P737" i="1" s="1"/>
  <c r="P738" i="1" s="1"/>
  <c r="P739" i="1" s="1"/>
  <c r="O735" i="1"/>
  <c r="N735" i="1"/>
  <c r="M735" i="1"/>
  <c r="L735" i="1"/>
  <c r="K735" i="1"/>
  <c r="J735" i="1"/>
  <c r="I735" i="1"/>
  <c r="H735" i="1"/>
  <c r="AH734" i="1"/>
  <c r="AG734" i="1"/>
  <c r="AF734" i="1"/>
  <c r="R270" i="2" s="1"/>
  <c r="U270" i="2" s="1"/>
  <c r="AE734" i="1"/>
  <c r="AD734" i="1"/>
  <c r="AC734" i="1"/>
  <c r="AB734" i="1"/>
  <c r="AA734" i="1"/>
  <c r="Z734" i="1"/>
  <c r="Y734" i="1"/>
  <c r="X734" i="1"/>
  <c r="W734" i="1"/>
  <c r="V734" i="1"/>
  <c r="AN734" i="1" s="1"/>
  <c r="U734" i="1"/>
  <c r="T734" i="1"/>
  <c r="S734" i="1"/>
  <c r="M734" i="1"/>
  <c r="L734" i="1"/>
  <c r="K734" i="1"/>
  <c r="J734" i="1"/>
  <c r="I734" i="1"/>
  <c r="H734" i="1"/>
  <c r="AH733" i="1"/>
  <c r="AG733" i="1"/>
  <c r="AF733" i="1"/>
  <c r="AL751" i="1" s="1"/>
  <c r="AE733" i="1"/>
  <c r="AD733" i="1"/>
  <c r="AC733" i="1"/>
  <c r="AB733" i="1"/>
  <c r="AA733" i="1"/>
  <c r="Z733" i="1"/>
  <c r="AR733" i="1" s="1"/>
  <c r="Y733" i="1"/>
  <c r="X733" i="1"/>
  <c r="W733" i="1"/>
  <c r="V733" i="1"/>
  <c r="AN733" i="1" s="1"/>
  <c r="U733" i="1"/>
  <c r="T733" i="1"/>
  <c r="S733" i="1"/>
  <c r="M733" i="1"/>
  <c r="L733" i="1"/>
  <c r="K733" i="1"/>
  <c r="J733" i="1"/>
  <c r="I733" i="1"/>
  <c r="H733" i="1"/>
  <c r="AH732" i="1"/>
  <c r="AG732" i="1"/>
  <c r="AF732" i="1"/>
  <c r="R252" i="2" s="1"/>
  <c r="AE732" i="1"/>
  <c r="AD732" i="1"/>
  <c r="AC732" i="1"/>
  <c r="AB732" i="1"/>
  <c r="AA732" i="1"/>
  <c r="Z732" i="1"/>
  <c r="AJ732" i="1" s="1"/>
  <c r="Y732" i="1"/>
  <c r="X732" i="1"/>
  <c r="W732" i="1"/>
  <c r="V732" i="1"/>
  <c r="AN732" i="1" s="1"/>
  <c r="U732" i="1"/>
  <c r="T732" i="1"/>
  <c r="S732" i="1"/>
  <c r="M732" i="1"/>
  <c r="L732" i="1"/>
  <c r="K732" i="1"/>
  <c r="J732" i="1"/>
  <c r="I732" i="1"/>
  <c r="H732" i="1"/>
  <c r="AH731" i="1"/>
  <c r="AG731" i="1"/>
  <c r="AF731" i="1"/>
  <c r="AE731" i="1"/>
  <c r="AD731" i="1"/>
  <c r="AC731" i="1"/>
  <c r="AB731" i="1"/>
  <c r="AA731" i="1"/>
  <c r="Z731" i="1"/>
  <c r="AR731" i="1" s="1"/>
  <c r="Y731" i="1"/>
  <c r="X731" i="1"/>
  <c r="W731" i="1"/>
  <c r="V731" i="1"/>
  <c r="AN731" i="1" s="1"/>
  <c r="U731" i="1"/>
  <c r="T731" i="1"/>
  <c r="S731" i="1"/>
  <c r="R731" i="1"/>
  <c r="R732" i="1" s="1"/>
  <c r="R733" i="1" s="1"/>
  <c r="R734" i="1" s="1"/>
  <c r="Q731" i="1"/>
  <c r="Q732" i="1" s="1"/>
  <c r="Q733" i="1" s="1"/>
  <c r="Q734" i="1" s="1"/>
  <c r="P731" i="1"/>
  <c r="P732" i="1" s="1"/>
  <c r="AI732" i="1" s="1"/>
  <c r="O731" i="1"/>
  <c r="O732" i="1" s="1"/>
  <c r="O733" i="1" s="1"/>
  <c r="O734" i="1" s="1"/>
  <c r="N731" i="1"/>
  <c r="N732" i="1" s="1"/>
  <c r="N733" i="1" s="1"/>
  <c r="N734" i="1" s="1"/>
  <c r="M731" i="1"/>
  <c r="L731" i="1"/>
  <c r="K731" i="1"/>
  <c r="J731" i="1"/>
  <c r="I731" i="1"/>
  <c r="H731" i="1"/>
  <c r="AH730" i="1"/>
  <c r="AG730" i="1"/>
  <c r="AF730" i="1"/>
  <c r="R234" i="2" s="1"/>
  <c r="AE730" i="1"/>
  <c r="AD730" i="1"/>
  <c r="AC730" i="1"/>
  <c r="AB730" i="1"/>
  <c r="AA730" i="1"/>
  <c r="Z730" i="1"/>
  <c r="AJ730" i="1" s="1"/>
  <c r="Y730" i="1"/>
  <c r="X730" i="1"/>
  <c r="W730" i="1"/>
  <c r="V730" i="1"/>
  <c r="AL730" i="1" s="1"/>
  <c r="U730" i="1"/>
  <c r="T730" i="1"/>
  <c r="S730" i="1"/>
  <c r="M730" i="1"/>
  <c r="L730" i="1"/>
  <c r="K730" i="1"/>
  <c r="J730" i="1"/>
  <c r="I730" i="1"/>
  <c r="H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AO729" i="1" s="1"/>
  <c r="U729" i="1"/>
  <c r="T729" i="1"/>
  <c r="S729" i="1"/>
  <c r="M729" i="1"/>
  <c r="L729" i="1"/>
  <c r="K729" i="1"/>
  <c r="J729" i="1"/>
  <c r="I729" i="1"/>
  <c r="H729" i="1"/>
  <c r="AH728" i="1"/>
  <c r="AG728" i="1"/>
  <c r="AF728" i="1"/>
  <c r="R216" i="2" s="1"/>
  <c r="AE728" i="1"/>
  <c r="AD728" i="1"/>
  <c r="AC728" i="1"/>
  <c r="AB728" i="1"/>
  <c r="AA728" i="1"/>
  <c r="Z728" i="1"/>
  <c r="AJ728" i="1" s="1"/>
  <c r="Y728" i="1"/>
  <c r="X728" i="1"/>
  <c r="W728" i="1"/>
  <c r="V728" i="1"/>
  <c r="AO728" i="1" s="1"/>
  <c r="U728" i="1"/>
  <c r="T728" i="1"/>
  <c r="S728" i="1"/>
  <c r="M728" i="1"/>
  <c r="L728" i="1"/>
  <c r="K728" i="1"/>
  <c r="J728" i="1"/>
  <c r="I728" i="1"/>
  <c r="H728" i="1"/>
  <c r="AH727" i="1"/>
  <c r="AG727" i="1"/>
  <c r="AF727" i="1"/>
  <c r="AE727" i="1"/>
  <c r="AD727" i="1"/>
  <c r="AC727" i="1"/>
  <c r="AB727" i="1"/>
  <c r="AA727" i="1"/>
  <c r="Z727" i="1"/>
  <c r="AR727" i="1" s="1"/>
  <c r="Y727" i="1"/>
  <c r="X727" i="1"/>
  <c r="W727" i="1"/>
  <c r="V727" i="1"/>
  <c r="AO727" i="1" s="1"/>
  <c r="U727" i="1"/>
  <c r="T727" i="1"/>
  <c r="S727" i="1"/>
  <c r="R727" i="1"/>
  <c r="R728" i="1" s="1"/>
  <c r="R729" i="1" s="1"/>
  <c r="R730" i="1" s="1"/>
  <c r="Q727" i="1"/>
  <c r="Q728" i="1" s="1"/>
  <c r="Q729" i="1" s="1"/>
  <c r="Q730" i="1" s="1"/>
  <c r="P727" i="1"/>
  <c r="AI727" i="1" s="1"/>
  <c r="O727" i="1"/>
  <c r="O728" i="1" s="1"/>
  <c r="O729" i="1" s="1"/>
  <c r="O730" i="1" s="1"/>
  <c r="N727" i="1"/>
  <c r="N728" i="1" s="1"/>
  <c r="N729" i="1" s="1"/>
  <c r="N730" i="1" s="1"/>
  <c r="M727" i="1"/>
  <c r="L727" i="1"/>
  <c r="K727" i="1"/>
  <c r="J727" i="1"/>
  <c r="I727" i="1"/>
  <c r="H727" i="1"/>
  <c r="AH726" i="1"/>
  <c r="AG726" i="1"/>
  <c r="AF726" i="1"/>
  <c r="R192" i="2" s="1"/>
  <c r="AE726" i="1"/>
  <c r="AD726" i="1"/>
  <c r="AC726" i="1"/>
  <c r="AB726" i="1"/>
  <c r="AA726" i="1"/>
  <c r="Z726" i="1"/>
  <c r="AJ726" i="1" s="1"/>
  <c r="Y726" i="1"/>
  <c r="X726" i="1"/>
  <c r="W726" i="1"/>
  <c r="V726" i="1"/>
  <c r="U726" i="1"/>
  <c r="T726" i="1"/>
  <c r="S726" i="1"/>
  <c r="M726" i="1"/>
  <c r="L726" i="1"/>
  <c r="K726" i="1"/>
  <c r="J726" i="1"/>
  <c r="I726" i="1"/>
  <c r="H726" i="1"/>
  <c r="AH725" i="1"/>
  <c r="AG725" i="1"/>
  <c r="AF725" i="1"/>
  <c r="AE725" i="1"/>
  <c r="AD725" i="1"/>
  <c r="AC725" i="1"/>
  <c r="AB725" i="1"/>
  <c r="AA725" i="1"/>
  <c r="Z725" i="1"/>
  <c r="AR725" i="1" s="1"/>
  <c r="Y725" i="1"/>
  <c r="X725" i="1"/>
  <c r="W725" i="1"/>
  <c r="V725" i="1"/>
  <c r="AO725" i="1" s="1"/>
  <c r="U725" i="1"/>
  <c r="T725" i="1"/>
  <c r="S725" i="1"/>
  <c r="M725" i="1"/>
  <c r="L725" i="1"/>
  <c r="K725" i="1"/>
  <c r="J725" i="1"/>
  <c r="I725" i="1"/>
  <c r="H725" i="1"/>
  <c r="AH724" i="1"/>
  <c r="AG724" i="1"/>
  <c r="AF724" i="1"/>
  <c r="AE724" i="1"/>
  <c r="AD724" i="1"/>
  <c r="AC724" i="1"/>
  <c r="AB724" i="1"/>
  <c r="AA724" i="1"/>
  <c r="Z724" i="1"/>
  <c r="AJ724" i="1" s="1"/>
  <c r="Y724" i="1"/>
  <c r="X724" i="1"/>
  <c r="W724" i="1"/>
  <c r="V724" i="1"/>
  <c r="AN724" i="1" s="1"/>
  <c r="U724" i="1"/>
  <c r="T724" i="1"/>
  <c r="S724" i="1"/>
  <c r="M724" i="1"/>
  <c r="L724" i="1"/>
  <c r="K724" i="1"/>
  <c r="J724" i="1"/>
  <c r="I724" i="1"/>
  <c r="H724" i="1"/>
  <c r="AH723" i="1"/>
  <c r="AG723" i="1"/>
  <c r="AF723" i="1"/>
  <c r="R173" i="2" s="1"/>
  <c r="AE723" i="1"/>
  <c r="AD723" i="1"/>
  <c r="AC723" i="1"/>
  <c r="AB723" i="1"/>
  <c r="AA723" i="1"/>
  <c r="Z723" i="1"/>
  <c r="AR723" i="1" s="1"/>
  <c r="Y723" i="1"/>
  <c r="X723" i="1"/>
  <c r="W723" i="1"/>
  <c r="V723" i="1"/>
  <c r="AO723" i="1" s="1"/>
  <c r="U723" i="1"/>
  <c r="T723" i="1"/>
  <c r="S723" i="1"/>
  <c r="M723" i="1"/>
  <c r="L723" i="1"/>
  <c r="K723" i="1"/>
  <c r="J723" i="1"/>
  <c r="I723" i="1"/>
  <c r="H723" i="1"/>
  <c r="AH722" i="1"/>
  <c r="AG722" i="1"/>
  <c r="AF722" i="1"/>
  <c r="AE722" i="1"/>
  <c r="AD722" i="1"/>
  <c r="AC722" i="1"/>
  <c r="AB722" i="1"/>
  <c r="AA722" i="1"/>
  <c r="Z722" i="1"/>
  <c r="AJ722" i="1" s="1"/>
  <c r="Y722" i="1"/>
  <c r="X722" i="1"/>
  <c r="W722" i="1"/>
  <c r="V722" i="1"/>
  <c r="U722" i="1"/>
  <c r="T722" i="1"/>
  <c r="S722" i="1"/>
  <c r="R722" i="1"/>
  <c r="R723" i="1" s="1"/>
  <c r="R724" i="1" s="1"/>
  <c r="R725" i="1" s="1"/>
  <c r="R726" i="1" s="1"/>
  <c r="Q722" i="1"/>
  <c r="Q723" i="1" s="1"/>
  <c r="Q724" i="1" s="1"/>
  <c r="Q725" i="1" s="1"/>
  <c r="Q726" i="1" s="1"/>
  <c r="P722" i="1"/>
  <c r="O722" i="1"/>
  <c r="O723" i="1" s="1"/>
  <c r="O724" i="1" s="1"/>
  <c r="O725" i="1" s="1"/>
  <c r="O726" i="1" s="1"/>
  <c r="N722" i="1"/>
  <c r="N723" i="1" s="1"/>
  <c r="N724" i="1" s="1"/>
  <c r="N725" i="1" s="1"/>
  <c r="N726" i="1" s="1"/>
  <c r="M722" i="1"/>
  <c r="L722" i="1"/>
  <c r="K722" i="1"/>
  <c r="J722" i="1"/>
  <c r="I722" i="1"/>
  <c r="H722" i="1"/>
  <c r="AH721" i="1"/>
  <c r="AG721" i="1"/>
  <c r="AF721" i="1"/>
  <c r="R156" i="2" s="1"/>
  <c r="U156" i="2" s="1"/>
  <c r="AE721" i="1"/>
  <c r="AD721" i="1"/>
  <c r="AC721" i="1"/>
  <c r="AB721" i="1"/>
  <c r="AA721" i="1"/>
  <c r="Z721" i="1"/>
  <c r="AR721" i="1" s="1"/>
  <c r="Y721" i="1"/>
  <c r="X721" i="1"/>
  <c r="W721" i="1"/>
  <c r="V721" i="1"/>
  <c r="AO721" i="1" s="1"/>
  <c r="U721" i="1"/>
  <c r="T721" i="1"/>
  <c r="S721" i="1"/>
  <c r="M721" i="1"/>
  <c r="L721" i="1"/>
  <c r="K721" i="1"/>
  <c r="J721" i="1"/>
  <c r="I721" i="1"/>
  <c r="H721" i="1"/>
  <c r="AH720" i="1"/>
  <c r="AG720" i="1"/>
  <c r="AF720" i="1"/>
  <c r="AE720" i="1"/>
  <c r="AD720" i="1"/>
  <c r="AC720" i="1"/>
  <c r="AB720" i="1"/>
  <c r="AA720" i="1"/>
  <c r="Z720" i="1"/>
  <c r="AJ720" i="1" s="1"/>
  <c r="Y720" i="1"/>
  <c r="X720" i="1"/>
  <c r="W720" i="1"/>
  <c r="V720" i="1"/>
  <c r="AL720" i="1" s="1"/>
  <c r="U720" i="1"/>
  <c r="T720" i="1"/>
  <c r="S720" i="1"/>
  <c r="M720" i="1"/>
  <c r="L720" i="1"/>
  <c r="K720" i="1"/>
  <c r="J720" i="1"/>
  <c r="I720" i="1"/>
  <c r="H720" i="1"/>
  <c r="AH719" i="1"/>
  <c r="AG719" i="1"/>
  <c r="AF719" i="1"/>
  <c r="R141" i="2" s="1"/>
  <c r="AE719" i="1"/>
  <c r="AD719" i="1"/>
  <c r="AC719" i="1"/>
  <c r="AB719" i="1"/>
  <c r="AA719" i="1"/>
  <c r="Z719" i="1"/>
  <c r="AR719" i="1" s="1"/>
  <c r="Y719" i="1"/>
  <c r="X719" i="1"/>
  <c r="W719" i="1"/>
  <c r="V719" i="1"/>
  <c r="AO719" i="1" s="1"/>
  <c r="U719" i="1"/>
  <c r="T719" i="1"/>
  <c r="S719" i="1"/>
  <c r="M719" i="1"/>
  <c r="L719" i="1"/>
  <c r="K719" i="1"/>
  <c r="J719" i="1"/>
  <c r="I719" i="1"/>
  <c r="H719" i="1"/>
  <c r="AH718" i="1"/>
  <c r="AG718" i="1"/>
  <c r="AF718" i="1"/>
  <c r="AE718" i="1"/>
  <c r="AD718" i="1"/>
  <c r="AC718" i="1"/>
  <c r="AB718" i="1"/>
  <c r="AA718" i="1"/>
  <c r="Z718" i="1"/>
  <c r="AJ718" i="1" s="1"/>
  <c r="Y718" i="1"/>
  <c r="X718" i="1"/>
  <c r="W718" i="1"/>
  <c r="V718" i="1"/>
  <c r="AN718" i="1" s="1"/>
  <c r="U718" i="1"/>
  <c r="T718" i="1"/>
  <c r="S718" i="1"/>
  <c r="R718" i="1"/>
  <c r="R719" i="1" s="1"/>
  <c r="R720" i="1" s="1"/>
  <c r="R721" i="1" s="1"/>
  <c r="Q718" i="1"/>
  <c r="Q719" i="1" s="1"/>
  <c r="Q720" i="1" s="1"/>
  <c r="Q721" i="1" s="1"/>
  <c r="P718" i="1"/>
  <c r="O718" i="1"/>
  <c r="O719" i="1" s="1"/>
  <c r="O720" i="1" s="1"/>
  <c r="O721" i="1" s="1"/>
  <c r="N718" i="1"/>
  <c r="N719" i="1" s="1"/>
  <c r="N720" i="1" s="1"/>
  <c r="N721" i="1" s="1"/>
  <c r="M718" i="1"/>
  <c r="L718" i="1"/>
  <c r="K718" i="1"/>
  <c r="J718" i="1"/>
  <c r="I718" i="1"/>
  <c r="H718" i="1"/>
  <c r="AH717" i="1"/>
  <c r="AG717" i="1"/>
  <c r="AF717" i="1"/>
  <c r="R126" i="2" s="1"/>
  <c r="AE717" i="1"/>
  <c r="AD717" i="1"/>
  <c r="AC717" i="1"/>
  <c r="AB717" i="1"/>
  <c r="AA717" i="1"/>
  <c r="Z717" i="1"/>
  <c r="AR717" i="1" s="1"/>
  <c r="Y717" i="1"/>
  <c r="X717" i="1"/>
  <c r="W717" i="1"/>
  <c r="V717" i="1"/>
  <c r="AO717" i="1" s="1"/>
  <c r="U717" i="1"/>
  <c r="T717" i="1"/>
  <c r="S717" i="1"/>
  <c r="M717" i="1"/>
  <c r="L717" i="1"/>
  <c r="K717" i="1"/>
  <c r="J717" i="1"/>
  <c r="I717" i="1"/>
  <c r="H717" i="1"/>
  <c r="AH716" i="1"/>
  <c r="AG716" i="1"/>
  <c r="AF716" i="1"/>
  <c r="AE716" i="1"/>
  <c r="AD716" i="1"/>
  <c r="AC716" i="1"/>
  <c r="AB716" i="1"/>
  <c r="AA716" i="1"/>
  <c r="Z716" i="1"/>
  <c r="AJ716" i="1" s="1"/>
  <c r="Y716" i="1"/>
  <c r="X716" i="1"/>
  <c r="W716" i="1"/>
  <c r="V716" i="1"/>
  <c r="U716" i="1"/>
  <c r="T716" i="1"/>
  <c r="S716" i="1"/>
  <c r="M716" i="1"/>
  <c r="L716" i="1"/>
  <c r="K716" i="1"/>
  <c r="J716" i="1"/>
  <c r="I716" i="1"/>
  <c r="H716" i="1"/>
  <c r="AH715" i="1"/>
  <c r="AG715" i="1"/>
  <c r="AF715" i="1"/>
  <c r="R112" i="2" s="1"/>
  <c r="U112" i="2" s="1"/>
  <c r="AE715" i="1"/>
  <c r="AD715" i="1"/>
  <c r="AC715" i="1"/>
  <c r="AB715" i="1"/>
  <c r="AA715" i="1"/>
  <c r="Z715" i="1"/>
  <c r="AR715" i="1" s="1"/>
  <c r="Y715" i="1"/>
  <c r="X715" i="1"/>
  <c r="W715" i="1"/>
  <c r="V715" i="1"/>
  <c r="AO715" i="1" s="1"/>
  <c r="U715" i="1"/>
  <c r="T715" i="1"/>
  <c r="S715" i="1"/>
  <c r="M715" i="1"/>
  <c r="L715" i="1"/>
  <c r="K715" i="1"/>
  <c r="J715" i="1"/>
  <c r="I715" i="1"/>
  <c r="H715" i="1"/>
  <c r="AH714" i="1"/>
  <c r="AG714" i="1"/>
  <c r="AF714" i="1"/>
  <c r="AE714" i="1"/>
  <c r="AD714" i="1"/>
  <c r="AC714" i="1"/>
  <c r="AB714" i="1"/>
  <c r="AA714" i="1"/>
  <c r="Z714" i="1"/>
  <c r="AJ714" i="1" s="1"/>
  <c r="Y714" i="1"/>
  <c r="X714" i="1"/>
  <c r="W714" i="1"/>
  <c r="V714" i="1"/>
  <c r="U714" i="1"/>
  <c r="T714" i="1"/>
  <c r="S714" i="1"/>
  <c r="M714" i="1"/>
  <c r="L714" i="1"/>
  <c r="K714" i="1"/>
  <c r="J714" i="1"/>
  <c r="I714" i="1"/>
  <c r="H714" i="1"/>
  <c r="AH713" i="1"/>
  <c r="AG713" i="1"/>
  <c r="AF713" i="1"/>
  <c r="R99" i="2" s="1"/>
  <c r="AE713" i="1"/>
  <c r="AD713" i="1"/>
  <c r="AC713" i="1"/>
  <c r="AB713" i="1"/>
  <c r="AA713" i="1"/>
  <c r="Z713" i="1"/>
  <c r="Y713" i="1"/>
  <c r="X713" i="1"/>
  <c r="W713" i="1"/>
  <c r="V713" i="1"/>
  <c r="AO713" i="1" s="1"/>
  <c r="U713" i="1"/>
  <c r="T713" i="1"/>
  <c r="S713" i="1"/>
  <c r="R713" i="1"/>
  <c r="R714" i="1" s="1"/>
  <c r="R715" i="1" s="1"/>
  <c r="R716" i="1" s="1"/>
  <c r="R717" i="1" s="1"/>
  <c r="Q713" i="1"/>
  <c r="Q714" i="1" s="1"/>
  <c r="Q715" i="1" s="1"/>
  <c r="Q716" i="1" s="1"/>
  <c r="Q717" i="1" s="1"/>
  <c r="P713" i="1"/>
  <c r="P714" i="1" s="1"/>
  <c r="O713" i="1"/>
  <c r="O714" i="1" s="1"/>
  <c r="O715" i="1" s="1"/>
  <c r="O716" i="1" s="1"/>
  <c r="O717" i="1" s="1"/>
  <c r="N713" i="1"/>
  <c r="N714" i="1" s="1"/>
  <c r="N715" i="1" s="1"/>
  <c r="N716" i="1" s="1"/>
  <c r="N717" i="1" s="1"/>
  <c r="M713" i="1"/>
  <c r="L713" i="1"/>
  <c r="K713" i="1"/>
  <c r="J713" i="1"/>
  <c r="I713" i="1"/>
  <c r="H713" i="1"/>
  <c r="AH712" i="1"/>
  <c r="AG712" i="1"/>
  <c r="AF712" i="1"/>
  <c r="AE712" i="1"/>
  <c r="AD712" i="1"/>
  <c r="AC712" i="1"/>
  <c r="AB712" i="1"/>
  <c r="AA712" i="1"/>
  <c r="Z712" i="1"/>
  <c r="AJ712" i="1" s="1"/>
  <c r="Y712" i="1"/>
  <c r="X712" i="1"/>
  <c r="W712" i="1"/>
  <c r="V712" i="1"/>
  <c r="AO712" i="1" s="1"/>
  <c r="U712" i="1"/>
  <c r="T712" i="1"/>
  <c r="S712" i="1"/>
  <c r="M712" i="1"/>
  <c r="L712" i="1"/>
  <c r="K712" i="1"/>
  <c r="J712" i="1"/>
  <c r="I712" i="1"/>
  <c r="H712" i="1"/>
  <c r="AH711" i="1"/>
  <c r="AG711" i="1"/>
  <c r="AF711" i="1"/>
  <c r="AE711" i="1"/>
  <c r="AD711" i="1"/>
  <c r="AC711" i="1"/>
  <c r="AB711" i="1"/>
  <c r="AA711" i="1"/>
  <c r="Z711" i="1"/>
  <c r="AR711" i="1" s="1"/>
  <c r="Y711" i="1"/>
  <c r="X711" i="1"/>
  <c r="W711" i="1"/>
  <c r="V711" i="1"/>
  <c r="AO711" i="1" s="1"/>
  <c r="U711" i="1"/>
  <c r="T711" i="1"/>
  <c r="S711" i="1"/>
  <c r="M711" i="1"/>
  <c r="L711" i="1"/>
  <c r="K711" i="1"/>
  <c r="J711" i="1"/>
  <c r="I711" i="1"/>
  <c r="H711" i="1"/>
  <c r="AH710" i="1"/>
  <c r="AG710" i="1"/>
  <c r="AF710" i="1"/>
  <c r="AE710" i="1"/>
  <c r="AD710" i="1"/>
  <c r="AC710" i="1"/>
  <c r="AB710" i="1"/>
  <c r="AA710" i="1"/>
  <c r="Z710" i="1"/>
  <c r="AJ710" i="1" s="1"/>
  <c r="Y710" i="1"/>
  <c r="X710" i="1"/>
  <c r="W710" i="1"/>
  <c r="V710" i="1"/>
  <c r="AO710" i="1" s="1"/>
  <c r="U710" i="1"/>
  <c r="T710" i="1"/>
  <c r="S710" i="1"/>
  <c r="M710" i="1"/>
  <c r="L710" i="1"/>
  <c r="K710" i="1"/>
  <c r="J710" i="1"/>
  <c r="I710" i="1"/>
  <c r="H710" i="1"/>
  <c r="AH709" i="1"/>
  <c r="AG709" i="1"/>
  <c r="AF709" i="1"/>
  <c r="AE709" i="1"/>
  <c r="AD709" i="1"/>
  <c r="AC709" i="1"/>
  <c r="AB709" i="1"/>
  <c r="AA709" i="1"/>
  <c r="Z709" i="1"/>
  <c r="AR709" i="1" s="1"/>
  <c r="Y709" i="1"/>
  <c r="X709" i="1"/>
  <c r="W709" i="1"/>
  <c r="V709" i="1"/>
  <c r="AO709" i="1" s="1"/>
  <c r="U709" i="1"/>
  <c r="T709" i="1"/>
  <c r="S709" i="1"/>
  <c r="R709" i="1"/>
  <c r="R710" i="1" s="1"/>
  <c r="R711" i="1" s="1"/>
  <c r="R712" i="1" s="1"/>
  <c r="Q709" i="1"/>
  <c r="Q710" i="1" s="1"/>
  <c r="Q711" i="1" s="1"/>
  <c r="Q712" i="1" s="1"/>
  <c r="P709" i="1"/>
  <c r="O709" i="1"/>
  <c r="O710" i="1" s="1"/>
  <c r="O711" i="1" s="1"/>
  <c r="O712" i="1" s="1"/>
  <c r="N709" i="1"/>
  <c r="N710" i="1" s="1"/>
  <c r="N711" i="1" s="1"/>
  <c r="N712" i="1" s="1"/>
  <c r="M709" i="1"/>
  <c r="L709" i="1"/>
  <c r="K709" i="1"/>
  <c r="J709" i="1"/>
  <c r="I709" i="1"/>
  <c r="H709" i="1"/>
  <c r="AH708" i="1"/>
  <c r="AG708" i="1"/>
  <c r="AF708" i="1"/>
  <c r="AE708" i="1"/>
  <c r="AD708" i="1"/>
  <c r="AC708" i="1"/>
  <c r="AB708" i="1"/>
  <c r="AA708" i="1"/>
  <c r="Z708" i="1"/>
  <c r="AJ708" i="1" s="1"/>
  <c r="Y708" i="1"/>
  <c r="X708" i="1"/>
  <c r="W708" i="1"/>
  <c r="V708" i="1"/>
  <c r="U708" i="1"/>
  <c r="T708" i="1"/>
  <c r="S708" i="1"/>
  <c r="M708" i="1"/>
  <c r="L708" i="1"/>
  <c r="K708" i="1"/>
  <c r="J708" i="1"/>
  <c r="I708" i="1"/>
  <c r="H708" i="1"/>
  <c r="AH707" i="1"/>
  <c r="AG707" i="1"/>
  <c r="AF707" i="1"/>
  <c r="AE707" i="1"/>
  <c r="AD707" i="1"/>
  <c r="AC707" i="1"/>
  <c r="AB707" i="1"/>
  <c r="AA707" i="1"/>
  <c r="Z707" i="1"/>
  <c r="AQ707" i="1" s="1"/>
  <c r="Y707" i="1"/>
  <c r="X707" i="1"/>
  <c r="W707" i="1"/>
  <c r="V707" i="1"/>
  <c r="U707" i="1"/>
  <c r="T707" i="1"/>
  <c r="S707" i="1"/>
  <c r="M707" i="1"/>
  <c r="L707" i="1"/>
  <c r="K707" i="1"/>
  <c r="J707" i="1"/>
  <c r="I707" i="1"/>
  <c r="H707" i="1"/>
  <c r="AH706" i="1"/>
  <c r="AG706" i="1"/>
  <c r="AF706" i="1"/>
  <c r="AE706" i="1"/>
  <c r="AD706" i="1"/>
  <c r="AC706" i="1"/>
  <c r="AB706" i="1"/>
  <c r="AA706" i="1"/>
  <c r="Z706" i="1"/>
  <c r="AR706" i="1" s="1"/>
  <c r="Y706" i="1"/>
  <c r="X706" i="1"/>
  <c r="W706" i="1"/>
  <c r="V706" i="1"/>
  <c r="U706" i="1"/>
  <c r="T706" i="1"/>
  <c r="S706" i="1"/>
  <c r="M706" i="1"/>
  <c r="L706" i="1"/>
  <c r="K706" i="1"/>
  <c r="J706" i="1"/>
  <c r="I706" i="1"/>
  <c r="H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AL705" i="1" s="1"/>
  <c r="U705" i="1"/>
  <c r="T705" i="1"/>
  <c r="S705" i="1"/>
  <c r="R705" i="1"/>
  <c r="R706" i="1" s="1"/>
  <c r="R707" i="1" s="1"/>
  <c r="R708" i="1" s="1"/>
  <c r="Q705" i="1"/>
  <c r="Q706" i="1" s="1"/>
  <c r="Q707" i="1" s="1"/>
  <c r="Q708" i="1" s="1"/>
  <c r="P705" i="1"/>
  <c r="O705" i="1"/>
  <c r="O706" i="1" s="1"/>
  <c r="O707" i="1" s="1"/>
  <c r="O708" i="1" s="1"/>
  <c r="N705" i="1"/>
  <c r="N706" i="1" s="1"/>
  <c r="N707" i="1" s="1"/>
  <c r="N708" i="1" s="1"/>
  <c r="M705" i="1"/>
  <c r="L705" i="1"/>
  <c r="K705" i="1"/>
  <c r="J705" i="1"/>
  <c r="I705" i="1"/>
  <c r="H705" i="1"/>
  <c r="AH704" i="1"/>
  <c r="AG704" i="1"/>
  <c r="AF704" i="1"/>
  <c r="AE704" i="1"/>
  <c r="AD704" i="1"/>
  <c r="AC704" i="1"/>
  <c r="AB704" i="1"/>
  <c r="AA704" i="1"/>
  <c r="Z704" i="1"/>
  <c r="AR704" i="1" s="1"/>
  <c r="Y704" i="1"/>
  <c r="X704" i="1"/>
  <c r="W704" i="1"/>
  <c r="V704" i="1"/>
  <c r="AO704" i="1" s="1"/>
  <c r="U704" i="1"/>
  <c r="T704" i="1"/>
  <c r="S704" i="1"/>
  <c r="M704" i="1"/>
  <c r="L704" i="1"/>
  <c r="K704" i="1"/>
  <c r="J704" i="1"/>
  <c r="I704" i="1"/>
  <c r="H704" i="1"/>
  <c r="AH703" i="1"/>
  <c r="AG703" i="1"/>
  <c r="AF703" i="1"/>
  <c r="AE703" i="1"/>
  <c r="AD703" i="1"/>
  <c r="AC703" i="1"/>
  <c r="AB703" i="1"/>
  <c r="AA703" i="1"/>
  <c r="Z703" i="1"/>
  <c r="AQ703" i="1" s="1"/>
  <c r="Y703" i="1"/>
  <c r="X703" i="1"/>
  <c r="W703" i="1"/>
  <c r="V703" i="1"/>
  <c r="U703" i="1"/>
  <c r="T703" i="1"/>
  <c r="S703" i="1"/>
  <c r="M703" i="1"/>
  <c r="L703" i="1"/>
  <c r="K703" i="1"/>
  <c r="J703" i="1"/>
  <c r="I703" i="1"/>
  <c r="H703" i="1"/>
  <c r="AH702" i="1"/>
  <c r="AG702" i="1"/>
  <c r="AF702" i="1"/>
  <c r="AE702" i="1"/>
  <c r="AD702" i="1"/>
  <c r="AC702" i="1"/>
  <c r="AB702" i="1"/>
  <c r="AA702" i="1"/>
  <c r="Z702" i="1"/>
  <c r="AJ702" i="1" s="1"/>
  <c r="Y702" i="1"/>
  <c r="X702" i="1"/>
  <c r="W702" i="1"/>
  <c r="V702" i="1"/>
  <c r="U702" i="1"/>
  <c r="T702" i="1"/>
  <c r="S702" i="1"/>
  <c r="M702" i="1"/>
  <c r="L702" i="1"/>
  <c r="K702" i="1"/>
  <c r="J702" i="1"/>
  <c r="I702" i="1"/>
  <c r="H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M701" i="1"/>
  <c r="L701" i="1"/>
  <c r="K701" i="1"/>
  <c r="J701" i="1"/>
  <c r="I701" i="1"/>
  <c r="H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AN700" i="1" s="1"/>
  <c r="U700" i="1"/>
  <c r="T700" i="1"/>
  <c r="S700" i="1"/>
  <c r="R700" i="1"/>
  <c r="R701" i="1" s="1"/>
  <c r="R702" i="1" s="1"/>
  <c r="R703" i="1" s="1"/>
  <c r="R704" i="1" s="1"/>
  <c r="Q700" i="1"/>
  <c r="Q701" i="1" s="1"/>
  <c r="Q702" i="1" s="1"/>
  <c r="Q703" i="1" s="1"/>
  <c r="Q704" i="1" s="1"/>
  <c r="P700" i="1"/>
  <c r="P701" i="1" s="1"/>
  <c r="O700" i="1"/>
  <c r="O701" i="1" s="1"/>
  <c r="O702" i="1" s="1"/>
  <c r="O703" i="1" s="1"/>
  <c r="O704" i="1" s="1"/>
  <c r="N700" i="1"/>
  <c r="N701" i="1" s="1"/>
  <c r="N702" i="1" s="1"/>
  <c r="N703" i="1" s="1"/>
  <c r="N704" i="1" s="1"/>
  <c r="M700" i="1"/>
  <c r="L700" i="1"/>
  <c r="K700" i="1"/>
  <c r="J700" i="1"/>
  <c r="I700" i="1"/>
  <c r="H700" i="1"/>
  <c r="A700" i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P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AN699" i="1" s="1"/>
  <c r="U699" i="1"/>
  <c r="T699" i="1"/>
  <c r="S699" i="1"/>
  <c r="M699" i="1"/>
  <c r="L699" i="1"/>
  <c r="K699" i="1"/>
  <c r="J699" i="1"/>
  <c r="I699" i="1"/>
  <c r="H699" i="1"/>
  <c r="AP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AO698" i="1" s="1"/>
  <c r="U698" i="1"/>
  <c r="T698" i="1"/>
  <c r="S698" i="1"/>
  <c r="M698" i="1"/>
  <c r="L698" i="1"/>
  <c r="K698" i="1"/>
  <c r="J698" i="1"/>
  <c r="I698" i="1"/>
  <c r="H698" i="1"/>
  <c r="AP697" i="1"/>
  <c r="AH697" i="1"/>
  <c r="AG697" i="1"/>
  <c r="AF697" i="1"/>
  <c r="AE697" i="1"/>
  <c r="AD697" i="1"/>
  <c r="AC697" i="1"/>
  <c r="AB697" i="1"/>
  <c r="AA697" i="1"/>
  <c r="Z697" i="1"/>
  <c r="AQ697" i="1" s="1"/>
  <c r="Y697" i="1"/>
  <c r="X697" i="1"/>
  <c r="W697" i="1"/>
  <c r="V697" i="1"/>
  <c r="U697" i="1"/>
  <c r="T697" i="1"/>
  <c r="S697" i="1"/>
  <c r="M697" i="1"/>
  <c r="L697" i="1"/>
  <c r="K697" i="1"/>
  <c r="J697" i="1"/>
  <c r="I697" i="1"/>
  <c r="H697" i="1"/>
  <c r="AP696" i="1"/>
  <c r="AH696" i="1"/>
  <c r="AG696" i="1"/>
  <c r="AF696" i="1"/>
  <c r="AE696" i="1"/>
  <c r="AD696" i="1"/>
  <c r="AC696" i="1"/>
  <c r="AB696" i="1"/>
  <c r="AA696" i="1"/>
  <c r="Z696" i="1"/>
  <c r="AJ696" i="1" s="1"/>
  <c r="Y696" i="1"/>
  <c r="X696" i="1"/>
  <c r="W696" i="1"/>
  <c r="V696" i="1"/>
  <c r="AO696" i="1" s="1"/>
  <c r="U696" i="1"/>
  <c r="T696" i="1"/>
  <c r="S696" i="1"/>
  <c r="R696" i="1"/>
  <c r="R697" i="1" s="1"/>
  <c r="R698" i="1" s="1"/>
  <c r="R699" i="1" s="1"/>
  <c r="Q696" i="1"/>
  <c r="Q697" i="1" s="1"/>
  <c r="Q698" i="1" s="1"/>
  <c r="Q699" i="1" s="1"/>
  <c r="P696" i="1"/>
  <c r="AI696" i="1" s="1"/>
  <c r="O696" i="1"/>
  <c r="O697" i="1" s="1"/>
  <c r="O698" i="1" s="1"/>
  <c r="O699" i="1" s="1"/>
  <c r="N696" i="1"/>
  <c r="N697" i="1" s="1"/>
  <c r="N698" i="1" s="1"/>
  <c r="N699" i="1" s="1"/>
  <c r="M696" i="1"/>
  <c r="L696" i="1"/>
  <c r="K696" i="1"/>
  <c r="J696" i="1"/>
  <c r="I696" i="1"/>
  <c r="H696" i="1"/>
  <c r="AP695" i="1"/>
  <c r="AN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AO695" i="1" s="1"/>
  <c r="U695" i="1"/>
  <c r="T695" i="1"/>
  <c r="S695" i="1"/>
  <c r="M695" i="1"/>
  <c r="L695" i="1"/>
  <c r="K695" i="1"/>
  <c r="J695" i="1"/>
  <c r="I695" i="1"/>
  <c r="H695" i="1"/>
  <c r="AP694" i="1"/>
  <c r="AN694" i="1"/>
  <c r="AH694" i="1"/>
  <c r="AG694" i="1"/>
  <c r="AF694" i="1"/>
  <c r="AE694" i="1"/>
  <c r="AD694" i="1"/>
  <c r="AC694" i="1"/>
  <c r="AB694" i="1"/>
  <c r="AA694" i="1"/>
  <c r="Z694" i="1"/>
  <c r="AR694" i="1" s="1"/>
  <c r="Y694" i="1"/>
  <c r="X694" i="1"/>
  <c r="W694" i="1"/>
  <c r="V694" i="1"/>
  <c r="AO694" i="1" s="1"/>
  <c r="U694" i="1"/>
  <c r="T694" i="1"/>
  <c r="S694" i="1"/>
  <c r="M694" i="1"/>
  <c r="L694" i="1"/>
  <c r="K694" i="1"/>
  <c r="J694" i="1"/>
  <c r="I694" i="1"/>
  <c r="H694" i="1"/>
  <c r="AP693" i="1"/>
  <c r="AN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M693" i="1"/>
  <c r="L693" i="1"/>
  <c r="K693" i="1"/>
  <c r="J693" i="1"/>
  <c r="I693" i="1"/>
  <c r="H693" i="1"/>
  <c r="AP692" i="1"/>
  <c r="AH692" i="1"/>
  <c r="AG692" i="1"/>
  <c r="AF692" i="1"/>
  <c r="AE692" i="1"/>
  <c r="AD692" i="1"/>
  <c r="AC692" i="1"/>
  <c r="AB692" i="1"/>
  <c r="AA692" i="1"/>
  <c r="Z692" i="1"/>
  <c r="AJ692" i="1" s="1"/>
  <c r="Y692" i="1"/>
  <c r="X692" i="1"/>
  <c r="W692" i="1"/>
  <c r="V692" i="1"/>
  <c r="AO692" i="1" s="1"/>
  <c r="U692" i="1"/>
  <c r="T692" i="1"/>
  <c r="S692" i="1"/>
  <c r="R692" i="1"/>
  <c r="R693" i="1" s="1"/>
  <c r="R694" i="1" s="1"/>
  <c r="R695" i="1" s="1"/>
  <c r="Q692" i="1"/>
  <c r="Q693" i="1" s="1"/>
  <c r="Q694" i="1" s="1"/>
  <c r="Q695" i="1" s="1"/>
  <c r="P692" i="1"/>
  <c r="P693" i="1" s="1"/>
  <c r="O692" i="1"/>
  <c r="O693" i="1" s="1"/>
  <c r="O694" i="1" s="1"/>
  <c r="O695" i="1" s="1"/>
  <c r="N692" i="1"/>
  <c r="N693" i="1" s="1"/>
  <c r="N694" i="1" s="1"/>
  <c r="N695" i="1" s="1"/>
  <c r="M692" i="1"/>
  <c r="L692" i="1"/>
  <c r="K692" i="1"/>
  <c r="J692" i="1"/>
  <c r="I692" i="1"/>
  <c r="H692" i="1"/>
  <c r="AP691" i="1"/>
  <c r="AJ691" i="1"/>
  <c r="AH691" i="1"/>
  <c r="AG691" i="1"/>
  <c r="AF691" i="1"/>
  <c r="AE691" i="1"/>
  <c r="AD691" i="1"/>
  <c r="AC691" i="1"/>
  <c r="AB691" i="1"/>
  <c r="AA691" i="1"/>
  <c r="Z691" i="1"/>
  <c r="AR691" i="1" s="1"/>
  <c r="Y691" i="1"/>
  <c r="X691" i="1"/>
  <c r="W691" i="1"/>
  <c r="V691" i="1"/>
  <c r="U691" i="1"/>
  <c r="T691" i="1"/>
  <c r="S691" i="1"/>
  <c r="M691" i="1"/>
  <c r="L691" i="1"/>
  <c r="K691" i="1"/>
  <c r="J691" i="1"/>
  <c r="I691" i="1"/>
  <c r="H691" i="1"/>
  <c r="AP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AN690" i="1" s="1"/>
  <c r="U690" i="1"/>
  <c r="T690" i="1"/>
  <c r="S690" i="1"/>
  <c r="M690" i="1"/>
  <c r="L690" i="1"/>
  <c r="K690" i="1"/>
  <c r="J690" i="1"/>
  <c r="I690" i="1"/>
  <c r="H690" i="1"/>
  <c r="AP689" i="1"/>
  <c r="AH689" i="1"/>
  <c r="AG689" i="1"/>
  <c r="AF689" i="1"/>
  <c r="AE689" i="1"/>
  <c r="AD689" i="1"/>
  <c r="Z759" i="1" s="1"/>
  <c r="AC689" i="1"/>
  <c r="AB689" i="1"/>
  <c r="AA689" i="1"/>
  <c r="Z689" i="1"/>
  <c r="Y689" i="1"/>
  <c r="X689" i="1"/>
  <c r="W689" i="1"/>
  <c r="V689" i="1"/>
  <c r="AN689" i="1" s="1"/>
  <c r="U689" i="1"/>
  <c r="T689" i="1"/>
  <c r="S689" i="1"/>
  <c r="M689" i="1"/>
  <c r="L689" i="1"/>
  <c r="K689" i="1"/>
  <c r="J689" i="1"/>
  <c r="I689" i="1"/>
  <c r="H689" i="1"/>
  <c r="AP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AO688" i="1" s="1"/>
  <c r="U688" i="1"/>
  <c r="T688" i="1"/>
  <c r="S688" i="1"/>
  <c r="R688" i="1"/>
  <c r="R689" i="1" s="1"/>
  <c r="R690" i="1" s="1"/>
  <c r="R691" i="1" s="1"/>
  <c r="Q688" i="1"/>
  <c r="Q689" i="1" s="1"/>
  <c r="Q690" i="1" s="1"/>
  <c r="Q691" i="1" s="1"/>
  <c r="P688" i="1"/>
  <c r="P689" i="1" s="1"/>
  <c r="AI689" i="1" s="1"/>
  <c r="O688" i="1"/>
  <c r="O689" i="1" s="1"/>
  <c r="O690" i="1" s="1"/>
  <c r="O691" i="1" s="1"/>
  <c r="N688" i="1"/>
  <c r="N689" i="1" s="1"/>
  <c r="N690" i="1" s="1"/>
  <c r="N691" i="1" s="1"/>
  <c r="M688" i="1"/>
  <c r="L688" i="1"/>
  <c r="K688" i="1"/>
  <c r="J688" i="1"/>
  <c r="I688" i="1"/>
  <c r="H688" i="1"/>
  <c r="AP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M687" i="1"/>
  <c r="L687" i="1"/>
  <c r="K687" i="1"/>
  <c r="J687" i="1"/>
  <c r="I687" i="1"/>
  <c r="H687" i="1"/>
  <c r="AP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M686" i="1"/>
  <c r="L686" i="1"/>
  <c r="K686" i="1"/>
  <c r="J686" i="1"/>
  <c r="I686" i="1"/>
  <c r="H686" i="1"/>
  <c r="AP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AN685" i="1" s="1"/>
  <c r="U685" i="1"/>
  <c r="T685" i="1"/>
  <c r="S685" i="1"/>
  <c r="M685" i="1"/>
  <c r="L685" i="1"/>
  <c r="K685" i="1"/>
  <c r="J685" i="1"/>
  <c r="I685" i="1"/>
  <c r="H685" i="1"/>
  <c r="AP684" i="1"/>
  <c r="AH684" i="1"/>
  <c r="AG684" i="1"/>
  <c r="AF684" i="1"/>
  <c r="AE684" i="1"/>
  <c r="AD684" i="1"/>
  <c r="AC684" i="1"/>
  <c r="AB684" i="1"/>
  <c r="AA684" i="1"/>
  <c r="Z684" i="1"/>
  <c r="AJ684" i="1" s="1"/>
  <c r="Y684" i="1"/>
  <c r="X684" i="1"/>
  <c r="W684" i="1"/>
  <c r="V684" i="1"/>
  <c r="AO684" i="1" s="1"/>
  <c r="U684" i="1"/>
  <c r="T684" i="1"/>
  <c r="S684" i="1"/>
  <c r="M684" i="1"/>
  <c r="L684" i="1"/>
  <c r="K684" i="1"/>
  <c r="J684" i="1"/>
  <c r="I684" i="1"/>
  <c r="H684" i="1"/>
  <c r="AP683" i="1"/>
  <c r="AH683" i="1"/>
  <c r="AG683" i="1"/>
  <c r="AF683" i="1"/>
  <c r="AE683" i="1"/>
  <c r="AD683" i="1"/>
  <c r="AC683" i="1"/>
  <c r="AB683" i="1"/>
  <c r="AA683" i="1"/>
  <c r="Z683" i="1"/>
  <c r="AR683" i="1" s="1"/>
  <c r="Y683" i="1"/>
  <c r="X683" i="1"/>
  <c r="W683" i="1"/>
  <c r="V683" i="1"/>
  <c r="AO683" i="1" s="1"/>
  <c r="U683" i="1"/>
  <c r="T683" i="1"/>
  <c r="S683" i="1"/>
  <c r="R683" i="1"/>
  <c r="R684" i="1" s="1"/>
  <c r="R685" i="1" s="1"/>
  <c r="R686" i="1" s="1"/>
  <c r="R687" i="1" s="1"/>
  <c r="Q683" i="1"/>
  <c r="Q684" i="1" s="1"/>
  <c r="Q685" i="1" s="1"/>
  <c r="Q686" i="1" s="1"/>
  <c r="Q687" i="1" s="1"/>
  <c r="P683" i="1"/>
  <c r="P684" i="1" s="1"/>
  <c r="O683" i="1"/>
  <c r="O684" i="1" s="1"/>
  <c r="O685" i="1" s="1"/>
  <c r="O686" i="1" s="1"/>
  <c r="O687" i="1" s="1"/>
  <c r="N683" i="1"/>
  <c r="N684" i="1" s="1"/>
  <c r="N685" i="1" s="1"/>
  <c r="N686" i="1" s="1"/>
  <c r="N687" i="1" s="1"/>
  <c r="M683" i="1"/>
  <c r="L683" i="1"/>
  <c r="K683" i="1"/>
  <c r="J683" i="1"/>
  <c r="I683" i="1"/>
  <c r="H683" i="1"/>
  <c r="AP682" i="1"/>
  <c r="AH682" i="1"/>
  <c r="AG682" i="1"/>
  <c r="AF682" i="1"/>
  <c r="AE682" i="1"/>
  <c r="AD682" i="1"/>
  <c r="AC682" i="1"/>
  <c r="AB682" i="1"/>
  <c r="AA682" i="1"/>
  <c r="AR682" i="1" s="1"/>
  <c r="Z682" i="1"/>
  <c r="AJ682" i="1" s="1"/>
  <c r="Y682" i="1"/>
  <c r="X682" i="1"/>
  <c r="W682" i="1"/>
  <c r="V682" i="1"/>
  <c r="AO682" i="1" s="1"/>
  <c r="U682" i="1"/>
  <c r="T682" i="1"/>
  <c r="S682" i="1"/>
  <c r="M682" i="1"/>
  <c r="L682" i="1"/>
  <c r="K682" i="1"/>
  <c r="J682" i="1"/>
  <c r="I682" i="1"/>
  <c r="H682" i="1"/>
  <c r="AP681" i="1"/>
  <c r="AH681" i="1"/>
  <c r="AG681" i="1"/>
  <c r="AF681" i="1"/>
  <c r="AE681" i="1"/>
  <c r="AD681" i="1"/>
  <c r="AC681" i="1"/>
  <c r="AB681" i="1"/>
  <c r="AA681" i="1"/>
  <c r="AR681" i="1" s="1"/>
  <c r="Z681" i="1"/>
  <c r="AJ681" i="1" s="1"/>
  <c r="Y681" i="1"/>
  <c r="X681" i="1"/>
  <c r="W681" i="1"/>
  <c r="V681" i="1"/>
  <c r="AN681" i="1" s="1"/>
  <c r="U681" i="1"/>
  <c r="T681" i="1"/>
  <c r="S681" i="1"/>
  <c r="M681" i="1"/>
  <c r="L681" i="1"/>
  <c r="K681" i="1"/>
  <c r="J681" i="1"/>
  <c r="I681" i="1"/>
  <c r="H681" i="1"/>
  <c r="AP680" i="1"/>
  <c r="AH680" i="1"/>
  <c r="AG680" i="1"/>
  <c r="AF680" i="1"/>
  <c r="AE680" i="1"/>
  <c r="AD680" i="1"/>
  <c r="AC680" i="1"/>
  <c r="AB680" i="1"/>
  <c r="AA680" i="1"/>
  <c r="AR680" i="1" s="1"/>
  <c r="Z680" i="1"/>
  <c r="AJ680" i="1" s="1"/>
  <c r="Y680" i="1"/>
  <c r="X680" i="1"/>
  <c r="W680" i="1"/>
  <c r="V680" i="1"/>
  <c r="AN680" i="1" s="1"/>
  <c r="U680" i="1"/>
  <c r="T680" i="1"/>
  <c r="S680" i="1"/>
  <c r="M680" i="1"/>
  <c r="L680" i="1"/>
  <c r="K680" i="1"/>
  <c r="J680" i="1"/>
  <c r="I680" i="1"/>
  <c r="H680" i="1"/>
  <c r="AP679" i="1"/>
  <c r="AH679" i="1"/>
  <c r="AG679" i="1"/>
  <c r="AF679" i="1"/>
  <c r="AE679" i="1"/>
  <c r="AD679" i="1"/>
  <c r="AC679" i="1"/>
  <c r="AB679" i="1"/>
  <c r="AA679" i="1"/>
  <c r="AR679" i="1" s="1"/>
  <c r="Z679" i="1"/>
  <c r="Y679" i="1"/>
  <c r="X679" i="1"/>
  <c r="W679" i="1"/>
  <c r="V679" i="1"/>
  <c r="AO679" i="1" s="1"/>
  <c r="U679" i="1"/>
  <c r="T679" i="1"/>
  <c r="S679" i="1"/>
  <c r="R679" i="1"/>
  <c r="R680" i="1" s="1"/>
  <c r="R681" i="1" s="1"/>
  <c r="R682" i="1" s="1"/>
  <c r="Q679" i="1"/>
  <c r="Q680" i="1" s="1"/>
  <c r="Q681" i="1" s="1"/>
  <c r="Q682" i="1" s="1"/>
  <c r="P679" i="1"/>
  <c r="AI679" i="1" s="1"/>
  <c r="O679" i="1"/>
  <c r="O680" i="1" s="1"/>
  <c r="O681" i="1" s="1"/>
  <c r="O682" i="1" s="1"/>
  <c r="N679" i="1"/>
  <c r="N680" i="1" s="1"/>
  <c r="N681" i="1" s="1"/>
  <c r="N682" i="1" s="1"/>
  <c r="M679" i="1"/>
  <c r="L679" i="1"/>
  <c r="K679" i="1"/>
  <c r="J679" i="1"/>
  <c r="I679" i="1"/>
  <c r="H679" i="1"/>
  <c r="AP678" i="1"/>
  <c r="AH678" i="1"/>
  <c r="AG678" i="1"/>
  <c r="AF678" i="1"/>
  <c r="AE678" i="1"/>
  <c r="AD678" i="1"/>
  <c r="AC678" i="1"/>
  <c r="AB678" i="1"/>
  <c r="AA678" i="1"/>
  <c r="AR678" i="1" s="1"/>
  <c r="Z678" i="1"/>
  <c r="AJ678" i="1" s="1"/>
  <c r="Y678" i="1"/>
  <c r="X678" i="1"/>
  <c r="W678" i="1"/>
  <c r="V678" i="1"/>
  <c r="AO678" i="1" s="1"/>
  <c r="U678" i="1"/>
  <c r="T678" i="1"/>
  <c r="S678" i="1"/>
  <c r="M678" i="1"/>
  <c r="L678" i="1"/>
  <c r="K678" i="1"/>
  <c r="J678" i="1"/>
  <c r="I678" i="1"/>
  <c r="H678" i="1"/>
  <c r="AP677" i="1"/>
  <c r="AH677" i="1"/>
  <c r="AG677" i="1"/>
  <c r="AF677" i="1"/>
  <c r="AE677" i="1"/>
  <c r="AD677" i="1"/>
  <c r="AC677" i="1"/>
  <c r="AB677" i="1"/>
  <c r="AA677" i="1"/>
  <c r="AR677" i="1" s="1"/>
  <c r="Z677" i="1"/>
  <c r="AJ677" i="1" s="1"/>
  <c r="Y677" i="1"/>
  <c r="X677" i="1"/>
  <c r="W677" i="1"/>
  <c r="V677" i="1"/>
  <c r="AN677" i="1" s="1"/>
  <c r="U677" i="1"/>
  <c r="T677" i="1"/>
  <c r="S677" i="1"/>
  <c r="M677" i="1"/>
  <c r="L677" i="1"/>
  <c r="K677" i="1"/>
  <c r="J677" i="1"/>
  <c r="I677" i="1"/>
  <c r="H677" i="1"/>
  <c r="AP676" i="1"/>
  <c r="AH676" i="1"/>
  <c r="AG676" i="1"/>
  <c r="AF676" i="1"/>
  <c r="AE676" i="1"/>
  <c r="AD676" i="1"/>
  <c r="AC676" i="1"/>
  <c r="AB676" i="1"/>
  <c r="AA676" i="1"/>
  <c r="AR676" i="1" s="1"/>
  <c r="Z676" i="1"/>
  <c r="AQ676" i="1" s="1"/>
  <c r="Y676" i="1"/>
  <c r="X676" i="1"/>
  <c r="W676" i="1"/>
  <c r="V676" i="1"/>
  <c r="AO676" i="1" s="1"/>
  <c r="U676" i="1"/>
  <c r="T676" i="1"/>
  <c r="S676" i="1"/>
  <c r="M676" i="1"/>
  <c r="L676" i="1"/>
  <c r="K676" i="1"/>
  <c r="J676" i="1"/>
  <c r="I676" i="1"/>
  <c r="H676" i="1"/>
  <c r="AP675" i="1"/>
  <c r="AH675" i="1"/>
  <c r="AG675" i="1"/>
  <c r="AF675" i="1"/>
  <c r="AE675" i="1"/>
  <c r="AD675" i="1"/>
  <c r="AC675" i="1"/>
  <c r="AB675" i="1"/>
  <c r="AA675" i="1"/>
  <c r="AR675" i="1" s="1"/>
  <c r="Z675" i="1"/>
  <c r="Y675" i="1"/>
  <c r="X675" i="1"/>
  <c r="W675" i="1"/>
  <c r="V675" i="1"/>
  <c r="U675" i="1"/>
  <c r="T675" i="1"/>
  <c r="S675" i="1"/>
  <c r="M675" i="1"/>
  <c r="L675" i="1"/>
  <c r="K675" i="1"/>
  <c r="J675" i="1"/>
  <c r="I675" i="1"/>
  <c r="H675" i="1"/>
  <c r="AP674" i="1"/>
  <c r="AH674" i="1"/>
  <c r="AG674" i="1"/>
  <c r="AF674" i="1"/>
  <c r="AE674" i="1"/>
  <c r="AD674" i="1"/>
  <c r="AC674" i="1"/>
  <c r="AB674" i="1"/>
  <c r="AA674" i="1"/>
  <c r="AR674" i="1" s="1"/>
  <c r="Z674" i="1"/>
  <c r="AJ674" i="1" s="1"/>
  <c r="Y674" i="1"/>
  <c r="X674" i="1"/>
  <c r="W674" i="1"/>
  <c r="V674" i="1"/>
  <c r="AO674" i="1" s="1"/>
  <c r="U674" i="1"/>
  <c r="T674" i="1"/>
  <c r="S674" i="1"/>
  <c r="R674" i="1"/>
  <c r="R675" i="1" s="1"/>
  <c r="R676" i="1" s="1"/>
  <c r="R677" i="1" s="1"/>
  <c r="R678" i="1" s="1"/>
  <c r="Q674" i="1"/>
  <c r="Q675" i="1" s="1"/>
  <c r="Q676" i="1" s="1"/>
  <c r="Q677" i="1" s="1"/>
  <c r="Q678" i="1" s="1"/>
  <c r="P674" i="1"/>
  <c r="P675" i="1" s="1"/>
  <c r="P676" i="1" s="1"/>
  <c r="AI676" i="1" s="1"/>
  <c r="O674" i="1"/>
  <c r="O675" i="1" s="1"/>
  <c r="O676" i="1" s="1"/>
  <c r="O677" i="1" s="1"/>
  <c r="O678" i="1" s="1"/>
  <c r="N674" i="1"/>
  <c r="N675" i="1" s="1"/>
  <c r="N676" i="1" s="1"/>
  <c r="N677" i="1" s="1"/>
  <c r="N678" i="1" s="1"/>
  <c r="M674" i="1"/>
  <c r="L674" i="1"/>
  <c r="K674" i="1"/>
  <c r="J674" i="1"/>
  <c r="I674" i="1"/>
  <c r="H674" i="1"/>
  <c r="AH673" i="1"/>
  <c r="AG673" i="1"/>
  <c r="AF673" i="1"/>
  <c r="AE673" i="1"/>
  <c r="AD673" i="1"/>
  <c r="AC673" i="1"/>
  <c r="AB673" i="1"/>
  <c r="AA673" i="1"/>
  <c r="Z673" i="1"/>
  <c r="AJ673" i="1" s="1"/>
  <c r="Y673" i="1"/>
  <c r="X673" i="1"/>
  <c r="W673" i="1"/>
  <c r="V673" i="1"/>
  <c r="AO673" i="1" s="1"/>
  <c r="U673" i="1"/>
  <c r="T673" i="1"/>
  <c r="S673" i="1"/>
  <c r="M673" i="1"/>
  <c r="L673" i="1"/>
  <c r="K673" i="1"/>
  <c r="J673" i="1"/>
  <c r="I673" i="1"/>
  <c r="H673" i="1"/>
  <c r="AH672" i="1"/>
  <c r="AG672" i="1"/>
  <c r="AF672" i="1"/>
  <c r="AE672" i="1"/>
  <c r="AD672" i="1"/>
  <c r="AC672" i="1"/>
  <c r="AB672" i="1"/>
  <c r="AA672" i="1"/>
  <c r="Z672" i="1"/>
  <c r="AJ672" i="1" s="1"/>
  <c r="Y672" i="1"/>
  <c r="X672" i="1"/>
  <c r="W672" i="1"/>
  <c r="V672" i="1"/>
  <c r="AO672" i="1" s="1"/>
  <c r="U672" i="1"/>
  <c r="T672" i="1"/>
  <c r="S672" i="1"/>
  <c r="M672" i="1"/>
  <c r="L672" i="1"/>
  <c r="K672" i="1"/>
  <c r="J672" i="1"/>
  <c r="I672" i="1"/>
  <c r="H672" i="1"/>
  <c r="AH671" i="1"/>
  <c r="AG671" i="1"/>
  <c r="AF671" i="1"/>
  <c r="AE671" i="1"/>
  <c r="AD671" i="1"/>
  <c r="AC671" i="1"/>
  <c r="AB671" i="1"/>
  <c r="AA671" i="1"/>
  <c r="Z671" i="1"/>
  <c r="AJ671" i="1" s="1"/>
  <c r="Y671" i="1"/>
  <c r="X671" i="1"/>
  <c r="W671" i="1"/>
  <c r="V671" i="1"/>
  <c r="AN671" i="1" s="1"/>
  <c r="U671" i="1"/>
  <c r="T671" i="1"/>
  <c r="S671" i="1"/>
  <c r="M671" i="1"/>
  <c r="L671" i="1"/>
  <c r="K671" i="1"/>
  <c r="J671" i="1"/>
  <c r="I671" i="1"/>
  <c r="H671" i="1"/>
  <c r="AH670" i="1"/>
  <c r="AG670" i="1"/>
  <c r="AF670" i="1"/>
  <c r="AE670" i="1"/>
  <c r="AD670" i="1"/>
  <c r="AC670" i="1"/>
  <c r="AB670" i="1"/>
  <c r="AA670" i="1"/>
  <c r="Z670" i="1"/>
  <c r="AJ670" i="1" s="1"/>
  <c r="Y670" i="1"/>
  <c r="X670" i="1"/>
  <c r="W670" i="1"/>
  <c r="V670" i="1"/>
  <c r="AK670" i="1" s="1"/>
  <c r="U670" i="1"/>
  <c r="T670" i="1"/>
  <c r="S670" i="1"/>
  <c r="R670" i="1"/>
  <c r="R671" i="1" s="1"/>
  <c r="R672" i="1" s="1"/>
  <c r="R673" i="1" s="1"/>
  <c r="Q670" i="1"/>
  <c r="Q671" i="1" s="1"/>
  <c r="Q672" i="1" s="1"/>
  <c r="Q673" i="1" s="1"/>
  <c r="P670" i="1"/>
  <c r="P671" i="1" s="1"/>
  <c r="P672" i="1" s="1"/>
  <c r="O670" i="1"/>
  <c r="O671" i="1" s="1"/>
  <c r="O672" i="1" s="1"/>
  <c r="O673" i="1" s="1"/>
  <c r="N670" i="1"/>
  <c r="N671" i="1" s="1"/>
  <c r="N672" i="1" s="1"/>
  <c r="N673" i="1" s="1"/>
  <c r="M670" i="1"/>
  <c r="L670" i="1"/>
  <c r="K670" i="1"/>
  <c r="J670" i="1"/>
  <c r="I670" i="1"/>
  <c r="H670" i="1"/>
  <c r="AH669" i="1"/>
  <c r="AG669" i="1"/>
  <c r="AF669" i="1"/>
  <c r="AE669" i="1"/>
  <c r="AD669" i="1"/>
  <c r="AC669" i="1"/>
  <c r="AB669" i="1"/>
  <c r="AA669" i="1"/>
  <c r="Z669" i="1"/>
  <c r="AJ669" i="1" s="1"/>
  <c r="Y669" i="1"/>
  <c r="X669" i="1"/>
  <c r="W669" i="1"/>
  <c r="V669" i="1"/>
  <c r="U669" i="1"/>
  <c r="T669" i="1"/>
  <c r="S669" i="1"/>
  <c r="M669" i="1"/>
  <c r="L669" i="1"/>
  <c r="K669" i="1"/>
  <c r="J669" i="1"/>
  <c r="I669" i="1"/>
  <c r="H669" i="1"/>
  <c r="AH668" i="1"/>
  <c r="AG668" i="1"/>
  <c r="AF668" i="1"/>
  <c r="AE668" i="1"/>
  <c r="AD668" i="1"/>
  <c r="AC668" i="1"/>
  <c r="AB668" i="1"/>
  <c r="AA668" i="1"/>
  <c r="Z668" i="1"/>
  <c r="AJ668" i="1" s="1"/>
  <c r="Y668" i="1"/>
  <c r="X668" i="1"/>
  <c r="W668" i="1"/>
  <c r="V668" i="1"/>
  <c r="AO668" i="1" s="1"/>
  <c r="U668" i="1"/>
  <c r="T668" i="1"/>
  <c r="S668" i="1"/>
  <c r="M668" i="1"/>
  <c r="L668" i="1"/>
  <c r="K668" i="1"/>
  <c r="J668" i="1"/>
  <c r="I668" i="1"/>
  <c r="H668" i="1"/>
  <c r="AH667" i="1"/>
  <c r="AG667" i="1"/>
  <c r="AF667" i="1"/>
  <c r="AE667" i="1"/>
  <c r="AD667" i="1"/>
  <c r="AC667" i="1"/>
  <c r="AB667" i="1"/>
  <c r="AA667" i="1"/>
  <c r="Z667" i="1"/>
  <c r="AJ667" i="1" s="1"/>
  <c r="Y667" i="1"/>
  <c r="X667" i="1"/>
  <c r="W667" i="1"/>
  <c r="V667" i="1"/>
  <c r="U667" i="1"/>
  <c r="T667" i="1"/>
  <c r="S667" i="1"/>
  <c r="M667" i="1"/>
  <c r="L667" i="1"/>
  <c r="K667" i="1"/>
  <c r="J667" i="1"/>
  <c r="I667" i="1"/>
  <c r="H667" i="1"/>
  <c r="AH666" i="1"/>
  <c r="AG666" i="1"/>
  <c r="AF666" i="1"/>
  <c r="AE666" i="1"/>
  <c r="AD666" i="1"/>
  <c r="AC666" i="1"/>
  <c r="AB666" i="1"/>
  <c r="AA666" i="1"/>
  <c r="Z666" i="1"/>
  <c r="AJ666" i="1" s="1"/>
  <c r="Y666" i="1"/>
  <c r="X666" i="1"/>
  <c r="W666" i="1"/>
  <c r="V666" i="1"/>
  <c r="AO666" i="1" s="1"/>
  <c r="U666" i="1"/>
  <c r="T666" i="1"/>
  <c r="S666" i="1"/>
  <c r="R666" i="1"/>
  <c r="R667" i="1" s="1"/>
  <c r="R668" i="1" s="1"/>
  <c r="R669" i="1" s="1"/>
  <c r="Q666" i="1"/>
  <c r="Q667" i="1" s="1"/>
  <c r="Q668" i="1" s="1"/>
  <c r="Q669" i="1" s="1"/>
  <c r="P666" i="1"/>
  <c r="P667" i="1" s="1"/>
  <c r="P668" i="1" s="1"/>
  <c r="O666" i="1"/>
  <c r="O667" i="1" s="1"/>
  <c r="O668" i="1" s="1"/>
  <c r="O669" i="1" s="1"/>
  <c r="N666" i="1"/>
  <c r="N667" i="1" s="1"/>
  <c r="N668" i="1" s="1"/>
  <c r="N669" i="1" s="1"/>
  <c r="M666" i="1"/>
  <c r="L666" i="1"/>
  <c r="K666" i="1"/>
  <c r="J666" i="1"/>
  <c r="I666" i="1"/>
  <c r="H666" i="1"/>
  <c r="AH665" i="1"/>
  <c r="AG665" i="1"/>
  <c r="AF665" i="1"/>
  <c r="AE665" i="1"/>
  <c r="AD665" i="1"/>
  <c r="AC665" i="1"/>
  <c r="AB665" i="1"/>
  <c r="AA665" i="1"/>
  <c r="Z665" i="1"/>
  <c r="AJ665" i="1" s="1"/>
  <c r="Y665" i="1"/>
  <c r="X665" i="1"/>
  <c r="W665" i="1"/>
  <c r="V665" i="1"/>
  <c r="AO665" i="1" s="1"/>
  <c r="U665" i="1"/>
  <c r="T665" i="1"/>
  <c r="S665" i="1"/>
  <c r="M665" i="1"/>
  <c r="L665" i="1"/>
  <c r="K665" i="1"/>
  <c r="J665" i="1"/>
  <c r="I665" i="1"/>
  <c r="H665" i="1"/>
  <c r="AH664" i="1"/>
  <c r="AG664" i="1"/>
  <c r="AF664" i="1"/>
  <c r="AE664" i="1"/>
  <c r="AD664" i="1"/>
  <c r="AC664" i="1"/>
  <c r="AB664" i="1"/>
  <c r="AA664" i="1"/>
  <c r="Z664" i="1"/>
  <c r="AJ664" i="1" s="1"/>
  <c r="Y664" i="1"/>
  <c r="X664" i="1"/>
  <c r="W664" i="1"/>
  <c r="V664" i="1"/>
  <c r="U664" i="1"/>
  <c r="T664" i="1"/>
  <c r="S664" i="1"/>
  <c r="M664" i="1"/>
  <c r="L664" i="1"/>
  <c r="K664" i="1"/>
  <c r="J664" i="1"/>
  <c r="I664" i="1"/>
  <c r="H664" i="1"/>
  <c r="A664" i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H663" i="1"/>
  <c r="AG663" i="1"/>
  <c r="AF663" i="1"/>
  <c r="AE663" i="1"/>
  <c r="AD663" i="1"/>
  <c r="AC663" i="1"/>
  <c r="AB663" i="1"/>
  <c r="AA663" i="1"/>
  <c r="Z663" i="1"/>
  <c r="AJ663" i="1" s="1"/>
  <c r="Y663" i="1"/>
  <c r="X663" i="1"/>
  <c r="W663" i="1"/>
  <c r="V663" i="1"/>
  <c r="AL663" i="1" s="1"/>
  <c r="U663" i="1"/>
  <c r="T663" i="1"/>
  <c r="S663" i="1"/>
  <c r="M663" i="1"/>
  <c r="L663" i="1"/>
  <c r="K663" i="1"/>
  <c r="J663" i="1"/>
  <c r="I663" i="1"/>
  <c r="H663" i="1"/>
  <c r="AH662" i="1"/>
  <c r="AG662" i="1"/>
  <c r="AF662" i="1"/>
  <c r="AE662" i="1"/>
  <c r="AD662" i="1"/>
  <c r="AC662" i="1"/>
  <c r="AB662" i="1"/>
  <c r="AA662" i="1"/>
  <c r="Z662" i="1"/>
  <c r="AJ662" i="1" s="1"/>
  <c r="Y662" i="1"/>
  <c r="X662" i="1"/>
  <c r="W662" i="1"/>
  <c r="V662" i="1"/>
  <c r="AO662" i="1" s="1"/>
  <c r="U662" i="1"/>
  <c r="T662" i="1"/>
  <c r="S662" i="1"/>
  <c r="M662" i="1"/>
  <c r="L662" i="1"/>
  <c r="K662" i="1"/>
  <c r="J662" i="1"/>
  <c r="I662" i="1"/>
  <c r="H662" i="1"/>
  <c r="AH661" i="1"/>
  <c r="AG661" i="1"/>
  <c r="AF661" i="1"/>
  <c r="AE661" i="1"/>
  <c r="AD661" i="1"/>
  <c r="AC661" i="1"/>
  <c r="AB661" i="1"/>
  <c r="AA661" i="1"/>
  <c r="Z661" i="1"/>
  <c r="AJ661" i="1" s="1"/>
  <c r="Y661" i="1"/>
  <c r="X661" i="1"/>
  <c r="W661" i="1"/>
  <c r="V661" i="1"/>
  <c r="AO661" i="1" s="1"/>
  <c r="U661" i="1"/>
  <c r="T661" i="1"/>
  <c r="S661" i="1"/>
  <c r="R661" i="1"/>
  <c r="R662" i="1" s="1"/>
  <c r="R663" i="1" s="1"/>
  <c r="R664" i="1" s="1"/>
  <c r="R665" i="1" s="1"/>
  <c r="Q661" i="1"/>
  <c r="Q662" i="1" s="1"/>
  <c r="Q663" i="1" s="1"/>
  <c r="Q664" i="1" s="1"/>
  <c r="Q665" i="1" s="1"/>
  <c r="P661" i="1"/>
  <c r="P662" i="1" s="1"/>
  <c r="O661" i="1"/>
  <c r="O662" i="1" s="1"/>
  <c r="O663" i="1" s="1"/>
  <c r="O664" i="1" s="1"/>
  <c r="O665" i="1" s="1"/>
  <c r="N661" i="1"/>
  <c r="N662" i="1" s="1"/>
  <c r="N663" i="1" s="1"/>
  <c r="N664" i="1" s="1"/>
  <c r="N665" i="1" s="1"/>
  <c r="M661" i="1"/>
  <c r="L661" i="1"/>
  <c r="K661" i="1"/>
  <c r="J661" i="1"/>
  <c r="I661" i="1"/>
  <c r="H661" i="1"/>
  <c r="AH660" i="1"/>
  <c r="AG660" i="1"/>
  <c r="AF660" i="1"/>
  <c r="AE660" i="1"/>
  <c r="AD660" i="1"/>
  <c r="AC660" i="1"/>
  <c r="AB660" i="1"/>
  <c r="AA660" i="1"/>
  <c r="Z660" i="1"/>
  <c r="AJ660" i="1" s="1"/>
  <c r="Y660" i="1"/>
  <c r="X660" i="1"/>
  <c r="W660" i="1"/>
  <c r="V660" i="1"/>
  <c r="AO660" i="1" s="1"/>
  <c r="U660" i="1"/>
  <c r="T660" i="1"/>
  <c r="S660" i="1"/>
  <c r="M660" i="1"/>
  <c r="L660" i="1"/>
  <c r="K660" i="1"/>
  <c r="J660" i="1"/>
  <c r="I660" i="1"/>
  <c r="H660" i="1"/>
  <c r="AH659" i="1"/>
  <c r="AG659" i="1"/>
  <c r="AF659" i="1"/>
  <c r="AE659" i="1"/>
  <c r="AD659" i="1"/>
  <c r="AC659" i="1"/>
  <c r="AB659" i="1"/>
  <c r="AA659" i="1"/>
  <c r="Z659" i="1"/>
  <c r="AJ659" i="1" s="1"/>
  <c r="Y659" i="1"/>
  <c r="X659" i="1"/>
  <c r="W659" i="1"/>
  <c r="V659" i="1"/>
  <c r="AO659" i="1" s="1"/>
  <c r="U659" i="1"/>
  <c r="T659" i="1"/>
  <c r="S659" i="1"/>
  <c r="M659" i="1"/>
  <c r="L659" i="1"/>
  <c r="K659" i="1"/>
  <c r="J659" i="1"/>
  <c r="I659" i="1"/>
  <c r="H659" i="1"/>
  <c r="AH658" i="1"/>
  <c r="AG658" i="1"/>
  <c r="AF658" i="1"/>
  <c r="AE658" i="1"/>
  <c r="AD658" i="1"/>
  <c r="AC658" i="1"/>
  <c r="AB658" i="1"/>
  <c r="AA658" i="1"/>
  <c r="Z658" i="1"/>
  <c r="AJ658" i="1" s="1"/>
  <c r="Y658" i="1"/>
  <c r="X658" i="1"/>
  <c r="W658" i="1"/>
  <c r="V658" i="1"/>
  <c r="U658" i="1"/>
  <c r="T658" i="1"/>
  <c r="S658" i="1"/>
  <c r="M658" i="1"/>
  <c r="L658" i="1"/>
  <c r="K658" i="1"/>
  <c r="J658" i="1"/>
  <c r="I658" i="1"/>
  <c r="H658" i="1"/>
  <c r="AH657" i="1"/>
  <c r="AG657" i="1"/>
  <c r="AF657" i="1"/>
  <c r="AE657" i="1"/>
  <c r="AD657" i="1"/>
  <c r="AC657" i="1"/>
  <c r="AB657" i="1"/>
  <c r="AA657" i="1"/>
  <c r="Z657" i="1"/>
  <c r="AJ657" i="1" s="1"/>
  <c r="Y657" i="1"/>
  <c r="X657" i="1"/>
  <c r="W657" i="1"/>
  <c r="V657" i="1"/>
  <c r="U657" i="1"/>
  <c r="T657" i="1"/>
  <c r="S657" i="1"/>
  <c r="R657" i="1"/>
  <c r="R658" i="1" s="1"/>
  <c r="R659" i="1" s="1"/>
  <c r="R660" i="1" s="1"/>
  <c r="Q657" i="1"/>
  <c r="Q658" i="1" s="1"/>
  <c r="Q659" i="1" s="1"/>
  <c r="Q660" i="1" s="1"/>
  <c r="P657" i="1"/>
  <c r="P658" i="1" s="1"/>
  <c r="P659" i="1" s="1"/>
  <c r="O657" i="1"/>
  <c r="O658" i="1" s="1"/>
  <c r="O659" i="1" s="1"/>
  <c r="O660" i="1" s="1"/>
  <c r="N657" i="1"/>
  <c r="N658" i="1" s="1"/>
  <c r="N659" i="1" s="1"/>
  <c r="N660" i="1" s="1"/>
  <c r="M657" i="1"/>
  <c r="L657" i="1"/>
  <c r="K657" i="1"/>
  <c r="J657" i="1"/>
  <c r="I657" i="1"/>
  <c r="H657" i="1"/>
  <c r="AH656" i="1"/>
  <c r="AG656" i="1"/>
  <c r="AF656" i="1"/>
  <c r="AE656" i="1"/>
  <c r="AD656" i="1"/>
  <c r="AC656" i="1"/>
  <c r="AB656" i="1"/>
  <c r="AA656" i="1"/>
  <c r="Z656" i="1"/>
  <c r="AJ656" i="1" s="1"/>
  <c r="Y656" i="1"/>
  <c r="X656" i="1"/>
  <c r="W656" i="1"/>
  <c r="AK656" i="1" s="1"/>
  <c r="V656" i="1"/>
  <c r="U656" i="1"/>
  <c r="T656" i="1"/>
  <c r="S656" i="1"/>
  <c r="M656" i="1"/>
  <c r="L656" i="1"/>
  <c r="K656" i="1"/>
  <c r="J656" i="1"/>
  <c r="I656" i="1"/>
  <c r="H656" i="1"/>
  <c r="AH655" i="1"/>
  <c r="AG655" i="1"/>
  <c r="AF655" i="1"/>
  <c r="AE655" i="1"/>
  <c r="AD655" i="1"/>
  <c r="AC655" i="1"/>
  <c r="AB655" i="1"/>
  <c r="AA655" i="1"/>
  <c r="Z655" i="1"/>
  <c r="AJ655" i="1" s="1"/>
  <c r="Y655" i="1"/>
  <c r="X655" i="1"/>
  <c r="W655" i="1"/>
  <c r="V655" i="1"/>
  <c r="U655" i="1"/>
  <c r="T655" i="1"/>
  <c r="S655" i="1"/>
  <c r="M655" i="1"/>
  <c r="L655" i="1"/>
  <c r="K655" i="1"/>
  <c r="J655" i="1"/>
  <c r="I655" i="1"/>
  <c r="H655" i="1"/>
  <c r="AH654" i="1"/>
  <c r="AG654" i="1"/>
  <c r="AF654" i="1"/>
  <c r="AE654" i="1"/>
  <c r="AD654" i="1"/>
  <c r="AC654" i="1"/>
  <c r="AB654" i="1"/>
  <c r="AA654" i="1"/>
  <c r="Z654" i="1"/>
  <c r="AJ654" i="1" s="1"/>
  <c r="Y654" i="1"/>
  <c r="X654" i="1"/>
  <c r="W654" i="1"/>
  <c r="V654" i="1"/>
  <c r="U654" i="1"/>
  <c r="T654" i="1"/>
  <c r="S654" i="1"/>
  <c r="M654" i="1"/>
  <c r="L654" i="1"/>
  <c r="K654" i="1"/>
  <c r="J654" i="1"/>
  <c r="I654" i="1"/>
  <c r="H654" i="1"/>
  <c r="AH653" i="1"/>
  <c r="AG653" i="1"/>
  <c r="AF653" i="1"/>
  <c r="AE653" i="1"/>
  <c r="AD653" i="1"/>
  <c r="AC653" i="1"/>
  <c r="AB653" i="1"/>
  <c r="AA653" i="1"/>
  <c r="Z653" i="1"/>
  <c r="AJ653" i="1" s="1"/>
  <c r="Y653" i="1"/>
  <c r="X653" i="1"/>
  <c r="W653" i="1"/>
  <c r="V653" i="1"/>
  <c r="U653" i="1"/>
  <c r="T653" i="1"/>
  <c r="S653" i="1"/>
  <c r="R653" i="1"/>
  <c r="R654" i="1" s="1"/>
  <c r="R655" i="1" s="1"/>
  <c r="R656" i="1" s="1"/>
  <c r="Q653" i="1"/>
  <c r="Q654" i="1" s="1"/>
  <c r="Q655" i="1" s="1"/>
  <c r="Q656" i="1" s="1"/>
  <c r="P653" i="1"/>
  <c r="P654" i="1" s="1"/>
  <c r="P655" i="1" s="1"/>
  <c r="O653" i="1"/>
  <c r="O654" i="1" s="1"/>
  <c r="O655" i="1" s="1"/>
  <c r="O656" i="1" s="1"/>
  <c r="N653" i="1"/>
  <c r="N654" i="1" s="1"/>
  <c r="N655" i="1" s="1"/>
  <c r="N656" i="1" s="1"/>
  <c r="M653" i="1"/>
  <c r="L653" i="1"/>
  <c r="K653" i="1"/>
  <c r="J653" i="1"/>
  <c r="I653" i="1"/>
  <c r="H653" i="1"/>
  <c r="AH652" i="1"/>
  <c r="AG652" i="1"/>
  <c r="AF652" i="1"/>
  <c r="AE652" i="1"/>
  <c r="AD652" i="1"/>
  <c r="AC652" i="1"/>
  <c r="AB652" i="1"/>
  <c r="AA652" i="1"/>
  <c r="Z652" i="1"/>
  <c r="AJ652" i="1" s="1"/>
  <c r="Y652" i="1"/>
  <c r="X652" i="1"/>
  <c r="W652" i="1"/>
  <c r="V652" i="1"/>
  <c r="U652" i="1"/>
  <c r="T652" i="1"/>
  <c r="S652" i="1"/>
  <c r="M652" i="1"/>
  <c r="L652" i="1"/>
  <c r="K652" i="1"/>
  <c r="J652" i="1"/>
  <c r="I652" i="1"/>
  <c r="H652" i="1"/>
  <c r="AH651" i="1"/>
  <c r="AG651" i="1"/>
  <c r="AF651" i="1"/>
  <c r="AE651" i="1"/>
  <c r="AD651" i="1"/>
  <c r="AC651" i="1"/>
  <c r="AB651" i="1"/>
  <c r="AA651" i="1"/>
  <c r="Z651" i="1"/>
  <c r="AJ651" i="1" s="1"/>
  <c r="Y651" i="1"/>
  <c r="X651" i="1"/>
  <c r="W651" i="1"/>
  <c r="V651" i="1"/>
  <c r="AO651" i="1" s="1"/>
  <c r="U651" i="1"/>
  <c r="T651" i="1"/>
  <c r="S651" i="1"/>
  <c r="M651" i="1"/>
  <c r="L651" i="1"/>
  <c r="K651" i="1"/>
  <c r="J651" i="1"/>
  <c r="I651" i="1"/>
  <c r="H651" i="1"/>
  <c r="AH650" i="1"/>
  <c r="AG650" i="1"/>
  <c r="AF650" i="1"/>
  <c r="AE650" i="1"/>
  <c r="AD650" i="1"/>
  <c r="AC650" i="1"/>
  <c r="AB650" i="1"/>
  <c r="AA650" i="1"/>
  <c r="Z650" i="1"/>
  <c r="AJ650" i="1" s="1"/>
  <c r="Y650" i="1"/>
  <c r="X650" i="1"/>
  <c r="W650" i="1"/>
  <c r="V650" i="1"/>
  <c r="AN650" i="1" s="1"/>
  <c r="U650" i="1"/>
  <c r="T650" i="1"/>
  <c r="S650" i="1"/>
  <c r="M650" i="1"/>
  <c r="L650" i="1"/>
  <c r="K650" i="1"/>
  <c r="J650" i="1"/>
  <c r="I650" i="1"/>
  <c r="H650" i="1"/>
  <c r="AJ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AL649" i="1" s="1"/>
  <c r="U649" i="1"/>
  <c r="T649" i="1"/>
  <c r="S649" i="1"/>
  <c r="M649" i="1"/>
  <c r="L649" i="1"/>
  <c r="K649" i="1"/>
  <c r="J649" i="1"/>
  <c r="I649" i="1"/>
  <c r="H649" i="1"/>
  <c r="AH648" i="1"/>
  <c r="AG648" i="1"/>
  <c r="AF648" i="1"/>
  <c r="AE648" i="1"/>
  <c r="AD648" i="1"/>
  <c r="AC648" i="1"/>
  <c r="AB648" i="1"/>
  <c r="AA648" i="1"/>
  <c r="Z648" i="1"/>
  <c r="AJ648" i="1" s="1"/>
  <c r="Y648" i="1"/>
  <c r="X648" i="1"/>
  <c r="W648" i="1"/>
  <c r="V648" i="1"/>
  <c r="U648" i="1"/>
  <c r="T648" i="1"/>
  <c r="S648" i="1"/>
  <c r="R648" i="1"/>
  <c r="R649" i="1" s="1"/>
  <c r="R650" i="1" s="1"/>
  <c r="R651" i="1" s="1"/>
  <c r="R652" i="1" s="1"/>
  <c r="Q648" i="1"/>
  <c r="Q649" i="1" s="1"/>
  <c r="Q650" i="1" s="1"/>
  <c r="Q651" i="1" s="1"/>
  <c r="Q652" i="1" s="1"/>
  <c r="P648" i="1"/>
  <c r="P649" i="1" s="1"/>
  <c r="O648" i="1"/>
  <c r="O649" i="1" s="1"/>
  <c r="O650" i="1" s="1"/>
  <c r="O651" i="1" s="1"/>
  <c r="O652" i="1" s="1"/>
  <c r="N648" i="1"/>
  <c r="N649" i="1" s="1"/>
  <c r="N650" i="1" s="1"/>
  <c r="N651" i="1" s="1"/>
  <c r="N652" i="1" s="1"/>
  <c r="M648" i="1"/>
  <c r="L648" i="1"/>
  <c r="K648" i="1"/>
  <c r="J648" i="1"/>
  <c r="I648" i="1"/>
  <c r="H648" i="1"/>
  <c r="AH647" i="1"/>
  <c r="AG647" i="1"/>
  <c r="AF647" i="1"/>
  <c r="AE647" i="1"/>
  <c r="AD647" i="1"/>
  <c r="AC647" i="1"/>
  <c r="AB647" i="1"/>
  <c r="AA647" i="1"/>
  <c r="Z647" i="1"/>
  <c r="AJ647" i="1" s="1"/>
  <c r="Y647" i="1"/>
  <c r="X647" i="1"/>
  <c r="W647" i="1"/>
  <c r="V647" i="1"/>
  <c r="U647" i="1"/>
  <c r="T647" i="1"/>
  <c r="S647" i="1"/>
  <c r="M647" i="1"/>
  <c r="L647" i="1"/>
  <c r="K647" i="1"/>
  <c r="J647" i="1"/>
  <c r="I647" i="1"/>
  <c r="H647" i="1"/>
  <c r="AO646" i="1"/>
  <c r="AH646" i="1"/>
  <c r="AG646" i="1"/>
  <c r="AF646" i="1"/>
  <c r="AE646" i="1"/>
  <c r="AD646" i="1"/>
  <c r="AC646" i="1"/>
  <c r="AB646" i="1"/>
  <c r="AA646" i="1"/>
  <c r="Z646" i="1"/>
  <c r="AJ646" i="1" s="1"/>
  <c r="Y646" i="1"/>
  <c r="X646" i="1"/>
  <c r="W646" i="1"/>
  <c r="V646" i="1"/>
  <c r="AN646" i="1" s="1"/>
  <c r="U646" i="1"/>
  <c r="T646" i="1"/>
  <c r="S646" i="1"/>
  <c r="M646" i="1"/>
  <c r="L646" i="1"/>
  <c r="K646" i="1"/>
  <c r="J646" i="1"/>
  <c r="I646" i="1"/>
  <c r="H646" i="1"/>
  <c r="AH645" i="1"/>
  <c r="AG645" i="1"/>
  <c r="AF645" i="1"/>
  <c r="AE645" i="1"/>
  <c r="AD645" i="1"/>
  <c r="AC645" i="1"/>
  <c r="AB645" i="1"/>
  <c r="AA645" i="1"/>
  <c r="Z645" i="1"/>
  <c r="AJ645" i="1" s="1"/>
  <c r="Y645" i="1"/>
  <c r="X645" i="1"/>
  <c r="W645" i="1"/>
  <c r="V645" i="1"/>
  <c r="U645" i="1"/>
  <c r="T645" i="1"/>
  <c r="S645" i="1"/>
  <c r="M645" i="1"/>
  <c r="L645" i="1"/>
  <c r="K645" i="1"/>
  <c r="J645" i="1"/>
  <c r="I645" i="1"/>
  <c r="H645" i="1"/>
  <c r="AH644" i="1"/>
  <c r="AG644" i="1"/>
  <c r="AF644" i="1"/>
  <c r="AE644" i="1"/>
  <c r="AD644" i="1"/>
  <c r="AC644" i="1"/>
  <c r="AB644" i="1"/>
  <c r="AA644" i="1"/>
  <c r="Z644" i="1"/>
  <c r="AJ644" i="1" s="1"/>
  <c r="Y644" i="1"/>
  <c r="X644" i="1"/>
  <c r="W644" i="1"/>
  <c r="V644" i="1"/>
  <c r="U644" i="1"/>
  <c r="T644" i="1"/>
  <c r="S644" i="1"/>
  <c r="R644" i="1"/>
  <c r="R645" i="1" s="1"/>
  <c r="R646" i="1" s="1"/>
  <c r="R647" i="1" s="1"/>
  <c r="Q644" i="1"/>
  <c r="Q645" i="1" s="1"/>
  <c r="Q646" i="1" s="1"/>
  <c r="Q647" i="1" s="1"/>
  <c r="P644" i="1"/>
  <c r="O644" i="1"/>
  <c r="O645" i="1" s="1"/>
  <c r="O646" i="1" s="1"/>
  <c r="O647" i="1" s="1"/>
  <c r="N644" i="1"/>
  <c r="N645" i="1" s="1"/>
  <c r="N646" i="1" s="1"/>
  <c r="N647" i="1" s="1"/>
  <c r="M644" i="1"/>
  <c r="L644" i="1"/>
  <c r="K644" i="1"/>
  <c r="J644" i="1"/>
  <c r="I644" i="1"/>
  <c r="H644" i="1"/>
  <c r="AO643" i="1"/>
  <c r="AH643" i="1"/>
  <c r="AG643" i="1"/>
  <c r="AF643" i="1"/>
  <c r="AE643" i="1"/>
  <c r="AD643" i="1"/>
  <c r="AC643" i="1"/>
  <c r="AB643" i="1"/>
  <c r="AA643" i="1"/>
  <c r="Z643" i="1"/>
  <c r="AJ643" i="1" s="1"/>
  <c r="Y643" i="1"/>
  <c r="X643" i="1"/>
  <c r="W643" i="1"/>
  <c r="V643" i="1"/>
  <c r="AN643" i="1" s="1"/>
  <c r="U643" i="1"/>
  <c r="T643" i="1"/>
  <c r="S643" i="1"/>
  <c r="M643" i="1"/>
  <c r="L643" i="1"/>
  <c r="K643" i="1"/>
  <c r="J643" i="1"/>
  <c r="I643" i="1"/>
  <c r="H643" i="1"/>
  <c r="AO642" i="1"/>
  <c r="AH642" i="1"/>
  <c r="AG642" i="1"/>
  <c r="AF642" i="1"/>
  <c r="AE642" i="1"/>
  <c r="AD642" i="1"/>
  <c r="AC642" i="1"/>
  <c r="AB642" i="1"/>
  <c r="AA642" i="1"/>
  <c r="Z642" i="1"/>
  <c r="AJ642" i="1" s="1"/>
  <c r="Y642" i="1"/>
  <c r="X642" i="1"/>
  <c r="W642" i="1"/>
  <c r="V642" i="1"/>
  <c r="AN642" i="1" s="1"/>
  <c r="U642" i="1"/>
  <c r="T642" i="1"/>
  <c r="S642" i="1"/>
  <c r="M642" i="1"/>
  <c r="L642" i="1"/>
  <c r="K642" i="1"/>
  <c r="J642" i="1"/>
  <c r="I642" i="1"/>
  <c r="H642" i="1"/>
  <c r="AH641" i="1"/>
  <c r="AG641" i="1"/>
  <c r="AF641" i="1"/>
  <c r="AE641" i="1"/>
  <c r="AD641" i="1"/>
  <c r="AC641" i="1"/>
  <c r="AB641" i="1"/>
  <c r="AA641" i="1"/>
  <c r="Z641" i="1"/>
  <c r="AJ641" i="1" s="1"/>
  <c r="Y641" i="1"/>
  <c r="X641" i="1"/>
  <c r="W641" i="1"/>
  <c r="V641" i="1"/>
  <c r="U641" i="1"/>
  <c r="T641" i="1"/>
  <c r="S641" i="1"/>
  <c r="M641" i="1"/>
  <c r="L641" i="1"/>
  <c r="K641" i="1"/>
  <c r="J641" i="1"/>
  <c r="I641" i="1"/>
  <c r="H641" i="1"/>
  <c r="AH640" i="1"/>
  <c r="AG640" i="1"/>
  <c r="AF640" i="1"/>
  <c r="AE640" i="1"/>
  <c r="AD640" i="1"/>
  <c r="AC640" i="1"/>
  <c r="AB640" i="1"/>
  <c r="AA640" i="1"/>
  <c r="Z640" i="1"/>
  <c r="AJ640" i="1" s="1"/>
  <c r="Y640" i="1"/>
  <c r="X640" i="1"/>
  <c r="W640" i="1"/>
  <c r="V640" i="1"/>
  <c r="AL640" i="1" s="1"/>
  <c r="U640" i="1"/>
  <c r="T640" i="1"/>
  <c r="S640" i="1"/>
  <c r="M640" i="1"/>
  <c r="L640" i="1"/>
  <c r="K640" i="1"/>
  <c r="J640" i="1"/>
  <c r="I640" i="1"/>
  <c r="H640" i="1"/>
  <c r="AH639" i="1"/>
  <c r="AG639" i="1"/>
  <c r="AF639" i="1"/>
  <c r="AE639" i="1"/>
  <c r="AD639" i="1"/>
  <c r="AC639" i="1"/>
  <c r="AB639" i="1"/>
  <c r="AA639" i="1"/>
  <c r="Z639" i="1"/>
  <c r="AJ639" i="1" s="1"/>
  <c r="Y639" i="1"/>
  <c r="X639" i="1"/>
  <c r="W639" i="1"/>
  <c r="V639" i="1"/>
  <c r="U639" i="1"/>
  <c r="T639" i="1"/>
  <c r="S639" i="1"/>
  <c r="R639" i="1"/>
  <c r="R640" i="1" s="1"/>
  <c r="R641" i="1" s="1"/>
  <c r="R642" i="1" s="1"/>
  <c r="R643" i="1" s="1"/>
  <c r="Q639" i="1"/>
  <c r="Q640" i="1" s="1"/>
  <c r="Q641" i="1" s="1"/>
  <c r="Q642" i="1" s="1"/>
  <c r="Q643" i="1" s="1"/>
  <c r="P639" i="1"/>
  <c r="AI639" i="1" s="1"/>
  <c r="O639" i="1"/>
  <c r="O640" i="1" s="1"/>
  <c r="O641" i="1" s="1"/>
  <c r="O642" i="1" s="1"/>
  <c r="O643" i="1" s="1"/>
  <c r="N639" i="1"/>
  <c r="N640" i="1" s="1"/>
  <c r="N641" i="1" s="1"/>
  <c r="N642" i="1" s="1"/>
  <c r="N643" i="1" s="1"/>
  <c r="M639" i="1"/>
  <c r="L639" i="1"/>
  <c r="K639" i="1"/>
  <c r="J639" i="1"/>
  <c r="I639" i="1"/>
  <c r="H639" i="1"/>
  <c r="AH638" i="1"/>
  <c r="AG638" i="1"/>
  <c r="AF638" i="1"/>
  <c r="AE638" i="1"/>
  <c r="AD638" i="1"/>
  <c r="AC638" i="1"/>
  <c r="AB638" i="1"/>
  <c r="AA638" i="1"/>
  <c r="Z638" i="1"/>
  <c r="AJ638" i="1" s="1"/>
  <c r="Y638" i="1"/>
  <c r="X638" i="1"/>
  <c r="W638" i="1"/>
  <c r="V638" i="1"/>
  <c r="AO638" i="1" s="1"/>
  <c r="U638" i="1"/>
  <c r="T638" i="1"/>
  <c r="S638" i="1"/>
  <c r="M638" i="1"/>
  <c r="L638" i="1"/>
  <c r="K638" i="1"/>
  <c r="J638" i="1"/>
  <c r="I638" i="1"/>
  <c r="H638" i="1"/>
  <c r="AH637" i="1"/>
  <c r="AG637" i="1"/>
  <c r="AF637" i="1"/>
  <c r="AE637" i="1"/>
  <c r="AD637" i="1"/>
  <c r="AC637" i="1"/>
  <c r="AB637" i="1"/>
  <c r="AA637" i="1"/>
  <c r="Z637" i="1"/>
  <c r="AJ637" i="1" s="1"/>
  <c r="Y637" i="1"/>
  <c r="X637" i="1"/>
  <c r="W637" i="1"/>
  <c r="V637" i="1"/>
  <c r="AL637" i="1" s="1"/>
  <c r="U637" i="1"/>
  <c r="T637" i="1"/>
  <c r="S637" i="1"/>
  <c r="M637" i="1"/>
  <c r="L637" i="1"/>
  <c r="K637" i="1"/>
  <c r="J637" i="1"/>
  <c r="I637" i="1"/>
  <c r="H637" i="1"/>
  <c r="AH636" i="1"/>
  <c r="AG636" i="1"/>
  <c r="AF636" i="1"/>
  <c r="AE636" i="1"/>
  <c r="AD636" i="1"/>
  <c r="AC636" i="1"/>
  <c r="AB636" i="1"/>
  <c r="AA636" i="1"/>
  <c r="Z636" i="1"/>
  <c r="AJ636" i="1" s="1"/>
  <c r="Y636" i="1"/>
  <c r="X636" i="1"/>
  <c r="W636" i="1"/>
  <c r="V636" i="1"/>
  <c r="AL636" i="1" s="1"/>
  <c r="U636" i="1"/>
  <c r="T636" i="1"/>
  <c r="S636" i="1"/>
  <c r="M636" i="1"/>
  <c r="L636" i="1"/>
  <c r="K636" i="1"/>
  <c r="J636" i="1"/>
  <c r="I636" i="1"/>
  <c r="H636" i="1"/>
  <c r="AH635" i="1"/>
  <c r="AG635" i="1"/>
  <c r="AF635" i="1"/>
  <c r="AE635" i="1"/>
  <c r="AD635" i="1"/>
  <c r="AC635" i="1"/>
  <c r="AB635" i="1"/>
  <c r="AA635" i="1"/>
  <c r="Z635" i="1"/>
  <c r="AJ635" i="1" s="1"/>
  <c r="Y635" i="1"/>
  <c r="X635" i="1"/>
  <c r="W635" i="1"/>
  <c r="V635" i="1"/>
  <c r="U635" i="1"/>
  <c r="T635" i="1"/>
  <c r="S635" i="1"/>
  <c r="R635" i="1"/>
  <c r="R636" i="1" s="1"/>
  <c r="R637" i="1" s="1"/>
  <c r="R638" i="1" s="1"/>
  <c r="Q635" i="1"/>
  <c r="Q636" i="1" s="1"/>
  <c r="Q637" i="1" s="1"/>
  <c r="Q638" i="1" s="1"/>
  <c r="P635" i="1"/>
  <c r="AI635" i="1" s="1"/>
  <c r="O635" i="1"/>
  <c r="O636" i="1" s="1"/>
  <c r="O637" i="1" s="1"/>
  <c r="O638" i="1" s="1"/>
  <c r="N635" i="1"/>
  <c r="N636" i="1" s="1"/>
  <c r="N637" i="1" s="1"/>
  <c r="N638" i="1" s="1"/>
  <c r="M635" i="1"/>
  <c r="L635" i="1"/>
  <c r="K635" i="1"/>
  <c r="J635" i="1"/>
  <c r="I635" i="1"/>
  <c r="H635" i="1"/>
  <c r="AH634" i="1"/>
  <c r="AG634" i="1"/>
  <c r="AF634" i="1"/>
  <c r="AE634" i="1"/>
  <c r="AD634" i="1"/>
  <c r="AC634" i="1"/>
  <c r="AB634" i="1"/>
  <c r="AA634" i="1"/>
  <c r="Z634" i="1"/>
  <c r="AJ634" i="1" s="1"/>
  <c r="Y634" i="1"/>
  <c r="X634" i="1"/>
  <c r="W634" i="1"/>
  <c r="V634" i="1"/>
  <c r="AO634" i="1" s="1"/>
  <c r="U634" i="1"/>
  <c r="T634" i="1"/>
  <c r="S634" i="1"/>
  <c r="M634" i="1"/>
  <c r="L634" i="1"/>
  <c r="K634" i="1"/>
  <c r="J634" i="1"/>
  <c r="I634" i="1"/>
  <c r="H634" i="1"/>
  <c r="AH633" i="1"/>
  <c r="AG633" i="1"/>
  <c r="AF633" i="1"/>
  <c r="AE633" i="1"/>
  <c r="AD633" i="1"/>
  <c r="AC633" i="1"/>
  <c r="AB633" i="1"/>
  <c r="AA633" i="1"/>
  <c r="Z633" i="1"/>
  <c r="AJ633" i="1" s="1"/>
  <c r="Y633" i="1"/>
  <c r="X633" i="1"/>
  <c r="W633" i="1"/>
  <c r="V633" i="1"/>
  <c r="U633" i="1"/>
  <c r="T633" i="1"/>
  <c r="S633" i="1"/>
  <c r="M633" i="1"/>
  <c r="L633" i="1"/>
  <c r="K633" i="1"/>
  <c r="J633" i="1"/>
  <c r="I633" i="1"/>
  <c r="H633" i="1"/>
  <c r="AH632" i="1"/>
  <c r="AG632" i="1"/>
  <c r="AF632" i="1"/>
  <c r="AE632" i="1"/>
  <c r="AD632" i="1"/>
  <c r="AC632" i="1"/>
  <c r="AB632" i="1"/>
  <c r="AA632" i="1"/>
  <c r="Z632" i="1"/>
  <c r="AJ632" i="1" s="1"/>
  <c r="Y632" i="1"/>
  <c r="X632" i="1"/>
  <c r="W632" i="1"/>
  <c r="V632" i="1"/>
  <c r="AL632" i="1" s="1"/>
  <c r="U632" i="1"/>
  <c r="T632" i="1"/>
  <c r="S632" i="1"/>
  <c r="M632" i="1"/>
  <c r="L632" i="1"/>
  <c r="K632" i="1"/>
  <c r="J632" i="1"/>
  <c r="I632" i="1"/>
  <c r="H632" i="1"/>
  <c r="AH631" i="1"/>
  <c r="AG631" i="1"/>
  <c r="AF631" i="1"/>
  <c r="AE631" i="1"/>
  <c r="AD631" i="1"/>
  <c r="AC631" i="1"/>
  <c r="AB631" i="1"/>
  <c r="AA631" i="1"/>
  <c r="Z631" i="1"/>
  <c r="AJ631" i="1" s="1"/>
  <c r="Y631" i="1"/>
  <c r="X631" i="1"/>
  <c r="W631" i="1"/>
  <c r="V631" i="1"/>
  <c r="U631" i="1"/>
  <c r="T631" i="1"/>
  <c r="S631" i="1"/>
  <c r="R631" i="1"/>
  <c r="R632" i="1" s="1"/>
  <c r="R633" i="1" s="1"/>
  <c r="R634" i="1" s="1"/>
  <c r="Q631" i="1"/>
  <c r="Q632" i="1" s="1"/>
  <c r="Q633" i="1" s="1"/>
  <c r="Q634" i="1" s="1"/>
  <c r="P631" i="1"/>
  <c r="AI631" i="1" s="1"/>
  <c r="O631" i="1"/>
  <c r="O632" i="1" s="1"/>
  <c r="O633" i="1" s="1"/>
  <c r="O634" i="1" s="1"/>
  <c r="N631" i="1"/>
  <c r="N632" i="1" s="1"/>
  <c r="N633" i="1" s="1"/>
  <c r="N634" i="1" s="1"/>
  <c r="M631" i="1"/>
  <c r="L631" i="1"/>
  <c r="K631" i="1"/>
  <c r="J631" i="1"/>
  <c r="I631" i="1"/>
  <c r="H631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M630" i="1"/>
  <c r="L630" i="1"/>
  <c r="K630" i="1"/>
  <c r="J630" i="1"/>
  <c r="I630" i="1"/>
  <c r="H630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M629" i="1"/>
  <c r="L629" i="1"/>
  <c r="K629" i="1"/>
  <c r="J629" i="1"/>
  <c r="I629" i="1"/>
  <c r="H629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M628" i="1"/>
  <c r="L628" i="1"/>
  <c r="K628" i="1"/>
  <c r="J628" i="1"/>
  <c r="I628" i="1"/>
  <c r="H628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M627" i="1"/>
  <c r="L627" i="1"/>
  <c r="K627" i="1"/>
  <c r="J627" i="1"/>
  <c r="I627" i="1"/>
  <c r="H627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R627" i="1" s="1"/>
  <c r="R628" i="1" s="1"/>
  <c r="R629" i="1" s="1"/>
  <c r="R630" i="1" s="1"/>
  <c r="Q626" i="1"/>
  <c r="Q627" i="1" s="1"/>
  <c r="Q628" i="1" s="1"/>
  <c r="Q629" i="1" s="1"/>
  <c r="Q630" i="1" s="1"/>
  <c r="P626" i="1"/>
  <c r="P627" i="1" s="1"/>
  <c r="P628" i="1" s="1"/>
  <c r="P629" i="1" s="1"/>
  <c r="P630" i="1" s="1"/>
  <c r="O626" i="1"/>
  <c r="O627" i="1" s="1"/>
  <c r="O628" i="1" s="1"/>
  <c r="O629" i="1" s="1"/>
  <c r="O630" i="1" s="1"/>
  <c r="N626" i="1"/>
  <c r="N627" i="1" s="1"/>
  <c r="N628" i="1" s="1"/>
  <c r="N629" i="1" s="1"/>
  <c r="N630" i="1" s="1"/>
  <c r="M626" i="1"/>
  <c r="L626" i="1"/>
  <c r="K626" i="1"/>
  <c r="J626" i="1"/>
  <c r="I626" i="1"/>
  <c r="H626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M625" i="1"/>
  <c r="L625" i="1"/>
  <c r="K625" i="1"/>
  <c r="J625" i="1"/>
  <c r="I625" i="1"/>
  <c r="H625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M624" i="1"/>
  <c r="L624" i="1"/>
  <c r="K624" i="1"/>
  <c r="J624" i="1"/>
  <c r="I624" i="1"/>
  <c r="H624" i="1"/>
  <c r="AF623" i="1"/>
  <c r="AE623" i="1"/>
  <c r="AD623" i="1"/>
  <c r="AC623" i="1"/>
  <c r="AB623" i="1"/>
  <c r="AA623" i="1"/>
  <c r="Z623" i="1"/>
  <c r="Y623" i="1"/>
  <c r="X623" i="1"/>
  <c r="W623" i="1"/>
  <c r="V623" i="1"/>
  <c r="AK623" i="1" s="1"/>
  <c r="U623" i="1"/>
  <c r="T623" i="1"/>
  <c r="S623" i="1"/>
  <c r="M623" i="1"/>
  <c r="L623" i="1"/>
  <c r="K623" i="1"/>
  <c r="J623" i="1"/>
  <c r="I623" i="1"/>
  <c r="H623" i="1"/>
  <c r="AF622" i="1"/>
  <c r="AE622" i="1"/>
  <c r="AD622" i="1"/>
  <c r="AC622" i="1"/>
  <c r="AB622" i="1"/>
  <c r="AA622" i="1"/>
  <c r="Z622" i="1"/>
  <c r="Y622" i="1"/>
  <c r="X622" i="1"/>
  <c r="W622" i="1"/>
  <c r="V622" i="1"/>
  <c r="AK622" i="1" s="1"/>
  <c r="U622" i="1"/>
  <c r="T622" i="1"/>
  <c r="S622" i="1"/>
  <c r="R622" i="1"/>
  <c r="R623" i="1" s="1"/>
  <c r="R624" i="1" s="1"/>
  <c r="R625" i="1" s="1"/>
  <c r="Q622" i="1"/>
  <c r="Q623" i="1" s="1"/>
  <c r="Q624" i="1" s="1"/>
  <c r="Q625" i="1" s="1"/>
  <c r="P622" i="1"/>
  <c r="P623" i="1" s="1"/>
  <c r="P624" i="1" s="1"/>
  <c r="P625" i="1" s="1"/>
  <c r="O622" i="1"/>
  <c r="O623" i="1" s="1"/>
  <c r="O624" i="1" s="1"/>
  <c r="O625" i="1" s="1"/>
  <c r="N622" i="1"/>
  <c r="N623" i="1" s="1"/>
  <c r="N624" i="1" s="1"/>
  <c r="N625" i="1" s="1"/>
  <c r="M622" i="1"/>
  <c r="L622" i="1"/>
  <c r="K622" i="1"/>
  <c r="J622" i="1"/>
  <c r="I622" i="1"/>
  <c r="H622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M621" i="1"/>
  <c r="L621" i="1"/>
  <c r="K621" i="1"/>
  <c r="J621" i="1"/>
  <c r="I621" i="1"/>
  <c r="H621" i="1"/>
  <c r="AF620" i="1"/>
  <c r="AE620" i="1"/>
  <c r="AD620" i="1"/>
  <c r="AC620" i="1"/>
  <c r="AB620" i="1"/>
  <c r="AA620" i="1"/>
  <c r="Z620" i="1"/>
  <c r="Y620" i="1"/>
  <c r="X620" i="1"/>
  <c r="W620" i="1"/>
  <c r="AK620" i="1" s="1"/>
  <c r="V620" i="1"/>
  <c r="U620" i="1"/>
  <c r="T620" i="1"/>
  <c r="S620" i="1"/>
  <c r="M620" i="1"/>
  <c r="L620" i="1"/>
  <c r="K620" i="1"/>
  <c r="J620" i="1"/>
  <c r="I620" i="1"/>
  <c r="H620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M619" i="1"/>
  <c r="L619" i="1"/>
  <c r="K619" i="1"/>
  <c r="J619" i="1"/>
  <c r="I619" i="1"/>
  <c r="H619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R619" i="1" s="1"/>
  <c r="R620" i="1" s="1"/>
  <c r="R621" i="1" s="1"/>
  <c r="Q618" i="1"/>
  <c r="Q619" i="1" s="1"/>
  <c r="Q620" i="1" s="1"/>
  <c r="Q621" i="1" s="1"/>
  <c r="P618" i="1"/>
  <c r="P619" i="1" s="1"/>
  <c r="P620" i="1" s="1"/>
  <c r="P621" i="1" s="1"/>
  <c r="O618" i="1"/>
  <c r="O619" i="1" s="1"/>
  <c r="O620" i="1" s="1"/>
  <c r="O621" i="1" s="1"/>
  <c r="N618" i="1"/>
  <c r="N619" i="1" s="1"/>
  <c r="N620" i="1" s="1"/>
  <c r="N621" i="1" s="1"/>
  <c r="M618" i="1"/>
  <c r="L618" i="1"/>
  <c r="K618" i="1"/>
  <c r="J618" i="1"/>
  <c r="I618" i="1"/>
  <c r="H618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M617" i="1"/>
  <c r="L617" i="1"/>
  <c r="K617" i="1"/>
  <c r="J617" i="1"/>
  <c r="I617" i="1"/>
  <c r="H617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M616" i="1"/>
  <c r="L616" i="1"/>
  <c r="K616" i="1"/>
  <c r="J616" i="1"/>
  <c r="I616" i="1"/>
  <c r="H616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M615" i="1"/>
  <c r="L615" i="1"/>
  <c r="K615" i="1"/>
  <c r="J615" i="1"/>
  <c r="I615" i="1"/>
  <c r="H615" i="1"/>
  <c r="A615" i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F614" i="1"/>
  <c r="AE614" i="1"/>
  <c r="AD614" i="1"/>
  <c r="AC614" i="1"/>
  <c r="AB614" i="1"/>
  <c r="AA614" i="1"/>
  <c r="Z614" i="1"/>
  <c r="Y614" i="1"/>
  <c r="X614" i="1"/>
  <c r="W614" i="1"/>
  <c r="V614" i="1"/>
  <c r="AK614" i="1" s="1"/>
  <c r="U614" i="1"/>
  <c r="T614" i="1"/>
  <c r="S614" i="1"/>
  <c r="R614" i="1"/>
  <c r="R615" i="1" s="1"/>
  <c r="R616" i="1" s="1"/>
  <c r="R617" i="1" s="1"/>
  <c r="Q614" i="1"/>
  <c r="Q615" i="1" s="1"/>
  <c r="Q616" i="1" s="1"/>
  <c r="Q617" i="1" s="1"/>
  <c r="P614" i="1"/>
  <c r="P615" i="1" s="1"/>
  <c r="P616" i="1" s="1"/>
  <c r="P617" i="1" s="1"/>
  <c r="O614" i="1"/>
  <c r="O615" i="1" s="1"/>
  <c r="O616" i="1" s="1"/>
  <c r="O617" i="1" s="1"/>
  <c r="N614" i="1"/>
  <c r="N615" i="1" s="1"/>
  <c r="N616" i="1" s="1"/>
  <c r="N617" i="1" s="1"/>
  <c r="M614" i="1"/>
  <c r="L614" i="1"/>
  <c r="K614" i="1"/>
  <c r="J614" i="1"/>
  <c r="I614" i="1"/>
  <c r="H614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M613" i="1"/>
  <c r="L613" i="1"/>
  <c r="K613" i="1"/>
  <c r="J613" i="1"/>
  <c r="I613" i="1"/>
  <c r="H613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M612" i="1"/>
  <c r="L612" i="1"/>
  <c r="K612" i="1"/>
  <c r="J612" i="1"/>
  <c r="I612" i="1"/>
  <c r="H612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M611" i="1"/>
  <c r="L611" i="1"/>
  <c r="K611" i="1"/>
  <c r="J611" i="1"/>
  <c r="I611" i="1"/>
  <c r="H611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M610" i="1"/>
  <c r="L610" i="1"/>
  <c r="K610" i="1"/>
  <c r="J610" i="1"/>
  <c r="I610" i="1"/>
  <c r="H610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R610" i="1" s="1"/>
  <c r="R611" i="1" s="1"/>
  <c r="R612" i="1" s="1"/>
  <c r="R613" i="1" s="1"/>
  <c r="Q609" i="1"/>
  <c r="Q610" i="1" s="1"/>
  <c r="Q611" i="1" s="1"/>
  <c r="Q612" i="1" s="1"/>
  <c r="Q613" i="1" s="1"/>
  <c r="P609" i="1"/>
  <c r="P610" i="1" s="1"/>
  <c r="P611" i="1" s="1"/>
  <c r="P612" i="1" s="1"/>
  <c r="P613" i="1" s="1"/>
  <c r="O609" i="1"/>
  <c r="O610" i="1" s="1"/>
  <c r="O611" i="1" s="1"/>
  <c r="O612" i="1" s="1"/>
  <c r="O613" i="1" s="1"/>
  <c r="N609" i="1"/>
  <c r="N610" i="1" s="1"/>
  <c r="N611" i="1" s="1"/>
  <c r="N612" i="1" s="1"/>
  <c r="N613" i="1" s="1"/>
  <c r="M609" i="1"/>
  <c r="L609" i="1"/>
  <c r="K609" i="1"/>
  <c r="J609" i="1"/>
  <c r="I609" i="1"/>
  <c r="H609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M608" i="1"/>
  <c r="L608" i="1"/>
  <c r="K608" i="1"/>
  <c r="J608" i="1"/>
  <c r="I608" i="1"/>
  <c r="H608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M607" i="1"/>
  <c r="L607" i="1"/>
  <c r="K607" i="1"/>
  <c r="J607" i="1"/>
  <c r="I607" i="1"/>
  <c r="H607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M606" i="1"/>
  <c r="L606" i="1"/>
  <c r="K606" i="1"/>
  <c r="J606" i="1"/>
  <c r="I606" i="1"/>
  <c r="H606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R606" i="1" s="1"/>
  <c r="R607" i="1" s="1"/>
  <c r="R608" i="1" s="1"/>
  <c r="Q605" i="1"/>
  <c r="Q606" i="1" s="1"/>
  <c r="Q607" i="1" s="1"/>
  <c r="Q608" i="1" s="1"/>
  <c r="P605" i="1"/>
  <c r="P606" i="1" s="1"/>
  <c r="P607" i="1" s="1"/>
  <c r="P608" i="1" s="1"/>
  <c r="O605" i="1"/>
  <c r="O606" i="1" s="1"/>
  <c r="O607" i="1" s="1"/>
  <c r="O608" i="1" s="1"/>
  <c r="N605" i="1"/>
  <c r="N606" i="1" s="1"/>
  <c r="N607" i="1" s="1"/>
  <c r="N608" i="1" s="1"/>
  <c r="M605" i="1"/>
  <c r="L605" i="1"/>
  <c r="K605" i="1"/>
  <c r="J605" i="1"/>
  <c r="I605" i="1"/>
  <c r="H605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M604" i="1"/>
  <c r="L604" i="1"/>
  <c r="K604" i="1"/>
  <c r="J604" i="1"/>
  <c r="I604" i="1"/>
  <c r="H604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M603" i="1"/>
  <c r="L603" i="1"/>
  <c r="K603" i="1"/>
  <c r="J603" i="1"/>
  <c r="I603" i="1"/>
  <c r="H603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M602" i="1"/>
  <c r="L602" i="1"/>
  <c r="K602" i="1"/>
  <c r="J602" i="1"/>
  <c r="I602" i="1"/>
  <c r="H602" i="1"/>
  <c r="A602" i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M601" i="1"/>
  <c r="L601" i="1"/>
  <c r="K601" i="1"/>
  <c r="J601" i="1"/>
  <c r="I601" i="1"/>
  <c r="H601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R601" i="1" s="1"/>
  <c r="R602" i="1" s="1"/>
  <c r="R603" i="1" s="1"/>
  <c r="R604" i="1" s="1"/>
  <c r="Q600" i="1"/>
  <c r="Q601" i="1" s="1"/>
  <c r="Q602" i="1" s="1"/>
  <c r="Q603" i="1" s="1"/>
  <c r="Q604" i="1" s="1"/>
  <c r="P600" i="1"/>
  <c r="P601" i="1" s="1"/>
  <c r="P602" i="1" s="1"/>
  <c r="P603" i="1" s="1"/>
  <c r="P604" i="1" s="1"/>
  <c r="O600" i="1"/>
  <c r="O601" i="1" s="1"/>
  <c r="O602" i="1" s="1"/>
  <c r="O603" i="1" s="1"/>
  <c r="O604" i="1" s="1"/>
  <c r="N600" i="1"/>
  <c r="N601" i="1" s="1"/>
  <c r="N602" i="1" s="1"/>
  <c r="N603" i="1" s="1"/>
  <c r="N604" i="1" s="1"/>
  <c r="M600" i="1"/>
  <c r="L600" i="1"/>
  <c r="K600" i="1"/>
  <c r="J600" i="1"/>
  <c r="I600" i="1"/>
  <c r="H600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M599" i="1"/>
  <c r="L599" i="1"/>
  <c r="K599" i="1"/>
  <c r="J599" i="1"/>
  <c r="I599" i="1"/>
  <c r="H599" i="1"/>
  <c r="AF598" i="1"/>
  <c r="AE598" i="1"/>
  <c r="AD598" i="1"/>
  <c r="AC598" i="1"/>
  <c r="AB598" i="1"/>
  <c r="AA598" i="1"/>
  <c r="Z598" i="1"/>
  <c r="Y598" i="1"/>
  <c r="X598" i="1"/>
  <c r="W598" i="1"/>
  <c r="V598" i="1"/>
  <c r="AK598" i="1" s="1"/>
  <c r="U598" i="1"/>
  <c r="T598" i="1"/>
  <c r="S598" i="1"/>
  <c r="Q598" i="1"/>
  <c r="Q599" i="1" s="1"/>
  <c r="M598" i="1"/>
  <c r="L598" i="1"/>
  <c r="K598" i="1"/>
  <c r="J598" i="1"/>
  <c r="I598" i="1"/>
  <c r="H598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R598" i="1" s="1"/>
  <c r="R599" i="1" s="1"/>
  <c r="M597" i="1"/>
  <c r="L597" i="1"/>
  <c r="K597" i="1"/>
  <c r="J597" i="1"/>
  <c r="I597" i="1"/>
  <c r="H597" i="1"/>
  <c r="AF596" i="1"/>
  <c r="AE596" i="1"/>
  <c r="AD596" i="1"/>
  <c r="AC596" i="1"/>
  <c r="AB596" i="1"/>
  <c r="AA596" i="1"/>
  <c r="Z596" i="1"/>
  <c r="Y596" i="1"/>
  <c r="X596" i="1"/>
  <c r="W596" i="1"/>
  <c r="V596" i="1"/>
  <c r="AK596" i="1" s="1"/>
  <c r="U596" i="1"/>
  <c r="T596" i="1"/>
  <c r="S596" i="1"/>
  <c r="R596" i="1"/>
  <c r="Q596" i="1"/>
  <c r="Q597" i="1" s="1"/>
  <c r="P596" i="1"/>
  <c r="P597" i="1" s="1"/>
  <c r="P598" i="1" s="1"/>
  <c r="P599" i="1" s="1"/>
  <c r="O596" i="1"/>
  <c r="O597" i="1" s="1"/>
  <c r="O598" i="1" s="1"/>
  <c r="O599" i="1" s="1"/>
  <c r="N596" i="1"/>
  <c r="N597" i="1" s="1"/>
  <c r="N598" i="1" s="1"/>
  <c r="N599" i="1" s="1"/>
  <c r="M596" i="1"/>
  <c r="L596" i="1"/>
  <c r="K596" i="1"/>
  <c r="J596" i="1"/>
  <c r="I596" i="1"/>
  <c r="H596" i="1"/>
  <c r="AF595" i="1"/>
  <c r="AE595" i="1"/>
  <c r="AD595" i="1"/>
  <c r="AC595" i="1"/>
  <c r="AB595" i="1"/>
  <c r="AA595" i="1"/>
  <c r="Z595" i="1"/>
  <c r="Y595" i="1"/>
  <c r="X595" i="1"/>
  <c r="W595" i="1"/>
  <c r="V595" i="1"/>
  <c r="AK595" i="1" s="1"/>
  <c r="U595" i="1"/>
  <c r="T595" i="1"/>
  <c r="S595" i="1"/>
  <c r="M595" i="1"/>
  <c r="L595" i="1"/>
  <c r="K595" i="1"/>
  <c r="J595" i="1"/>
  <c r="I595" i="1"/>
  <c r="H595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M594" i="1"/>
  <c r="L594" i="1"/>
  <c r="K594" i="1"/>
  <c r="J594" i="1"/>
  <c r="I594" i="1"/>
  <c r="H594" i="1"/>
  <c r="A594" i="1"/>
  <c r="A595" i="1" s="1"/>
  <c r="A596" i="1" s="1"/>
  <c r="A597" i="1" s="1"/>
  <c r="A598" i="1" s="1"/>
  <c r="A599" i="1" s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M593" i="1"/>
  <c r="L593" i="1"/>
  <c r="K593" i="1"/>
  <c r="J593" i="1"/>
  <c r="I593" i="1"/>
  <c r="H593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R593" i="1" s="1"/>
  <c r="R594" i="1" s="1"/>
  <c r="R595" i="1" s="1"/>
  <c r="Q592" i="1"/>
  <c r="Q593" i="1" s="1"/>
  <c r="Q594" i="1" s="1"/>
  <c r="Q595" i="1" s="1"/>
  <c r="P592" i="1"/>
  <c r="P593" i="1" s="1"/>
  <c r="P594" i="1" s="1"/>
  <c r="P595" i="1" s="1"/>
  <c r="O592" i="1"/>
  <c r="O593" i="1" s="1"/>
  <c r="O594" i="1" s="1"/>
  <c r="O595" i="1" s="1"/>
  <c r="N592" i="1"/>
  <c r="N593" i="1" s="1"/>
  <c r="N594" i="1" s="1"/>
  <c r="N595" i="1" s="1"/>
  <c r="M592" i="1"/>
  <c r="L592" i="1"/>
  <c r="K592" i="1"/>
  <c r="J592" i="1"/>
  <c r="I592" i="1"/>
  <c r="H592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M591" i="1"/>
  <c r="L591" i="1"/>
  <c r="K591" i="1"/>
  <c r="J591" i="1"/>
  <c r="I591" i="1"/>
  <c r="H591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M590" i="1"/>
  <c r="L590" i="1"/>
  <c r="K590" i="1"/>
  <c r="J590" i="1"/>
  <c r="I590" i="1"/>
  <c r="H590" i="1"/>
  <c r="AF589" i="1"/>
  <c r="AE589" i="1"/>
  <c r="AD589" i="1"/>
  <c r="AC589" i="1"/>
  <c r="AB589" i="1"/>
  <c r="AA589" i="1"/>
  <c r="Z589" i="1"/>
  <c r="Y589" i="1"/>
  <c r="X589" i="1"/>
  <c r="W589" i="1"/>
  <c r="V589" i="1"/>
  <c r="AK589" i="1" s="1"/>
  <c r="U589" i="1"/>
  <c r="T589" i="1"/>
  <c r="S589" i="1"/>
  <c r="M589" i="1"/>
  <c r="L589" i="1"/>
  <c r="K589" i="1"/>
  <c r="J589" i="1"/>
  <c r="I589" i="1"/>
  <c r="H589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R589" i="1" s="1"/>
  <c r="R590" i="1" s="1"/>
  <c r="R591" i="1" s="1"/>
  <c r="Q588" i="1"/>
  <c r="Q589" i="1" s="1"/>
  <c r="Q590" i="1" s="1"/>
  <c r="Q591" i="1" s="1"/>
  <c r="P588" i="1"/>
  <c r="P589" i="1" s="1"/>
  <c r="P590" i="1" s="1"/>
  <c r="P591" i="1" s="1"/>
  <c r="O588" i="1"/>
  <c r="O589" i="1" s="1"/>
  <c r="O590" i="1" s="1"/>
  <c r="O591" i="1" s="1"/>
  <c r="M588" i="1"/>
  <c r="L588" i="1"/>
  <c r="K588" i="1"/>
  <c r="J588" i="1"/>
  <c r="I588" i="1"/>
  <c r="H588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N588" i="1" s="1"/>
  <c r="N589" i="1" s="1"/>
  <c r="N590" i="1" s="1"/>
  <c r="N591" i="1" s="1"/>
  <c r="M587" i="1"/>
  <c r="L587" i="1"/>
  <c r="K587" i="1"/>
  <c r="J587" i="1"/>
  <c r="I587" i="1"/>
  <c r="H587" i="1"/>
  <c r="AF586" i="1"/>
  <c r="AE586" i="1"/>
  <c r="AD586" i="1"/>
  <c r="AC586" i="1"/>
  <c r="AB586" i="1"/>
  <c r="AA586" i="1"/>
  <c r="Z586" i="1"/>
  <c r="Y586" i="1"/>
  <c r="X586" i="1"/>
  <c r="W586" i="1"/>
  <c r="V586" i="1"/>
  <c r="AK586" i="1" s="1"/>
  <c r="U586" i="1"/>
  <c r="T586" i="1"/>
  <c r="S586" i="1"/>
  <c r="M586" i="1"/>
  <c r="L586" i="1"/>
  <c r="K586" i="1"/>
  <c r="J586" i="1"/>
  <c r="I586" i="1"/>
  <c r="H586" i="1"/>
  <c r="AF585" i="1"/>
  <c r="AE585" i="1"/>
  <c r="AD585" i="1"/>
  <c r="AC585" i="1"/>
  <c r="AB585" i="1"/>
  <c r="AA585" i="1"/>
  <c r="Z585" i="1"/>
  <c r="Y585" i="1"/>
  <c r="X585" i="1"/>
  <c r="W585" i="1"/>
  <c r="V585" i="1"/>
  <c r="AK585" i="1" s="1"/>
  <c r="U585" i="1"/>
  <c r="T585" i="1"/>
  <c r="S585" i="1"/>
  <c r="M585" i="1"/>
  <c r="L585" i="1"/>
  <c r="K585" i="1"/>
  <c r="J585" i="1"/>
  <c r="I585" i="1"/>
  <c r="H585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M584" i="1"/>
  <c r="L584" i="1"/>
  <c r="K584" i="1"/>
  <c r="J584" i="1"/>
  <c r="I584" i="1"/>
  <c r="H584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R584" i="1" s="1"/>
  <c r="R585" i="1" s="1"/>
  <c r="R586" i="1" s="1"/>
  <c r="Q583" i="1"/>
  <c r="Q584" i="1" s="1"/>
  <c r="Q585" i="1" s="1"/>
  <c r="Q586" i="1" s="1"/>
  <c r="P583" i="1"/>
  <c r="P584" i="1" s="1"/>
  <c r="P585" i="1" s="1"/>
  <c r="P586" i="1" s="1"/>
  <c r="O583" i="1"/>
  <c r="O584" i="1" s="1"/>
  <c r="O585" i="1" s="1"/>
  <c r="O586" i="1" s="1"/>
  <c r="N583" i="1"/>
  <c r="N584" i="1" s="1"/>
  <c r="N585" i="1" s="1"/>
  <c r="N586" i="1" s="1"/>
  <c r="M583" i="1"/>
  <c r="L583" i="1"/>
  <c r="K583" i="1"/>
  <c r="J583" i="1"/>
  <c r="I583" i="1"/>
  <c r="H583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M582" i="1"/>
  <c r="L582" i="1"/>
  <c r="K582" i="1"/>
  <c r="J582" i="1"/>
  <c r="I582" i="1"/>
  <c r="H582" i="1"/>
  <c r="AF581" i="1"/>
  <c r="AE581" i="1"/>
  <c r="AD581" i="1"/>
  <c r="AC581" i="1"/>
  <c r="AB581" i="1"/>
  <c r="AA581" i="1"/>
  <c r="Z581" i="1"/>
  <c r="Y581" i="1"/>
  <c r="X581" i="1"/>
  <c r="W581" i="1"/>
  <c r="V581" i="1"/>
  <c r="AK581" i="1" s="1"/>
  <c r="U581" i="1"/>
  <c r="T581" i="1"/>
  <c r="S581" i="1"/>
  <c r="M581" i="1"/>
  <c r="L581" i="1"/>
  <c r="K581" i="1"/>
  <c r="J581" i="1"/>
  <c r="I581" i="1"/>
  <c r="H581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M580" i="1"/>
  <c r="L580" i="1"/>
  <c r="K580" i="1"/>
  <c r="J580" i="1"/>
  <c r="I580" i="1"/>
  <c r="H580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R580" i="1" s="1"/>
  <c r="R581" i="1" s="1"/>
  <c r="R582" i="1" s="1"/>
  <c r="Q579" i="1"/>
  <c r="Q580" i="1" s="1"/>
  <c r="Q581" i="1" s="1"/>
  <c r="Q582" i="1" s="1"/>
  <c r="P579" i="1"/>
  <c r="P580" i="1" s="1"/>
  <c r="P581" i="1" s="1"/>
  <c r="P582" i="1" s="1"/>
  <c r="O579" i="1"/>
  <c r="O580" i="1" s="1"/>
  <c r="O581" i="1" s="1"/>
  <c r="O582" i="1" s="1"/>
  <c r="N579" i="1"/>
  <c r="N580" i="1" s="1"/>
  <c r="N581" i="1" s="1"/>
  <c r="N582" i="1" s="1"/>
  <c r="M579" i="1"/>
  <c r="L579" i="1"/>
  <c r="K579" i="1"/>
  <c r="J579" i="1"/>
  <c r="I579" i="1"/>
  <c r="H579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M578" i="1"/>
  <c r="L578" i="1"/>
  <c r="K578" i="1"/>
  <c r="J578" i="1"/>
  <c r="I578" i="1"/>
  <c r="H578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M577" i="1"/>
  <c r="L577" i="1"/>
  <c r="K577" i="1"/>
  <c r="J577" i="1"/>
  <c r="I577" i="1"/>
  <c r="H577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M576" i="1"/>
  <c r="L576" i="1"/>
  <c r="K576" i="1"/>
  <c r="J576" i="1"/>
  <c r="I576" i="1"/>
  <c r="H576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M575" i="1"/>
  <c r="L575" i="1"/>
  <c r="K575" i="1"/>
  <c r="J575" i="1"/>
  <c r="I575" i="1"/>
  <c r="H575" i="1"/>
  <c r="AF574" i="1"/>
  <c r="AE574" i="1"/>
  <c r="AD574" i="1"/>
  <c r="AC574" i="1"/>
  <c r="AB574" i="1"/>
  <c r="AA574" i="1"/>
  <c r="Z574" i="1"/>
  <c r="Y574" i="1"/>
  <c r="X574" i="1"/>
  <c r="W574" i="1"/>
  <c r="V574" i="1"/>
  <c r="AK574" i="1" s="1"/>
  <c r="U574" i="1"/>
  <c r="T574" i="1"/>
  <c r="S574" i="1"/>
  <c r="R574" i="1"/>
  <c r="R575" i="1" s="1"/>
  <c r="R576" i="1" s="1"/>
  <c r="R577" i="1" s="1"/>
  <c r="R578" i="1" s="1"/>
  <c r="Q574" i="1"/>
  <c r="Q575" i="1" s="1"/>
  <c r="Q576" i="1" s="1"/>
  <c r="Q577" i="1" s="1"/>
  <c r="Q578" i="1" s="1"/>
  <c r="P574" i="1"/>
  <c r="P575" i="1" s="1"/>
  <c r="P576" i="1" s="1"/>
  <c r="P577" i="1" s="1"/>
  <c r="P578" i="1" s="1"/>
  <c r="O574" i="1"/>
  <c r="O575" i="1" s="1"/>
  <c r="O576" i="1" s="1"/>
  <c r="O577" i="1" s="1"/>
  <c r="O578" i="1" s="1"/>
  <c r="N574" i="1"/>
  <c r="N575" i="1" s="1"/>
  <c r="N576" i="1" s="1"/>
  <c r="N577" i="1" s="1"/>
  <c r="N578" i="1" s="1"/>
  <c r="M574" i="1"/>
  <c r="L574" i="1"/>
  <c r="K574" i="1"/>
  <c r="J574" i="1"/>
  <c r="I574" i="1"/>
  <c r="H574" i="1"/>
  <c r="AF573" i="1"/>
  <c r="AE573" i="1"/>
  <c r="AD573" i="1"/>
  <c r="AC573" i="1"/>
  <c r="AB573" i="1"/>
  <c r="AA573" i="1"/>
  <c r="Z573" i="1"/>
  <c r="Y573" i="1"/>
  <c r="X573" i="1"/>
  <c r="W573" i="1"/>
  <c r="V573" i="1"/>
  <c r="AK573" i="1" s="1"/>
  <c r="U573" i="1"/>
  <c r="T573" i="1"/>
  <c r="S573" i="1"/>
  <c r="M573" i="1"/>
  <c r="L573" i="1"/>
  <c r="K573" i="1"/>
  <c r="J573" i="1"/>
  <c r="I573" i="1"/>
  <c r="H573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M572" i="1"/>
  <c r="L572" i="1"/>
  <c r="K572" i="1"/>
  <c r="J572" i="1"/>
  <c r="I572" i="1"/>
  <c r="H572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M571" i="1"/>
  <c r="L571" i="1"/>
  <c r="K571" i="1"/>
  <c r="J571" i="1"/>
  <c r="I571" i="1"/>
  <c r="H571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R571" i="1" s="1"/>
  <c r="R572" i="1" s="1"/>
  <c r="R573" i="1" s="1"/>
  <c r="Q570" i="1"/>
  <c r="Q571" i="1" s="1"/>
  <c r="Q572" i="1" s="1"/>
  <c r="Q573" i="1" s="1"/>
  <c r="P570" i="1"/>
  <c r="P571" i="1" s="1"/>
  <c r="P572" i="1" s="1"/>
  <c r="P573" i="1" s="1"/>
  <c r="O570" i="1"/>
  <c r="O571" i="1" s="1"/>
  <c r="O572" i="1" s="1"/>
  <c r="O573" i="1" s="1"/>
  <c r="N570" i="1"/>
  <c r="N571" i="1" s="1"/>
  <c r="N572" i="1" s="1"/>
  <c r="N573" i="1" s="1"/>
  <c r="M570" i="1"/>
  <c r="L570" i="1"/>
  <c r="K570" i="1"/>
  <c r="J570" i="1"/>
  <c r="I570" i="1"/>
  <c r="H570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M569" i="1"/>
  <c r="L569" i="1"/>
  <c r="K569" i="1"/>
  <c r="J569" i="1"/>
  <c r="I569" i="1"/>
  <c r="H569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M568" i="1"/>
  <c r="L568" i="1"/>
  <c r="K568" i="1"/>
  <c r="J568" i="1"/>
  <c r="I568" i="1"/>
  <c r="H568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M567" i="1"/>
  <c r="L567" i="1"/>
  <c r="K567" i="1"/>
  <c r="J567" i="1"/>
  <c r="I567" i="1"/>
  <c r="H567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R567" i="1" s="1"/>
  <c r="R568" i="1" s="1"/>
  <c r="R569" i="1" s="1"/>
  <c r="Q566" i="1"/>
  <c r="Q567" i="1" s="1"/>
  <c r="Q568" i="1" s="1"/>
  <c r="Q569" i="1" s="1"/>
  <c r="P566" i="1"/>
  <c r="P567" i="1" s="1"/>
  <c r="P568" i="1" s="1"/>
  <c r="P569" i="1" s="1"/>
  <c r="O566" i="1"/>
  <c r="O567" i="1" s="1"/>
  <c r="O568" i="1" s="1"/>
  <c r="O569" i="1" s="1"/>
  <c r="N566" i="1"/>
  <c r="N567" i="1" s="1"/>
  <c r="N568" i="1" s="1"/>
  <c r="N569" i="1" s="1"/>
  <c r="M566" i="1"/>
  <c r="L566" i="1"/>
  <c r="K566" i="1"/>
  <c r="J566" i="1"/>
  <c r="I566" i="1"/>
  <c r="H566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M565" i="1"/>
  <c r="L565" i="1"/>
  <c r="K565" i="1"/>
  <c r="J565" i="1"/>
  <c r="I565" i="1"/>
  <c r="H565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M564" i="1"/>
  <c r="L564" i="1"/>
  <c r="K564" i="1"/>
  <c r="J564" i="1"/>
  <c r="I564" i="1"/>
  <c r="H564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M563" i="1"/>
  <c r="L563" i="1"/>
  <c r="K563" i="1"/>
  <c r="J563" i="1"/>
  <c r="I563" i="1"/>
  <c r="H563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M562" i="1"/>
  <c r="L562" i="1"/>
  <c r="K562" i="1"/>
  <c r="J562" i="1"/>
  <c r="I562" i="1"/>
  <c r="H562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R562" i="1" s="1"/>
  <c r="R563" i="1" s="1"/>
  <c r="R564" i="1" s="1"/>
  <c r="R565" i="1" s="1"/>
  <c r="Q561" i="1"/>
  <c r="Q562" i="1" s="1"/>
  <c r="Q563" i="1" s="1"/>
  <c r="Q564" i="1" s="1"/>
  <c r="Q565" i="1" s="1"/>
  <c r="P561" i="1"/>
  <c r="P562" i="1" s="1"/>
  <c r="P563" i="1" s="1"/>
  <c r="P564" i="1" s="1"/>
  <c r="P565" i="1" s="1"/>
  <c r="O561" i="1"/>
  <c r="O562" i="1" s="1"/>
  <c r="O563" i="1" s="1"/>
  <c r="O564" i="1" s="1"/>
  <c r="O565" i="1" s="1"/>
  <c r="N561" i="1"/>
  <c r="N562" i="1" s="1"/>
  <c r="N563" i="1" s="1"/>
  <c r="N564" i="1" s="1"/>
  <c r="N565" i="1" s="1"/>
  <c r="M561" i="1"/>
  <c r="L561" i="1"/>
  <c r="K561" i="1"/>
  <c r="J561" i="1"/>
  <c r="I561" i="1"/>
  <c r="H561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M560" i="1"/>
  <c r="L560" i="1"/>
  <c r="K560" i="1"/>
  <c r="J560" i="1"/>
  <c r="I560" i="1"/>
  <c r="H560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M559" i="1"/>
  <c r="L559" i="1"/>
  <c r="K559" i="1"/>
  <c r="J559" i="1"/>
  <c r="I559" i="1"/>
  <c r="H559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R559" i="1" s="1"/>
  <c r="R560" i="1" s="1"/>
  <c r="M558" i="1"/>
  <c r="L558" i="1"/>
  <c r="K558" i="1"/>
  <c r="J558" i="1"/>
  <c r="I558" i="1"/>
  <c r="H558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Q558" i="1" s="1"/>
  <c r="Q559" i="1" s="1"/>
  <c r="Q560" i="1" s="1"/>
  <c r="P557" i="1"/>
  <c r="P558" i="1" s="1"/>
  <c r="P559" i="1" s="1"/>
  <c r="P560" i="1" s="1"/>
  <c r="O557" i="1"/>
  <c r="O558" i="1" s="1"/>
  <c r="O559" i="1" s="1"/>
  <c r="O560" i="1" s="1"/>
  <c r="N557" i="1"/>
  <c r="N558" i="1" s="1"/>
  <c r="N559" i="1" s="1"/>
  <c r="N560" i="1" s="1"/>
  <c r="M557" i="1"/>
  <c r="L557" i="1"/>
  <c r="K557" i="1"/>
  <c r="J557" i="1"/>
  <c r="I557" i="1"/>
  <c r="H557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M556" i="1"/>
  <c r="L556" i="1"/>
  <c r="K556" i="1"/>
  <c r="J556" i="1"/>
  <c r="I556" i="1"/>
  <c r="H556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M555" i="1"/>
  <c r="L555" i="1"/>
  <c r="K555" i="1"/>
  <c r="J555" i="1"/>
  <c r="I555" i="1"/>
  <c r="H555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M554" i="1"/>
  <c r="L554" i="1"/>
  <c r="K554" i="1"/>
  <c r="J554" i="1"/>
  <c r="I554" i="1"/>
  <c r="H554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M553" i="1"/>
  <c r="L553" i="1"/>
  <c r="K553" i="1"/>
  <c r="J553" i="1"/>
  <c r="I553" i="1"/>
  <c r="H553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R553" i="1" s="1"/>
  <c r="R554" i="1" s="1"/>
  <c r="R555" i="1" s="1"/>
  <c r="R556" i="1" s="1"/>
  <c r="Q552" i="1"/>
  <c r="Q553" i="1" s="1"/>
  <c r="Q554" i="1" s="1"/>
  <c r="Q555" i="1" s="1"/>
  <c r="Q556" i="1" s="1"/>
  <c r="P552" i="1"/>
  <c r="P553" i="1" s="1"/>
  <c r="P554" i="1" s="1"/>
  <c r="P555" i="1" s="1"/>
  <c r="P556" i="1" s="1"/>
  <c r="O552" i="1"/>
  <c r="O553" i="1" s="1"/>
  <c r="O554" i="1" s="1"/>
  <c r="O555" i="1" s="1"/>
  <c r="O556" i="1" s="1"/>
  <c r="N552" i="1"/>
  <c r="N553" i="1" s="1"/>
  <c r="N554" i="1" s="1"/>
  <c r="N555" i="1" s="1"/>
  <c r="N556" i="1" s="1"/>
  <c r="M552" i="1"/>
  <c r="L552" i="1"/>
  <c r="K552" i="1"/>
  <c r="J552" i="1"/>
  <c r="I552" i="1"/>
  <c r="H552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M551" i="1"/>
  <c r="L551" i="1"/>
  <c r="K551" i="1"/>
  <c r="J551" i="1"/>
  <c r="I551" i="1"/>
  <c r="H551" i="1"/>
  <c r="AF550" i="1"/>
  <c r="AE550" i="1"/>
  <c r="AD550" i="1"/>
  <c r="AC550" i="1"/>
  <c r="AB550" i="1"/>
  <c r="AA550" i="1"/>
  <c r="Z550" i="1"/>
  <c r="Y550" i="1"/>
  <c r="X550" i="1"/>
  <c r="W550" i="1"/>
  <c r="V550" i="1"/>
  <c r="AK550" i="1" s="1"/>
  <c r="U550" i="1"/>
  <c r="T550" i="1"/>
  <c r="S550" i="1"/>
  <c r="M550" i="1"/>
  <c r="L550" i="1"/>
  <c r="K550" i="1"/>
  <c r="J550" i="1"/>
  <c r="I550" i="1"/>
  <c r="H550" i="1"/>
  <c r="A550" i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Q549" i="1"/>
  <c r="Q550" i="1" s="1"/>
  <c r="Q551" i="1" s="1"/>
  <c r="M549" i="1"/>
  <c r="L549" i="1"/>
  <c r="K549" i="1"/>
  <c r="J549" i="1"/>
  <c r="I549" i="1"/>
  <c r="H549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R549" i="1" s="1"/>
  <c r="R550" i="1" s="1"/>
  <c r="R551" i="1" s="1"/>
  <c r="Q548" i="1"/>
  <c r="P548" i="1"/>
  <c r="P549" i="1" s="1"/>
  <c r="P550" i="1" s="1"/>
  <c r="P551" i="1" s="1"/>
  <c r="O548" i="1"/>
  <c r="O549" i="1" s="1"/>
  <c r="O550" i="1" s="1"/>
  <c r="O551" i="1" s="1"/>
  <c r="N548" i="1"/>
  <c r="N549" i="1" s="1"/>
  <c r="N550" i="1" s="1"/>
  <c r="N551" i="1" s="1"/>
  <c r="M548" i="1"/>
  <c r="L548" i="1"/>
  <c r="K548" i="1"/>
  <c r="J548" i="1"/>
  <c r="I548" i="1"/>
  <c r="H548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M547" i="1"/>
  <c r="L547" i="1"/>
  <c r="K547" i="1"/>
  <c r="J547" i="1"/>
  <c r="I547" i="1"/>
  <c r="H547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M546" i="1"/>
  <c r="L546" i="1"/>
  <c r="K546" i="1"/>
  <c r="J546" i="1"/>
  <c r="I546" i="1"/>
  <c r="H546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M545" i="1"/>
  <c r="L545" i="1"/>
  <c r="K545" i="1"/>
  <c r="J545" i="1"/>
  <c r="I545" i="1"/>
  <c r="H545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R545" i="1" s="1"/>
  <c r="R546" i="1" s="1"/>
  <c r="R547" i="1" s="1"/>
  <c r="Q544" i="1"/>
  <c r="Q545" i="1" s="1"/>
  <c r="Q546" i="1" s="1"/>
  <c r="Q547" i="1" s="1"/>
  <c r="P544" i="1"/>
  <c r="P545" i="1" s="1"/>
  <c r="P546" i="1" s="1"/>
  <c r="P547" i="1" s="1"/>
  <c r="O544" i="1"/>
  <c r="O545" i="1" s="1"/>
  <c r="O546" i="1" s="1"/>
  <c r="O547" i="1" s="1"/>
  <c r="N544" i="1"/>
  <c r="N545" i="1" s="1"/>
  <c r="N546" i="1" s="1"/>
  <c r="N547" i="1" s="1"/>
  <c r="M544" i="1"/>
  <c r="L544" i="1"/>
  <c r="K544" i="1"/>
  <c r="J544" i="1"/>
  <c r="I544" i="1"/>
  <c r="H544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M543" i="1"/>
  <c r="L543" i="1"/>
  <c r="K543" i="1"/>
  <c r="J543" i="1"/>
  <c r="I543" i="1"/>
  <c r="H543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M542" i="1"/>
  <c r="L542" i="1"/>
  <c r="K542" i="1"/>
  <c r="J542" i="1"/>
  <c r="I542" i="1"/>
  <c r="H542" i="1"/>
  <c r="A542" i="1"/>
  <c r="A543" i="1" s="1"/>
  <c r="A544" i="1" s="1"/>
  <c r="A545" i="1" s="1"/>
  <c r="A546" i="1" s="1"/>
  <c r="A547" i="1" s="1"/>
  <c r="A548" i="1" s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M541" i="1"/>
  <c r="L541" i="1"/>
  <c r="K541" i="1"/>
  <c r="J541" i="1"/>
  <c r="I541" i="1"/>
  <c r="H541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M540" i="1"/>
  <c r="L540" i="1"/>
  <c r="K540" i="1"/>
  <c r="J540" i="1"/>
  <c r="I540" i="1"/>
  <c r="H540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R540" i="1" s="1"/>
  <c r="R541" i="1" s="1"/>
  <c r="R542" i="1" s="1"/>
  <c r="R543" i="1" s="1"/>
  <c r="Q539" i="1"/>
  <c r="Q540" i="1" s="1"/>
  <c r="Q541" i="1" s="1"/>
  <c r="Q542" i="1" s="1"/>
  <c r="Q543" i="1" s="1"/>
  <c r="P539" i="1"/>
  <c r="P540" i="1" s="1"/>
  <c r="P541" i="1" s="1"/>
  <c r="P542" i="1" s="1"/>
  <c r="P543" i="1" s="1"/>
  <c r="O539" i="1"/>
  <c r="O540" i="1" s="1"/>
  <c r="O541" i="1" s="1"/>
  <c r="O542" i="1" s="1"/>
  <c r="O543" i="1" s="1"/>
  <c r="N539" i="1"/>
  <c r="N540" i="1" s="1"/>
  <c r="N541" i="1" s="1"/>
  <c r="N542" i="1" s="1"/>
  <c r="N543" i="1" s="1"/>
  <c r="M539" i="1"/>
  <c r="L539" i="1"/>
  <c r="K539" i="1"/>
  <c r="J539" i="1"/>
  <c r="I539" i="1"/>
  <c r="H539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M538" i="1"/>
  <c r="L538" i="1"/>
  <c r="K538" i="1"/>
  <c r="J538" i="1"/>
  <c r="I538" i="1"/>
  <c r="H538" i="1"/>
  <c r="AF537" i="1"/>
  <c r="AE537" i="1"/>
  <c r="AD537" i="1"/>
  <c r="AC537" i="1"/>
  <c r="AB537" i="1"/>
  <c r="AA537" i="1"/>
  <c r="Z537" i="1"/>
  <c r="Y537" i="1"/>
  <c r="X537" i="1"/>
  <c r="W537" i="1"/>
  <c r="V537" i="1"/>
  <c r="AK537" i="1" s="1"/>
  <c r="U537" i="1"/>
  <c r="T537" i="1"/>
  <c r="S537" i="1"/>
  <c r="M537" i="1"/>
  <c r="L537" i="1"/>
  <c r="K537" i="1"/>
  <c r="J537" i="1"/>
  <c r="I537" i="1"/>
  <c r="H537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Q536" i="1"/>
  <c r="Q537" i="1" s="1"/>
  <c r="Q538" i="1" s="1"/>
  <c r="M536" i="1"/>
  <c r="L536" i="1"/>
  <c r="K536" i="1"/>
  <c r="J536" i="1"/>
  <c r="I536" i="1"/>
  <c r="H536" i="1"/>
  <c r="AF535" i="1"/>
  <c r="AE535" i="1"/>
  <c r="AD535" i="1"/>
  <c r="AC535" i="1"/>
  <c r="AB535" i="1"/>
  <c r="AA535" i="1"/>
  <c r="Z535" i="1"/>
  <c r="Y535" i="1"/>
  <c r="X535" i="1"/>
  <c r="W535" i="1"/>
  <c r="V535" i="1"/>
  <c r="AK535" i="1" s="1"/>
  <c r="U535" i="1"/>
  <c r="T535" i="1"/>
  <c r="S535" i="1"/>
  <c r="R535" i="1"/>
  <c r="R536" i="1" s="1"/>
  <c r="R537" i="1" s="1"/>
  <c r="R538" i="1" s="1"/>
  <c r="Q535" i="1"/>
  <c r="P535" i="1"/>
  <c r="P536" i="1" s="1"/>
  <c r="P537" i="1" s="1"/>
  <c r="P538" i="1" s="1"/>
  <c r="O535" i="1"/>
  <c r="O536" i="1" s="1"/>
  <c r="O537" i="1" s="1"/>
  <c r="O538" i="1" s="1"/>
  <c r="N535" i="1"/>
  <c r="N536" i="1" s="1"/>
  <c r="N537" i="1" s="1"/>
  <c r="N538" i="1" s="1"/>
  <c r="M535" i="1"/>
  <c r="L535" i="1"/>
  <c r="K535" i="1"/>
  <c r="J535" i="1"/>
  <c r="I535" i="1"/>
  <c r="H535" i="1"/>
  <c r="AF534" i="1"/>
  <c r="AE534" i="1"/>
  <c r="AD534" i="1"/>
  <c r="AC534" i="1"/>
  <c r="AB534" i="1"/>
  <c r="AA534" i="1"/>
  <c r="Z534" i="1"/>
  <c r="Y534" i="1"/>
  <c r="X534" i="1"/>
  <c r="W534" i="1"/>
  <c r="V534" i="1"/>
  <c r="AK534" i="1" s="1"/>
  <c r="U534" i="1"/>
  <c r="T534" i="1"/>
  <c r="S534" i="1"/>
  <c r="M534" i="1"/>
  <c r="L534" i="1"/>
  <c r="K534" i="1"/>
  <c r="J534" i="1"/>
  <c r="I534" i="1"/>
  <c r="H534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M533" i="1"/>
  <c r="L533" i="1"/>
  <c r="K533" i="1"/>
  <c r="J533" i="1"/>
  <c r="I533" i="1"/>
  <c r="H533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M532" i="1"/>
  <c r="L532" i="1"/>
  <c r="K532" i="1"/>
  <c r="J532" i="1"/>
  <c r="I532" i="1"/>
  <c r="H532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R532" i="1" s="1"/>
  <c r="R533" i="1" s="1"/>
  <c r="R534" i="1" s="1"/>
  <c r="Q531" i="1"/>
  <c r="Q532" i="1" s="1"/>
  <c r="Q533" i="1" s="1"/>
  <c r="Q534" i="1" s="1"/>
  <c r="P531" i="1"/>
  <c r="P532" i="1" s="1"/>
  <c r="P533" i="1" s="1"/>
  <c r="P534" i="1" s="1"/>
  <c r="O531" i="1"/>
  <c r="O532" i="1" s="1"/>
  <c r="O533" i="1" s="1"/>
  <c r="O534" i="1" s="1"/>
  <c r="N531" i="1"/>
  <c r="N532" i="1" s="1"/>
  <c r="N533" i="1" s="1"/>
  <c r="N534" i="1" s="1"/>
  <c r="M531" i="1"/>
  <c r="L531" i="1"/>
  <c r="K531" i="1"/>
  <c r="J531" i="1"/>
  <c r="I531" i="1"/>
  <c r="H531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M530" i="1"/>
  <c r="L530" i="1"/>
  <c r="K530" i="1"/>
  <c r="J530" i="1"/>
  <c r="I530" i="1"/>
  <c r="H530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M529" i="1"/>
  <c r="L529" i="1"/>
  <c r="K529" i="1"/>
  <c r="J529" i="1"/>
  <c r="I529" i="1"/>
  <c r="H529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M528" i="1"/>
  <c r="L528" i="1"/>
  <c r="K528" i="1"/>
  <c r="J528" i="1"/>
  <c r="I528" i="1"/>
  <c r="H528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R528" i="1" s="1"/>
  <c r="R529" i="1" s="1"/>
  <c r="R530" i="1" s="1"/>
  <c r="Q527" i="1"/>
  <c r="Q528" i="1" s="1"/>
  <c r="Q529" i="1" s="1"/>
  <c r="Q530" i="1" s="1"/>
  <c r="P527" i="1"/>
  <c r="P528" i="1" s="1"/>
  <c r="P529" i="1" s="1"/>
  <c r="P530" i="1" s="1"/>
  <c r="O527" i="1"/>
  <c r="O528" i="1" s="1"/>
  <c r="O529" i="1" s="1"/>
  <c r="O530" i="1" s="1"/>
  <c r="N527" i="1"/>
  <c r="N528" i="1" s="1"/>
  <c r="N529" i="1" s="1"/>
  <c r="N530" i="1" s="1"/>
  <c r="M527" i="1"/>
  <c r="L527" i="1"/>
  <c r="K527" i="1"/>
  <c r="J527" i="1"/>
  <c r="I527" i="1"/>
  <c r="H527" i="1"/>
  <c r="AF526" i="1"/>
  <c r="AE526" i="1"/>
  <c r="AD526" i="1"/>
  <c r="AC526" i="1"/>
  <c r="AB526" i="1"/>
  <c r="AA526" i="1"/>
  <c r="Z526" i="1"/>
  <c r="Y526" i="1"/>
  <c r="X526" i="1"/>
  <c r="W526" i="1"/>
  <c r="V526" i="1"/>
  <c r="AK526" i="1" s="1"/>
  <c r="U526" i="1"/>
  <c r="T526" i="1"/>
  <c r="S526" i="1"/>
  <c r="M526" i="1"/>
  <c r="L526" i="1"/>
  <c r="K526" i="1"/>
  <c r="J526" i="1"/>
  <c r="I526" i="1"/>
  <c r="H526" i="1"/>
  <c r="AF525" i="1"/>
  <c r="AE525" i="1"/>
  <c r="AD525" i="1"/>
  <c r="AC525" i="1"/>
  <c r="AB525" i="1"/>
  <c r="AA525" i="1"/>
  <c r="Z525" i="1"/>
  <c r="Y525" i="1"/>
  <c r="X525" i="1"/>
  <c r="W525" i="1"/>
  <c r="V525" i="1"/>
  <c r="AK525" i="1" s="1"/>
  <c r="U525" i="1"/>
  <c r="T525" i="1"/>
  <c r="S525" i="1"/>
  <c r="M525" i="1"/>
  <c r="L525" i="1"/>
  <c r="K525" i="1"/>
  <c r="J525" i="1"/>
  <c r="I525" i="1"/>
  <c r="H525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M524" i="1"/>
  <c r="L524" i="1"/>
  <c r="K524" i="1"/>
  <c r="J524" i="1"/>
  <c r="I524" i="1"/>
  <c r="H524" i="1"/>
  <c r="AF523" i="1"/>
  <c r="AE523" i="1"/>
  <c r="AD523" i="1"/>
  <c r="AC523" i="1"/>
  <c r="AB523" i="1"/>
  <c r="AA523" i="1"/>
  <c r="Z523" i="1"/>
  <c r="Y523" i="1"/>
  <c r="X523" i="1"/>
  <c r="W523" i="1"/>
  <c r="V523" i="1"/>
  <c r="AK523" i="1" s="1"/>
  <c r="U523" i="1"/>
  <c r="T523" i="1"/>
  <c r="S523" i="1"/>
  <c r="M523" i="1"/>
  <c r="L523" i="1"/>
  <c r="K523" i="1"/>
  <c r="J523" i="1"/>
  <c r="I523" i="1"/>
  <c r="H523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R523" i="1" s="1"/>
  <c r="R524" i="1" s="1"/>
  <c r="R525" i="1" s="1"/>
  <c r="R526" i="1" s="1"/>
  <c r="Q522" i="1"/>
  <c r="Q523" i="1" s="1"/>
  <c r="Q524" i="1" s="1"/>
  <c r="Q525" i="1" s="1"/>
  <c r="Q526" i="1" s="1"/>
  <c r="P522" i="1"/>
  <c r="P523" i="1" s="1"/>
  <c r="P524" i="1" s="1"/>
  <c r="P525" i="1" s="1"/>
  <c r="P526" i="1" s="1"/>
  <c r="O522" i="1"/>
  <c r="O523" i="1" s="1"/>
  <c r="O524" i="1" s="1"/>
  <c r="O525" i="1" s="1"/>
  <c r="O526" i="1" s="1"/>
  <c r="N522" i="1"/>
  <c r="N523" i="1" s="1"/>
  <c r="N524" i="1" s="1"/>
  <c r="N525" i="1" s="1"/>
  <c r="N526" i="1" s="1"/>
  <c r="M522" i="1"/>
  <c r="L522" i="1"/>
  <c r="K522" i="1"/>
  <c r="J522" i="1"/>
  <c r="I522" i="1"/>
  <c r="H522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M521" i="1"/>
  <c r="L521" i="1"/>
  <c r="K521" i="1"/>
  <c r="J521" i="1"/>
  <c r="I521" i="1"/>
  <c r="H521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M520" i="1"/>
  <c r="L520" i="1"/>
  <c r="K520" i="1"/>
  <c r="J520" i="1"/>
  <c r="I520" i="1"/>
  <c r="H520" i="1"/>
  <c r="AF519" i="1"/>
  <c r="AE519" i="1"/>
  <c r="AD519" i="1"/>
  <c r="AC519" i="1"/>
  <c r="AB519" i="1"/>
  <c r="AA519" i="1"/>
  <c r="Z519" i="1"/>
  <c r="Y519" i="1"/>
  <c r="X519" i="1"/>
  <c r="W519" i="1"/>
  <c r="V519" i="1"/>
  <c r="AK519" i="1" s="1"/>
  <c r="U519" i="1"/>
  <c r="T519" i="1"/>
  <c r="S519" i="1"/>
  <c r="M519" i="1"/>
  <c r="L519" i="1"/>
  <c r="K519" i="1"/>
  <c r="J519" i="1"/>
  <c r="I519" i="1"/>
  <c r="H519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R519" i="1" s="1"/>
  <c r="R520" i="1" s="1"/>
  <c r="R521" i="1" s="1"/>
  <c r="Q518" i="1"/>
  <c r="Q519" i="1" s="1"/>
  <c r="Q520" i="1" s="1"/>
  <c r="Q521" i="1" s="1"/>
  <c r="P518" i="1"/>
  <c r="P519" i="1" s="1"/>
  <c r="P520" i="1" s="1"/>
  <c r="P521" i="1" s="1"/>
  <c r="O518" i="1"/>
  <c r="O519" i="1" s="1"/>
  <c r="O520" i="1" s="1"/>
  <c r="O521" i="1" s="1"/>
  <c r="N518" i="1"/>
  <c r="N519" i="1" s="1"/>
  <c r="N520" i="1" s="1"/>
  <c r="N521" i="1" s="1"/>
  <c r="M518" i="1"/>
  <c r="L518" i="1"/>
  <c r="K518" i="1"/>
  <c r="J518" i="1"/>
  <c r="I518" i="1"/>
  <c r="H518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M517" i="1"/>
  <c r="L517" i="1"/>
  <c r="K517" i="1"/>
  <c r="J517" i="1"/>
  <c r="I517" i="1"/>
  <c r="H517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M516" i="1"/>
  <c r="L516" i="1"/>
  <c r="K516" i="1"/>
  <c r="J516" i="1"/>
  <c r="I516" i="1"/>
  <c r="H516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M515" i="1"/>
  <c r="L515" i="1"/>
  <c r="K515" i="1"/>
  <c r="J515" i="1"/>
  <c r="I515" i="1"/>
  <c r="H515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M514" i="1"/>
  <c r="L514" i="1"/>
  <c r="K514" i="1"/>
  <c r="J514" i="1"/>
  <c r="I514" i="1"/>
  <c r="H514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R514" i="1" s="1"/>
  <c r="R515" i="1" s="1"/>
  <c r="R516" i="1" s="1"/>
  <c r="R517" i="1" s="1"/>
  <c r="Q513" i="1"/>
  <c r="Q514" i="1" s="1"/>
  <c r="Q515" i="1" s="1"/>
  <c r="Q516" i="1" s="1"/>
  <c r="Q517" i="1" s="1"/>
  <c r="P513" i="1"/>
  <c r="P514" i="1" s="1"/>
  <c r="P515" i="1" s="1"/>
  <c r="P516" i="1" s="1"/>
  <c r="P517" i="1" s="1"/>
  <c r="O513" i="1"/>
  <c r="O514" i="1" s="1"/>
  <c r="O515" i="1" s="1"/>
  <c r="O516" i="1" s="1"/>
  <c r="O517" i="1" s="1"/>
  <c r="N513" i="1"/>
  <c r="N514" i="1" s="1"/>
  <c r="N515" i="1" s="1"/>
  <c r="N516" i="1" s="1"/>
  <c r="N517" i="1" s="1"/>
  <c r="M513" i="1"/>
  <c r="L513" i="1"/>
  <c r="K513" i="1"/>
  <c r="J513" i="1"/>
  <c r="I513" i="1"/>
  <c r="H513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M512" i="1"/>
  <c r="L512" i="1"/>
  <c r="K512" i="1"/>
  <c r="J512" i="1"/>
  <c r="I512" i="1"/>
  <c r="H512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M511" i="1"/>
  <c r="L511" i="1"/>
  <c r="K511" i="1"/>
  <c r="J511" i="1"/>
  <c r="I511" i="1"/>
  <c r="H511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M510" i="1"/>
  <c r="L510" i="1"/>
  <c r="K510" i="1"/>
  <c r="J510" i="1"/>
  <c r="I510" i="1"/>
  <c r="H510" i="1"/>
  <c r="AF509" i="1"/>
  <c r="AE509" i="1"/>
  <c r="AD509" i="1"/>
  <c r="AC509" i="1"/>
  <c r="AB509" i="1"/>
  <c r="AA509" i="1"/>
  <c r="Z509" i="1"/>
  <c r="Y509" i="1"/>
  <c r="X509" i="1"/>
  <c r="W509" i="1"/>
  <c r="AK509" i="1" s="1"/>
  <c r="V509" i="1"/>
  <c r="U509" i="1"/>
  <c r="T509" i="1"/>
  <c r="S509" i="1"/>
  <c r="R509" i="1"/>
  <c r="R510" i="1" s="1"/>
  <c r="R511" i="1" s="1"/>
  <c r="R512" i="1" s="1"/>
  <c r="Q509" i="1"/>
  <c r="Q510" i="1" s="1"/>
  <c r="Q511" i="1" s="1"/>
  <c r="Q512" i="1" s="1"/>
  <c r="P509" i="1"/>
  <c r="P510" i="1" s="1"/>
  <c r="P511" i="1" s="1"/>
  <c r="P512" i="1" s="1"/>
  <c r="O509" i="1"/>
  <c r="O510" i="1" s="1"/>
  <c r="O511" i="1" s="1"/>
  <c r="O512" i="1" s="1"/>
  <c r="N509" i="1"/>
  <c r="N510" i="1" s="1"/>
  <c r="N511" i="1" s="1"/>
  <c r="N512" i="1" s="1"/>
  <c r="M509" i="1"/>
  <c r="L509" i="1"/>
  <c r="K509" i="1"/>
  <c r="J509" i="1"/>
  <c r="I509" i="1"/>
  <c r="H509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M508" i="1"/>
  <c r="L508" i="1"/>
  <c r="K508" i="1"/>
  <c r="J508" i="1"/>
  <c r="I508" i="1"/>
  <c r="H508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M507" i="1"/>
  <c r="L507" i="1"/>
  <c r="K507" i="1"/>
  <c r="J507" i="1"/>
  <c r="I507" i="1"/>
  <c r="H507" i="1"/>
  <c r="AF506" i="1"/>
  <c r="AE506" i="1"/>
  <c r="AD506" i="1"/>
  <c r="AC506" i="1"/>
  <c r="AB506" i="1"/>
  <c r="AA506" i="1"/>
  <c r="Z506" i="1"/>
  <c r="Y506" i="1"/>
  <c r="X506" i="1"/>
  <c r="W506" i="1"/>
  <c r="V506" i="1"/>
  <c r="AK506" i="1" s="1"/>
  <c r="U506" i="1"/>
  <c r="T506" i="1"/>
  <c r="S506" i="1"/>
  <c r="M506" i="1"/>
  <c r="L506" i="1"/>
  <c r="K506" i="1"/>
  <c r="J506" i="1"/>
  <c r="I506" i="1"/>
  <c r="H506" i="1"/>
  <c r="A506" i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R506" i="1" s="1"/>
  <c r="R507" i="1" s="1"/>
  <c r="R508" i="1" s="1"/>
  <c r="Q505" i="1"/>
  <c r="Q506" i="1" s="1"/>
  <c r="Q507" i="1" s="1"/>
  <c r="Q508" i="1" s="1"/>
  <c r="P505" i="1"/>
  <c r="P506" i="1" s="1"/>
  <c r="P507" i="1" s="1"/>
  <c r="P508" i="1" s="1"/>
  <c r="O505" i="1"/>
  <c r="O506" i="1" s="1"/>
  <c r="O507" i="1" s="1"/>
  <c r="O508" i="1" s="1"/>
  <c r="N505" i="1"/>
  <c r="N506" i="1" s="1"/>
  <c r="N507" i="1" s="1"/>
  <c r="N508" i="1" s="1"/>
  <c r="M505" i="1"/>
  <c r="L505" i="1"/>
  <c r="K505" i="1"/>
  <c r="J505" i="1"/>
  <c r="I505" i="1"/>
  <c r="H505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M504" i="1"/>
  <c r="L504" i="1"/>
  <c r="K504" i="1"/>
  <c r="J504" i="1"/>
  <c r="I504" i="1"/>
  <c r="H504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M503" i="1"/>
  <c r="L503" i="1"/>
  <c r="K503" i="1"/>
  <c r="J503" i="1"/>
  <c r="I503" i="1"/>
  <c r="H503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M502" i="1"/>
  <c r="L502" i="1"/>
  <c r="K502" i="1"/>
  <c r="J502" i="1"/>
  <c r="I502" i="1"/>
  <c r="H502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M501" i="1"/>
  <c r="L501" i="1"/>
  <c r="K501" i="1"/>
  <c r="J501" i="1"/>
  <c r="I501" i="1"/>
  <c r="H501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R501" i="1" s="1"/>
  <c r="R502" i="1" s="1"/>
  <c r="R503" i="1" s="1"/>
  <c r="R504" i="1" s="1"/>
  <c r="Q500" i="1"/>
  <c r="Q501" i="1" s="1"/>
  <c r="Q502" i="1" s="1"/>
  <c r="Q503" i="1" s="1"/>
  <c r="Q504" i="1" s="1"/>
  <c r="P500" i="1"/>
  <c r="P501" i="1" s="1"/>
  <c r="P502" i="1" s="1"/>
  <c r="P503" i="1" s="1"/>
  <c r="P504" i="1" s="1"/>
  <c r="O500" i="1"/>
  <c r="O501" i="1" s="1"/>
  <c r="O502" i="1" s="1"/>
  <c r="O503" i="1" s="1"/>
  <c r="O504" i="1" s="1"/>
  <c r="N500" i="1"/>
  <c r="N501" i="1" s="1"/>
  <c r="N502" i="1" s="1"/>
  <c r="N503" i="1" s="1"/>
  <c r="N504" i="1" s="1"/>
  <c r="M500" i="1"/>
  <c r="L500" i="1"/>
  <c r="K500" i="1"/>
  <c r="J500" i="1"/>
  <c r="I500" i="1"/>
  <c r="H500" i="1"/>
  <c r="AF499" i="1"/>
  <c r="AE499" i="1"/>
  <c r="AD499" i="1"/>
  <c r="AC499" i="1"/>
  <c r="AB499" i="1"/>
  <c r="AA499" i="1"/>
  <c r="Z499" i="1"/>
  <c r="Y499" i="1"/>
  <c r="X499" i="1"/>
  <c r="W499" i="1"/>
  <c r="V499" i="1"/>
  <c r="AK499" i="1" s="1"/>
  <c r="U499" i="1"/>
  <c r="T499" i="1"/>
  <c r="S499" i="1"/>
  <c r="M499" i="1"/>
  <c r="L499" i="1"/>
  <c r="K499" i="1"/>
  <c r="J499" i="1"/>
  <c r="I499" i="1"/>
  <c r="H499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M498" i="1"/>
  <c r="L498" i="1"/>
  <c r="K498" i="1"/>
  <c r="J498" i="1"/>
  <c r="I498" i="1"/>
  <c r="H498" i="1"/>
  <c r="AF497" i="1"/>
  <c r="AE497" i="1"/>
  <c r="AD497" i="1"/>
  <c r="AC497" i="1"/>
  <c r="AB497" i="1"/>
  <c r="AA497" i="1"/>
  <c r="Z497" i="1"/>
  <c r="Y497" i="1"/>
  <c r="X497" i="1"/>
  <c r="W497" i="1"/>
  <c r="V497" i="1"/>
  <c r="AK497" i="1" s="1"/>
  <c r="U497" i="1"/>
  <c r="T497" i="1"/>
  <c r="S497" i="1"/>
  <c r="M497" i="1"/>
  <c r="L497" i="1"/>
  <c r="K497" i="1"/>
  <c r="J497" i="1"/>
  <c r="I497" i="1"/>
  <c r="H497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R497" i="1" s="1"/>
  <c r="R498" i="1" s="1"/>
  <c r="R499" i="1" s="1"/>
  <c r="Q496" i="1"/>
  <c r="Q497" i="1" s="1"/>
  <c r="Q498" i="1" s="1"/>
  <c r="Q499" i="1" s="1"/>
  <c r="P496" i="1"/>
  <c r="P497" i="1" s="1"/>
  <c r="P498" i="1" s="1"/>
  <c r="P499" i="1" s="1"/>
  <c r="O496" i="1"/>
  <c r="O497" i="1" s="1"/>
  <c r="O498" i="1" s="1"/>
  <c r="O499" i="1" s="1"/>
  <c r="N496" i="1"/>
  <c r="N497" i="1" s="1"/>
  <c r="N498" i="1" s="1"/>
  <c r="N499" i="1" s="1"/>
  <c r="M496" i="1"/>
  <c r="L496" i="1"/>
  <c r="K496" i="1"/>
  <c r="J496" i="1"/>
  <c r="I496" i="1"/>
  <c r="H496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M495" i="1"/>
  <c r="L495" i="1"/>
  <c r="K495" i="1"/>
  <c r="J495" i="1"/>
  <c r="I495" i="1"/>
  <c r="H495" i="1"/>
  <c r="AF494" i="1"/>
  <c r="AE494" i="1"/>
  <c r="AD494" i="1"/>
  <c r="AC494" i="1"/>
  <c r="AB494" i="1"/>
  <c r="AA494" i="1"/>
  <c r="Z494" i="1"/>
  <c r="Y494" i="1"/>
  <c r="X494" i="1"/>
  <c r="W494" i="1"/>
  <c r="V494" i="1"/>
  <c r="AK494" i="1" s="1"/>
  <c r="U494" i="1"/>
  <c r="T494" i="1"/>
  <c r="S494" i="1"/>
  <c r="M494" i="1"/>
  <c r="L494" i="1"/>
  <c r="K494" i="1"/>
  <c r="J494" i="1"/>
  <c r="I494" i="1"/>
  <c r="H494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M493" i="1"/>
  <c r="L493" i="1"/>
  <c r="K493" i="1"/>
  <c r="J493" i="1"/>
  <c r="I493" i="1"/>
  <c r="H493" i="1"/>
  <c r="AF492" i="1"/>
  <c r="AE492" i="1"/>
  <c r="AD492" i="1"/>
  <c r="AC492" i="1"/>
  <c r="AB492" i="1"/>
  <c r="AA492" i="1"/>
  <c r="Z492" i="1"/>
  <c r="Y492" i="1"/>
  <c r="X492" i="1"/>
  <c r="W492" i="1"/>
  <c r="V492" i="1"/>
  <c r="AK492" i="1" s="1"/>
  <c r="U492" i="1"/>
  <c r="T492" i="1"/>
  <c r="S492" i="1"/>
  <c r="R492" i="1"/>
  <c r="R493" i="1" s="1"/>
  <c r="R494" i="1" s="1"/>
  <c r="R495" i="1" s="1"/>
  <c r="Q492" i="1"/>
  <c r="Q493" i="1" s="1"/>
  <c r="Q494" i="1" s="1"/>
  <c r="Q495" i="1" s="1"/>
  <c r="P492" i="1"/>
  <c r="P493" i="1" s="1"/>
  <c r="P494" i="1" s="1"/>
  <c r="P495" i="1" s="1"/>
  <c r="O492" i="1"/>
  <c r="O493" i="1" s="1"/>
  <c r="O494" i="1" s="1"/>
  <c r="O495" i="1" s="1"/>
  <c r="N492" i="1"/>
  <c r="N493" i="1" s="1"/>
  <c r="N494" i="1" s="1"/>
  <c r="N495" i="1" s="1"/>
  <c r="M492" i="1"/>
  <c r="L492" i="1"/>
  <c r="K492" i="1"/>
  <c r="J492" i="1"/>
  <c r="I492" i="1"/>
  <c r="H492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M491" i="1"/>
  <c r="L491" i="1"/>
  <c r="K491" i="1"/>
  <c r="J491" i="1"/>
  <c r="I491" i="1"/>
  <c r="H491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M490" i="1"/>
  <c r="L490" i="1"/>
  <c r="K490" i="1"/>
  <c r="J490" i="1"/>
  <c r="I490" i="1"/>
  <c r="H490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M489" i="1"/>
  <c r="L489" i="1"/>
  <c r="K489" i="1"/>
  <c r="J489" i="1"/>
  <c r="I489" i="1"/>
  <c r="H489" i="1"/>
  <c r="A489" i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M488" i="1"/>
  <c r="L488" i="1"/>
  <c r="K488" i="1"/>
  <c r="J488" i="1"/>
  <c r="I488" i="1"/>
  <c r="H488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R488" i="1" s="1"/>
  <c r="R489" i="1" s="1"/>
  <c r="R490" i="1" s="1"/>
  <c r="R491" i="1" s="1"/>
  <c r="Q487" i="1"/>
  <c r="Q488" i="1" s="1"/>
  <c r="Q489" i="1" s="1"/>
  <c r="Q490" i="1" s="1"/>
  <c r="Q491" i="1" s="1"/>
  <c r="P487" i="1"/>
  <c r="P488" i="1" s="1"/>
  <c r="P489" i="1" s="1"/>
  <c r="P490" i="1" s="1"/>
  <c r="P491" i="1" s="1"/>
  <c r="O487" i="1"/>
  <c r="O488" i="1" s="1"/>
  <c r="O489" i="1" s="1"/>
  <c r="O490" i="1" s="1"/>
  <c r="O491" i="1" s="1"/>
  <c r="N487" i="1"/>
  <c r="N488" i="1" s="1"/>
  <c r="N489" i="1" s="1"/>
  <c r="N490" i="1" s="1"/>
  <c r="N491" i="1" s="1"/>
  <c r="M487" i="1"/>
  <c r="L487" i="1"/>
  <c r="K487" i="1"/>
  <c r="J487" i="1"/>
  <c r="I487" i="1"/>
  <c r="H487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M486" i="1"/>
  <c r="L486" i="1"/>
  <c r="K486" i="1"/>
  <c r="J486" i="1"/>
  <c r="I486" i="1"/>
  <c r="H486" i="1"/>
  <c r="AF485" i="1"/>
  <c r="AE485" i="1"/>
  <c r="AD485" i="1"/>
  <c r="AC485" i="1"/>
  <c r="AB485" i="1"/>
  <c r="AA485" i="1"/>
  <c r="Z485" i="1"/>
  <c r="Y485" i="1"/>
  <c r="X485" i="1"/>
  <c r="W485" i="1"/>
  <c r="V485" i="1"/>
  <c r="AK485" i="1" s="1"/>
  <c r="U485" i="1"/>
  <c r="T485" i="1"/>
  <c r="S485" i="1"/>
  <c r="M485" i="1"/>
  <c r="L485" i="1"/>
  <c r="K485" i="1"/>
  <c r="J485" i="1"/>
  <c r="I485" i="1"/>
  <c r="H485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Q484" i="1"/>
  <c r="Q485" i="1" s="1"/>
  <c r="Q486" i="1" s="1"/>
  <c r="M484" i="1"/>
  <c r="L484" i="1"/>
  <c r="K484" i="1"/>
  <c r="J484" i="1"/>
  <c r="I484" i="1"/>
  <c r="H484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R484" i="1" s="1"/>
  <c r="R485" i="1" s="1"/>
  <c r="R486" i="1" s="1"/>
  <c r="Q483" i="1"/>
  <c r="P483" i="1"/>
  <c r="P484" i="1" s="1"/>
  <c r="P485" i="1" s="1"/>
  <c r="P486" i="1" s="1"/>
  <c r="O483" i="1"/>
  <c r="O484" i="1" s="1"/>
  <c r="O485" i="1" s="1"/>
  <c r="O486" i="1" s="1"/>
  <c r="N483" i="1"/>
  <c r="N484" i="1" s="1"/>
  <c r="N485" i="1" s="1"/>
  <c r="N486" i="1" s="1"/>
  <c r="M483" i="1"/>
  <c r="L483" i="1"/>
  <c r="K483" i="1"/>
  <c r="J483" i="1"/>
  <c r="I483" i="1"/>
  <c r="H483" i="1"/>
  <c r="AF482" i="1"/>
  <c r="AE482" i="1"/>
  <c r="AD482" i="1"/>
  <c r="AC482" i="1"/>
  <c r="AB482" i="1"/>
  <c r="AA482" i="1"/>
  <c r="Z482" i="1"/>
  <c r="Y482" i="1"/>
  <c r="X482" i="1"/>
  <c r="W482" i="1"/>
  <c r="V482" i="1"/>
  <c r="AK482" i="1" s="1"/>
  <c r="U482" i="1"/>
  <c r="T482" i="1"/>
  <c r="S482" i="1"/>
  <c r="M482" i="1"/>
  <c r="L482" i="1"/>
  <c r="K482" i="1"/>
  <c r="J482" i="1"/>
  <c r="I482" i="1"/>
  <c r="H482" i="1"/>
  <c r="A482" i="1"/>
  <c r="A483" i="1" s="1"/>
  <c r="A484" i="1" s="1"/>
  <c r="A485" i="1" s="1"/>
  <c r="A486" i="1" s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M481" i="1"/>
  <c r="L481" i="1"/>
  <c r="K481" i="1"/>
  <c r="J481" i="1"/>
  <c r="I481" i="1"/>
  <c r="H481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Q480" i="1"/>
  <c r="Q481" i="1" s="1"/>
  <c r="Q482" i="1" s="1"/>
  <c r="M480" i="1"/>
  <c r="L480" i="1"/>
  <c r="K480" i="1"/>
  <c r="J480" i="1"/>
  <c r="I480" i="1"/>
  <c r="H480" i="1"/>
  <c r="AF479" i="1"/>
  <c r="AE479" i="1"/>
  <c r="AD479" i="1"/>
  <c r="AC479" i="1"/>
  <c r="AB479" i="1"/>
  <c r="AA479" i="1"/>
  <c r="Z479" i="1"/>
  <c r="Y479" i="1"/>
  <c r="X479" i="1"/>
  <c r="W479" i="1"/>
  <c r="V479" i="1"/>
  <c r="AK479" i="1" s="1"/>
  <c r="U479" i="1"/>
  <c r="T479" i="1"/>
  <c r="S479" i="1"/>
  <c r="R479" i="1"/>
  <c r="R480" i="1" s="1"/>
  <c r="R481" i="1" s="1"/>
  <c r="R482" i="1" s="1"/>
  <c r="Q479" i="1"/>
  <c r="P479" i="1"/>
  <c r="P480" i="1" s="1"/>
  <c r="P481" i="1" s="1"/>
  <c r="P482" i="1" s="1"/>
  <c r="O479" i="1"/>
  <c r="O480" i="1" s="1"/>
  <c r="O481" i="1" s="1"/>
  <c r="O482" i="1" s="1"/>
  <c r="N479" i="1"/>
  <c r="N480" i="1" s="1"/>
  <c r="N481" i="1" s="1"/>
  <c r="N482" i="1" s="1"/>
  <c r="M479" i="1"/>
  <c r="L479" i="1"/>
  <c r="K479" i="1"/>
  <c r="J479" i="1"/>
  <c r="I479" i="1"/>
  <c r="H479" i="1"/>
  <c r="AF478" i="1"/>
  <c r="AE478" i="1"/>
  <c r="AD478" i="1"/>
  <c r="AC478" i="1"/>
  <c r="AB478" i="1"/>
  <c r="AA478" i="1"/>
  <c r="Z478" i="1"/>
  <c r="Y478" i="1"/>
  <c r="X478" i="1"/>
  <c r="W478" i="1"/>
  <c r="V478" i="1"/>
  <c r="AK478" i="1" s="1"/>
  <c r="U478" i="1"/>
  <c r="T478" i="1"/>
  <c r="S478" i="1"/>
  <c r="M478" i="1"/>
  <c r="L478" i="1"/>
  <c r="K478" i="1"/>
  <c r="J478" i="1"/>
  <c r="I478" i="1"/>
  <c r="H478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M477" i="1"/>
  <c r="L477" i="1"/>
  <c r="K477" i="1"/>
  <c r="J477" i="1"/>
  <c r="I477" i="1"/>
  <c r="H477" i="1"/>
  <c r="AF476" i="1"/>
  <c r="AE476" i="1"/>
  <c r="AD476" i="1"/>
  <c r="AC476" i="1"/>
  <c r="AB476" i="1"/>
  <c r="AA476" i="1"/>
  <c r="Z476" i="1"/>
  <c r="Y476" i="1"/>
  <c r="X476" i="1"/>
  <c r="W476" i="1"/>
  <c r="V476" i="1"/>
  <c r="AK476" i="1" s="1"/>
  <c r="U476" i="1"/>
  <c r="T476" i="1"/>
  <c r="S476" i="1"/>
  <c r="M476" i="1"/>
  <c r="L476" i="1"/>
  <c r="K476" i="1"/>
  <c r="J476" i="1"/>
  <c r="I476" i="1"/>
  <c r="H476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R476" i="1" s="1"/>
  <c r="R477" i="1" s="1"/>
  <c r="R478" i="1" s="1"/>
  <c r="Q475" i="1"/>
  <c r="Q476" i="1" s="1"/>
  <c r="Q477" i="1" s="1"/>
  <c r="Q478" i="1" s="1"/>
  <c r="P475" i="1"/>
  <c r="P476" i="1" s="1"/>
  <c r="P477" i="1" s="1"/>
  <c r="P478" i="1" s="1"/>
  <c r="O475" i="1"/>
  <c r="O476" i="1" s="1"/>
  <c r="O477" i="1" s="1"/>
  <c r="O478" i="1" s="1"/>
  <c r="N475" i="1"/>
  <c r="N476" i="1" s="1"/>
  <c r="N477" i="1" s="1"/>
  <c r="N478" i="1" s="1"/>
  <c r="M475" i="1"/>
  <c r="L475" i="1"/>
  <c r="K475" i="1"/>
  <c r="J475" i="1"/>
  <c r="I475" i="1"/>
  <c r="H475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M474" i="1"/>
  <c r="L474" i="1"/>
  <c r="K474" i="1"/>
  <c r="J474" i="1"/>
  <c r="I474" i="1"/>
  <c r="H474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M473" i="1"/>
  <c r="L473" i="1"/>
  <c r="K473" i="1"/>
  <c r="J473" i="1"/>
  <c r="I473" i="1"/>
  <c r="H473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M472" i="1"/>
  <c r="L472" i="1"/>
  <c r="K472" i="1"/>
  <c r="J472" i="1"/>
  <c r="I472" i="1"/>
  <c r="H472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R472" i="1" s="1"/>
  <c r="R473" i="1" s="1"/>
  <c r="R474" i="1" s="1"/>
  <c r="Q471" i="1"/>
  <c r="Q472" i="1" s="1"/>
  <c r="Q473" i="1" s="1"/>
  <c r="Q474" i="1" s="1"/>
  <c r="P471" i="1"/>
  <c r="P472" i="1" s="1"/>
  <c r="P473" i="1" s="1"/>
  <c r="P474" i="1" s="1"/>
  <c r="O471" i="1"/>
  <c r="O472" i="1" s="1"/>
  <c r="O473" i="1" s="1"/>
  <c r="O474" i="1" s="1"/>
  <c r="N471" i="1"/>
  <c r="N472" i="1" s="1"/>
  <c r="N473" i="1" s="1"/>
  <c r="N474" i="1" s="1"/>
  <c r="M471" i="1"/>
  <c r="L471" i="1"/>
  <c r="K471" i="1"/>
  <c r="J471" i="1"/>
  <c r="I471" i="1"/>
  <c r="H471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M470" i="1"/>
  <c r="L470" i="1"/>
  <c r="K470" i="1"/>
  <c r="J470" i="1"/>
  <c r="I470" i="1"/>
  <c r="H470" i="1"/>
  <c r="AF469" i="1"/>
  <c r="AE469" i="1"/>
  <c r="AD469" i="1"/>
  <c r="AC469" i="1"/>
  <c r="AB469" i="1"/>
  <c r="AA469" i="1"/>
  <c r="Z469" i="1"/>
  <c r="Y469" i="1"/>
  <c r="X469" i="1"/>
  <c r="W469" i="1"/>
  <c r="V469" i="1"/>
  <c r="AK469" i="1" s="1"/>
  <c r="U469" i="1"/>
  <c r="T469" i="1"/>
  <c r="S469" i="1"/>
  <c r="M469" i="1"/>
  <c r="L469" i="1"/>
  <c r="K469" i="1"/>
  <c r="J469" i="1"/>
  <c r="I469" i="1"/>
  <c r="H469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M468" i="1"/>
  <c r="L468" i="1"/>
  <c r="K468" i="1"/>
  <c r="J468" i="1"/>
  <c r="I468" i="1"/>
  <c r="H468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M467" i="1"/>
  <c r="L467" i="1"/>
  <c r="K467" i="1"/>
  <c r="J467" i="1"/>
  <c r="I467" i="1"/>
  <c r="H467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R467" i="1" s="1"/>
  <c r="R468" i="1" s="1"/>
  <c r="R469" i="1" s="1"/>
  <c r="R470" i="1" s="1"/>
  <c r="Q466" i="1"/>
  <c r="Q467" i="1" s="1"/>
  <c r="Q468" i="1" s="1"/>
  <c r="Q469" i="1" s="1"/>
  <c r="Q470" i="1" s="1"/>
  <c r="P466" i="1"/>
  <c r="P467" i="1" s="1"/>
  <c r="P468" i="1" s="1"/>
  <c r="P469" i="1" s="1"/>
  <c r="P470" i="1" s="1"/>
  <c r="O466" i="1"/>
  <c r="O467" i="1" s="1"/>
  <c r="O468" i="1" s="1"/>
  <c r="O469" i="1" s="1"/>
  <c r="O470" i="1" s="1"/>
  <c r="N466" i="1"/>
  <c r="N467" i="1" s="1"/>
  <c r="N468" i="1" s="1"/>
  <c r="N469" i="1" s="1"/>
  <c r="N470" i="1" s="1"/>
  <c r="M466" i="1"/>
  <c r="L466" i="1"/>
  <c r="K466" i="1"/>
  <c r="J466" i="1"/>
  <c r="I466" i="1"/>
  <c r="H466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M465" i="1"/>
  <c r="L465" i="1"/>
  <c r="K465" i="1"/>
  <c r="J465" i="1"/>
  <c r="I465" i="1"/>
  <c r="H465" i="1"/>
  <c r="AF464" i="1"/>
  <c r="AE464" i="1"/>
  <c r="AD464" i="1"/>
  <c r="AC464" i="1"/>
  <c r="AB464" i="1"/>
  <c r="AA464" i="1"/>
  <c r="Z464" i="1"/>
  <c r="Y464" i="1"/>
  <c r="X464" i="1"/>
  <c r="W464" i="1"/>
  <c r="V464" i="1"/>
  <c r="AK464" i="1" s="1"/>
  <c r="U464" i="1"/>
  <c r="T464" i="1"/>
  <c r="S464" i="1"/>
  <c r="M464" i="1"/>
  <c r="L464" i="1"/>
  <c r="K464" i="1"/>
  <c r="J464" i="1"/>
  <c r="I464" i="1"/>
  <c r="H464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M463" i="1"/>
  <c r="L463" i="1"/>
  <c r="K463" i="1"/>
  <c r="J463" i="1"/>
  <c r="I463" i="1"/>
  <c r="H463" i="1"/>
  <c r="AF462" i="1"/>
  <c r="AE462" i="1"/>
  <c r="AD462" i="1"/>
  <c r="AC462" i="1"/>
  <c r="AB462" i="1"/>
  <c r="AA462" i="1"/>
  <c r="Z462" i="1"/>
  <c r="Y462" i="1"/>
  <c r="X462" i="1"/>
  <c r="W462" i="1"/>
  <c r="V462" i="1"/>
  <c r="AK462" i="1" s="1"/>
  <c r="U462" i="1"/>
  <c r="T462" i="1"/>
  <c r="S462" i="1"/>
  <c r="M462" i="1"/>
  <c r="L462" i="1"/>
  <c r="K462" i="1"/>
  <c r="J462" i="1"/>
  <c r="I462" i="1"/>
  <c r="H462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R462" i="1" s="1"/>
  <c r="R463" i="1" s="1"/>
  <c r="R464" i="1" s="1"/>
  <c r="R465" i="1" s="1"/>
  <c r="Q461" i="1"/>
  <c r="Q462" i="1" s="1"/>
  <c r="Q463" i="1" s="1"/>
  <c r="Q464" i="1" s="1"/>
  <c r="Q465" i="1" s="1"/>
  <c r="P461" i="1"/>
  <c r="P462" i="1" s="1"/>
  <c r="P463" i="1" s="1"/>
  <c r="P464" i="1" s="1"/>
  <c r="P465" i="1" s="1"/>
  <c r="O461" i="1"/>
  <c r="O462" i="1" s="1"/>
  <c r="O463" i="1" s="1"/>
  <c r="O464" i="1" s="1"/>
  <c r="O465" i="1" s="1"/>
  <c r="N461" i="1"/>
  <c r="N462" i="1" s="1"/>
  <c r="N463" i="1" s="1"/>
  <c r="N464" i="1" s="1"/>
  <c r="N465" i="1" s="1"/>
  <c r="M461" i="1"/>
  <c r="L461" i="1"/>
  <c r="K461" i="1"/>
  <c r="J461" i="1"/>
  <c r="I461" i="1"/>
  <c r="H461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M460" i="1"/>
  <c r="L460" i="1"/>
  <c r="K460" i="1"/>
  <c r="J460" i="1"/>
  <c r="I460" i="1"/>
  <c r="H460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M459" i="1"/>
  <c r="L459" i="1"/>
  <c r="K459" i="1"/>
  <c r="J459" i="1"/>
  <c r="I459" i="1"/>
  <c r="H459" i="1"/>
  <c r="AF458" i="1"/>
  <c r="AE458" i="1"/>
  <c r="AD458" i="1"/>
  <c r="AC458" i="1"/>
  <c r="AB458" i="1"/>
  <c r="AA458" i="1"/>
  <c r="Z458" i="1"/>
  <c r="Y458" i="1"/>
  <c r="X458" i="1"/>
  <c r="W458" i="1"/>
  <c r="V458" i="1"/>
  <c r="AK458" i="1" s="1"/>
  <c r="U458" i="1"/>
  <c r="T458" i="1"/>
  <c r="S458" i="1"/>
  <c r="M458" i="1"/>
  <c r="L458" i="1"/>
  <c r="K458" i="1"/>
  <c r="J458" i="1"/>
  <c r="I458" i="1"/>
  <c r="H458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R458" i="1" s="1"/>
  <c r="R459" i="1" s="1"/>
  <c r="R460" i="1" s="1"/>
  <c r="Q457" i="1"/>
  <c r="Q458" i="1" s="1"/>
  <c r="Q459" i="1" s="1"/>
  <c r="Q460" i="1" s="1"/>
  <c r="P457" i="1"/>
  <c r="P458" i="1" s="1"/>
  <c r="P459" i="1" s="1"/>
  <c r="P460" i="1" s="1"/>
  <c r="O457" i="1"/>
  <c r="O458" i="1" s="1"/>
  <c r="O459" i="1" s="1"/>
  <c r="O460" i="1" s="1"/>
  <c r="N457" i="1"/>
  <c r="N458" i="1" s="1"/>
  <c r="N459" i="1" s="1"/>
  <c r="N460" i="1" s="1"/>
  <c r="M457" i="1"/>
  <c r="L457" i="1"/>
  <c r="K457" i="1"/>
  <c r="J457" i="1"/>
  <c r="I457" i="1"/>
  <c r="H457" i="1"/>
  <c r="AF456" i="1"/>
  <c r="AE456" i="1"/>
  <c r="AD456" i="1"/>
  <c r="AC456" i="1"/>
  <c r="AB456" i="1"/>
  <c r="AA456" i="1"/>
  <c r="Z456" i="1"/>
  <c r="Y456" i="1"/>
  <c r="X456" i="1"/>
  <c r="W456" i="1"/>
  <c r="V456" i="1"/>
  <c r="AK456" i="1" s="1"/>
  <c r="U456" i="1"/>
  <c r="T456" i="1"/>
  <c r="S456" i="1"/>
  <c r="M456" i="1"/>
  <c r="L456" i="1"/>
  <c r="K456" i="1"/>
  <c r="J456" i="1"/>
  <c r="I456" i="1"/>
  <c r="H456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M455" i="1"/>
  <c r="L455" i="1"/>
  <c r="K455" i="1"/>
  <c r="J455" i="1"/>
  <c r="I455" i="1"/>
  <c r="H455" i="1"/>
  <c r="AF454" i="1"/>
  <c r="AE454" i="1"/>
  <c r="AD454" i="1"/>
  <c r="AC454" i="1"/>
  <c r="AB454" i="1"/>
  <c r="AA454" i="1"/>
  <c r="Z454" i="1"/>
  <c r="Y454" i="1"/>
  <c r="X454" i="1"/>
  <c r="W454" i="1"/>
  <c r="V454" i="1"/>
  <c r="AK454" i="1" s="1"/>
  <c r="U454" i="1"/>
  <c r="T454" i="1"/>
  <c r="S454" i="1"/>
  <c r="M454" i="1"/>
  <c r="L454" i="1"/>
  <c r="K454" i="1"/>
  <c r="J454" i="1"/>
  <c r="I454" i="1"/>
  <c r="H454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R454" i="1" s="1"/>
  <c r="R455" i="1" s="1"/>
  <c r="R456" i="1" s="1"/>
  <c r="Q453" i="1"/>
  <c r="Q454" i="1" s="1"/>
  <c r="Q455" i="1" s="1"/>
  <c r="Q456" i="1" s="1"/>
  <c r="P453" i="1"/>
  <c r="P454" i="1" s="1"/>
  <c r="P455" i="1" s="1"/>
  <c r="P456" i="1" s="1"/>
  <c r="O453" i="1"/>
  <c r="O454" i="1" s="1"/>
  <c r="O455" i="1" s="1"/>
  <c r="O456" i="1" s="1"/>
  <c r="N453" i="1"/>
  <c r="N454" i="1" s="1"/>
  <c r="N455" i="1" s="1"/>
  <c r="N456" i="1" s="1"/>
  <c r="M453" i="1"/>
  <c r="L453" i="1"/>
  <c r="K453" i="1"/>
  <c r="J453" i="1"/>
  <c r="I453" i="1"/>
  <c r="H453" i="1"/>
  <c r="AF452" i="1"/>
  <c r="AE452" i="1"/>
  <c r="AD452" i="1"/>
  <c r="AC452" i="1"/>
  <c r="AB452" i="1"/>
  <c r="AA452" i="1"/>
  <c r="Z452" i="1"/>
  <c r="Y452" i="1"/>
  <c r="X452" i="1"/>
  <c r="W452" i="1"/>
  <c r="V452" i="1"/>
  <c r="AK452" i="1" s="1"/>
  <c r="U452" i="1"/>
  <c r="T452" i="1"/>
  <c r="S452" i="1"/>
  <c r="M452" i="1"/>
  <c r="L452" i="1"/>
  <c r="K452" i="1"/>
  <c r="J452" i="1"/>
  <c r="I452" i="1"/>
  <c r="H452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M451" i="1"/>
  <c r="L451" i="1"/>
  <c r="K451" i="1"/>
  <c r="J451" i="1"/>
  <c r="I451" i="1"/>
  <c r="H451" i="1"/>
  <c r="AF450" i="1"/>
  <c r="AE450" i="1"/>
  <c r="AD450" i="1"/>
  <c r="AC450" i="1"/>
  <c r="AB450" i="1"/>
  <c r="AA450" i="1"/>
  <c r="Z450" i="1"/>
  <c r="Y450" i="1"/>
  <c r="X450" i="1"/>
  <c r="W450" i="1"/>
  <c r="V450" i="1"/>
  <c r="AK450" i="1" s="1"/>
  <c r="U450" i="1"/>
  <c r="T450" i="1"/>
  <c r="S450" i="1"/>
  <c r="M450" i="1"/>
  <c r="L450" i="1"/>
  <c r="K450" i="1"/>
  <c r="J450" i="1"/>
  <c r="I450" i="1"/>
  <c r="H450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M449" i="1"/>
  <c r="L449" i="1"/>
  <c r="K449" i="1"/>
  <c r="J449" i="1"/>
  <c r="I449" i="1"/>
  <c r="H449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R449" i="1" s="1"/>
  <c r="R450" i="1" s="1"/>
  <c r="R451" i="1" s="1"/>
  <c r="R452" i="1" s="1"/>
  <c r="Q448" i="1"/>
  <c r="Q449" i="1" s="1"/>
  <c r="Q450" i="1" s="1"/>
  <c r="Q451" i="1" s="1"/>
  <c r="Q452" i="1" s="1"/>
  <c r="P448" i="1"/>
  <c r="P449" i="1" s="1"/>
  <c r="P450" i="1" s="1"/>
  <c r="P451" i="1" s="1"/>
  <c r="P452" i="1" s="1"/>
  <c r="O448" i="1"/>
  <c r="O449" i="1" s="1"/>
  <c r="O450" i="1" s="1"/>
  <c r="O451" i="1" s="1"/>
  <c r="O452" i="1" s="1"/>
  <c r="N448" i="1"/>
  <c r="N449" i="1" s="1"/>
  <c r="N450" i="1" s="1"/>
  <c r="N451" i="1" s="1"/>
  <c r="N452" i="1" s="1"/>
  <c r="M448" i="1"/>
  <c r="L448" i="1"/>
  <c r="K448" i="1"/>
  <c r="J448" i="1"/>
  <c r="I448" i="1"/>
  <c r="H448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M447" i="1"/>
  <c r="L447" i="1"/>
  <c r="K447" i="1"/>
  <c r="J447" i="1"/>
  <c r="I447" i="1"/>
  <c r="H447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M446" i="1"/>
  <c r="L446" i="1"/>
  <c r="K446" i="1"/>
  <c r="J446" i="1"/>
  <c r="I446" i="1"/>
  <c r="H446" i="1"/>
  <c r="AF445" i="1"/>
  <c r="AE445" i="1"/>
  <c r="AD445" i="1"/>
  <c r="AC445" i="1"/>
  <c r="AB445" i="1"/>
  <c r="AA445" i="1"/>
  <c r="Z445" i="1"/>
  <c r="Y445" i="1"/>
  <c r="X445" i="1"/>
  <c r="W445" i="1"/>
  <c r="V445" i="1"/>
  <c r="AK445" i="1" s="1"/>
  <c r="U445" i="1"/>
  <c r="T445" i="1"/>
  <c r="S445" i="1"/>
  <c r="M445" i="1"/>
  <c r="L445" i="1"/>
  <c r="K445" i="1"/>
  <c r="J445" i="1"/>
  <c r="I445" i="1"/>
  <c r="H445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R445" i="1" s="1"/>
  <c r="R446" i="1" s="1"/>
  <c r="R447" i="1" s="1"/>
  <c r="Q444" i="1"/>
  <c r="Q445" i="1" s="1"/>
  <c r="Q446" i="1" s="1"/>
  <c r="Q447" i="1" s="1"/>
  <c r="P444" i="1"/>
  <c r="P445" i="1" s="1"/>
  <c r="P446" i="1" s="1"/>
  <c r="P447" i="1" s="1"/>
  <c r="O444" i="1"/>
  <c r="O445" i="1" s="1"/>
  <c r="O446" i="1" s="1"/>
  <c r="O447" i="1" s="1"/>
  <c r="N444" i="1"/>
  <c r="N445" i="1" s="1"/>
  <c r="N446" i="1" s="1"/>
  <c r="N447" i="1" s="1"/>
  <c r="M444" i="1"/>
  <c r="L444" i="1"/>
  <c r="K444" i="1"/>
  <c r="J444" i="1"/>
  <c r="I444" i="1"/>
  <c r="H444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M443" i="1"/>
  <c r="L443" i="1"/>
  <c r="K443" i="1"/>
  <c r="J443" i="1"/>
  <c r="I443" i="1"/>
  <c r="H443" i="1"/>
  <c r="AF442" i="1"/>
  <c r="AE442" i="1"/>
  <c r="AD442" i="1"/>
  <c r="AC442" i="1"/>
  <c r="AB442" i="1"/>
  <c r="AA442" i="1"/>
  <c r="Z442" i="1"/>
  <c r="Y442" i="1"/>
  <c r="X442" i="1"/>
  <c r="W442" i="1"/>
  <c r="V442" i="1"/>
  <c r="AK442" i="1" s="1"/>
  <c r="U442" i="1"/>
  <c r="T442" i="1"/>
  <c r="S442" i="1"/>
  <c r="M442" i="1"/>
  <c r="L442" i="1"/>
  <c r="K442" i="1"/>
  <c r="J442" i="1"/>
  <c r="I442" i="1"/>
  <c r="H442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M441" i="1"/>
  <c r="L441" i="1"/>
  <c r="K441" i="1"/>
  <c r="J441" i="1"/>
  <c r="I441" i="1"/>
  <c r="H441" i="1"/>
  <c r="AF440" i="1"/>
  <c r="AE440" i="1"/>
  <c r="AD440" i="1"/>
  <c r="AC440" i="1"/>
  <c r="AB440" i="1"/>
  <c r="AA440" i="1"/>
  <c r="Z440" i="1"/>
  <c r="Y440" i="1"/>
  <c r="X440" i="1"/>
  <c r="W440" i="1"/>
  <c r="V440" i="1"/>
  <c r="AK440" i="1" s="1"/>
  <c r="U440" i="1"/>
  <c r="T440" i="1"/>
  <c r="S440" i="1"/>
  <c r="M440" i="1"/>
  <c r="L440" i="1"/>
  <c r="K440" i="1"/>
  <c r="J440" i="1"/>
  <c r="I440" i="1"/>
  <c r="H440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R440" i="1" s="1"/>
  <c r="R441" i="1" s="1"/>
  <c r="R442" i="1" s="1"/>
  <c r="R443" i="1" s="1"/>
  <c r="Q439" i="1"/>
  <c r="Q440" i="1" s="1"/>
  <c r="Q441" i="1" s="1"/>
  <c r="Q442" i="1" s="1"/>
  <c r="Q443" i="1" s="1"/>
  <c r="P439" i="1"/>
  <c r="P440" i="1" s="1"/>
  <c r="P441" i="1" s="1"/>
  <c r="P442" i="1" s="1"/>
  <c r="P443" i="1" s="1"/>
  <c r="O439" i="1"/>
  <c r="O440" i="1" s="1"/>
  <c r="O441" i="1" s="1"/>
  <c r="O442" i="1" s="1"/>
  <c r="O443" i="1" s="1"/>
  <c r="N439" i="1"/>
  <c r="N440" i="1" s="1"/>
  <c r="N441" i="1" s="1"/>
  <c r="N442" i="1" s="1"/>
  <c r="N443" i="1" s="1"/>
  <c r="M439" i="1"/>
  <c r="L439" i="1"/>
  <c r="K439" i="1"/>
  <c r="J439" i="1"/>
  <c r="I439" i="1"/>
  <c r="H439" i="1"/>
  <c r="AF438" i="1"/>
  <c r="AE438" i="1"/>
  <c r="AD438" i="1"/>
  <c r="AC438" i="1"/>
  <c r="AB438" i="1"/>
  <c r="AA438" i="1"/>
  <c r="Z438" i="1"/>
  <c r="Y438" i="1"/>
  <c r="X438" i="1"/>
  <c r="W438" i="1"/>
  <c r="V438" i="1"/>
  <c r="AK438" i="1" s="1"/>
  <c r="U438" i="1"/>
  <c r="T438" i="1"/>
  <c r="S438" i="1"/>
  <c r="M438" i="1"/>
  <c r="L438" i="1"/>
  <c r="K438" i="1"/>
  <c r="J438" i="1"/>
  <c r="I438" i="1"/>
  <c r="H438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M437" i="1"/>
  <c r="L437" i="1"/>
  <c r="K437" i="1"/>
  <c r="J437" i="1"/>
  <c r="I437" i="1"/>
  <c r="H437" i="1"/>
  <c r="AF436" i="1"/>
  <c r="AE436" i="1"/>
  <c r="AD436" i="1"/>
  <c r="AC436" i="1"/>
  <c r="AB436" i="1"/>
  <c r="AA436" i="1"/>
  <c r="Z436" i="1"/>
  <c r="Y436" i="1"/>
  <c r="X436" i="1"/>
  <c r="W436" i="1"/>
  <c r="V436" i="1"/>
  <c r="AK436" i="1" s="1"/>
  <c r="U436" i="1"/>
  <c r="T436" i="1"/>
  <c r="S436" i="1"/>
  <c r="N436" i="1"/>
  <c r="N437" i="1" s="1"/>
  <c r="N438" i="1" s="1"/>
  <c r="M436" i="1"/>
  <c r="L436" i="1"/>
  <c r="K436" i="1"/>
  <c r="J436" i="1"/>
  <c r="I436" i="1"/>
  <c r="H436" i="1"/>
  <c r="AK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R436" i="1" s="1"/>
  <c r="R437" i="1" s="1"/>
  <c r="R438" i="1" s="1"/>
  <c r="Q435" i="1"/>
  <c r="Q436" i="1" s="1"/>
  <c r="Q437" i="1" s="1"/>
  <c r="Q438" i="1" s="1"/>
  <c r="P435" i="1"/>
  <c r="P436" i="1" s="1"/>
  <c r="P437" i="1" s="1"/>
  <c r="P438" i="1" s="1"/>
  <c r="O435" i="1"/>
  <c r="O436" i="1" s="1"/>
  <c r="O437" i="1" s="1"/>
  <c r="O438" i="1" s="1"/>
  <c r="N435" i="1"/>
  <c r="M435" i="1"/>
  <c r="L435" i="1"/>
  <c r="K435" i="1"/>
  <c r="J435" i="1"/>
  <c r="I435" i="1"/>
  <c r="H435" i="1"/>
  <c r="AF434" i="1"/>
  <c r="AE434" i="1"/>
  <c r="AD434" i="1"/>
  <c r="AC434" i="1"/>
  <c r="AB434" i="1"/>
  <c r="AA434" i="1"/>
  <c r="Z434" i="1"/>
  <c r="Y434" i="1"/>
  <c r="X434" i="1"/>
  <c r="W434" i="1"/>
  <c r="V434" i="1"/>
  <c r="AK434" i="1" s="1"/>
  <c r="U434" i="1"/>
  <c r="T434" i="1"/>
  <c r="S434" i="1"/>
  <c r="M434" i="1"/>
  <c r="L434" i="1"/>
  <c r="K434" i="1"/>
  <c r="J434" i="1"/>
  <c r="I434" i="1"/>
  <c r="H434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M433" i="1"/>
  <c r="L433" i="1"/>
  <c r="K433" i="1"/>
  <c r="J433" i="1"/>
  <c r="I433" i="1"/>
  <c r="H433" i="1"/>
  <c r="AF432" i="1"/>
  <c r="AE432" i="1"/>
  <c r="AD432" i="1"/>
  <c r="AC432" i="1"/>
  <c r="AB432" i="1"/>
  <c r="AA432" i="1"/>
  <c r="Z432" i="1"/>
  <c r="Y432" i="1"/>
  <c r="X432" i="1"/>
  <c r="W432" i="1"/>
  <c r="V432" i="1"/>
  <c r="AK432" i="1" s="1"/>
  <c r="U432" i="1"/>
  <c r="T432" i="1"/>
  <c r="S432" i="1"/>
  <c r="M432" i="1"/>
  <c r="L432" i="1"/>
  <c r="K432" i="1"/>
  <c r="J432" i="1"/>
  <c r="I432" i="1"/>
  <c r="H432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R432" i="1" s="1"/>
  <c r="R433" i="1" s="1"/>
  <c r="R434" i="1" s="1"/>
  <c r="Q431" i="1"/>
  <c r="Q432" i="1" s="1"/>
  <c r="Q433" i="1" s="1"/>
  <c r="Q434" i="1" s="1"/>
  <c r="P431" i="1"/>
  <c r="P432" i="1" s="1"/>
  <c r="P433" i="1" s="1"/>
  <c r="P434" i="1" s="1"/>
  <c r="O431" i="1"/>
  <c r="O432" i="1" s="1"/>
  <c r="O433" i="1" s="1"/>
  <c r="O434" i="1" s="1"/>
  <c r="N431" i="1"/>
  <c r="N432" i="1" s="1"/>
  <c r="N433" i="1" s="1"/>
  <c r="N434" i="1" s="1"/>
  <c r="M431" i="1"/>
  <c r="L431" i="1"/>
  <c r="K431" i="1"/>
  <c r="J431" i="1"/>
  <c r="I431" i="1"/>
  <c r="H431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M430" i="1"/>
  <c r="L430" i="1"/>
  <c r="K430" i="1"/>
  <c r="J430" i="1"/>
  <c r="I430" i="1"/>
  <c r="H430" i="1"/>
  <c r="AF429" i="1"/>
  <c r="AE429" i="1"/>
  <c r="AD429" i="1"/>
  <c r="AC429" i="1"/>
  <c r="AB429" i="1"/>
  <c r="AA429" i="1"/>
  <c r="Z429" i="1"/>
  <c r="Y429" i="1"/>
  <c r="X429" i="1"/>
  <c r="W429" i="1"/>
  <c r="V429" i="1"/>
  <c r="AK429" i="1" s="1"/>
  <c r="U429" i="1"/>
  <c r="T429" i="1"/>
  <c r="S429" i="1"/>
  <c r="M429" i="1"/>
  <c r="L429" i="1"/>
  <c r="K429" i="1"/>
  <c r="J429" i="1"/>
  <c r="I429" i="1"/>
  <c r="H429" i="1"/>
  <c r="AF428" i="1"/>
  <c r="AE428" i="1"/>
  <c r="AD428" i="1"/>
  <c r="AC428" i="1"/>
  <c r="AB428" i="1"/>
  <c r="AA428" i="1"/>
  <c r="Z428" i="1"/>
  <c r="Y428" i="1"/>
  <c r="X428" i="1"/>
  <c r="W428" i="1"/>
  <c r="V428" i="1"/>
  <c r="AK428" i="1" s="1"/>
  <c r="U428" i="1"/>
  <c r="T428" i="1"/>
  <c r="S428" i="1"/>
  <c r="M428" i="1"/>
  <c r="L428" i="1"/>
  <c r="K428" i="1"/>
  <c r="J428" i="1"/>
  <c r="I428" i="1"/>
  <c r="H428" i="1"/>
  <c r="AF427" i="1"/>
  <c r="AE427" i="1"/>
  <c r="AD427" i="1"/>
  <c r="AC427" i="1"/>
  <c r="AB427" i="1"/>
  <c r="AA427" i="1"/>
  <c r="Z427" i="1"/>
  <c r="Y427" i="1"/>
  <c r="X427" i="1"/>
  <c r="W427" i="1"/>
  <c r="V427" i="1"/>
  <c r="AK427" i="1" s="1"/>
  <c r="U427" i="1"/>
  <c r="T427" i="1"/>
  <c r="S427" i="1"/>
  <c r="R427" i="1"/>
  <c r="R428" i="1" s="1"/>
  <c r="R429" i="1" s="1"/>
  <c r="R430" i="1" s="1"/>
  <c r="Q427" i="1"/>
  <c r="Q428" i="1" s="1"/>
  <c r="Q429" i="1" s="1"/>
  <c r="Q430" i="1" s="1"/>
  <c r="P427" i="1"/>
  <c r="P428" i="1" s="1"/>
  <c r="P429" i="1" s="1"/>
  <c r="P430" i="1" s="1"/>
  <c r="O427" i="1"/>
  <c r="O428" i="1" s="1"/>
  <c r="O429" i="1" s="1"/>
  <c r="O430" i="1" s="1"/>
  <c r="N427" i="1"/>
  <c r="N428" i="1" s="1"/>
  <c r="N429" i="1" s="1"/>
  <c r="N430" i="1" s="1"/>
  <c r="M427" i="1"/>
  <c r="L427" i="1"/>
  <c r="K427" i="1"/>
  <c r="J427" i="1"/>
  <c r="I427" i="1"/>
  <c r="H427" i="1"/>
  <c r="AF426" i="1"/>
  <c r="AE426" i="1"/>
  <c r="AD426" i="1"/>
  <c r="AC426" i="1"/>
  <c r="AB426" i="1"/>
  <c r="AA426" i="1"/>
  <c r="Z426" i="1"/>
  <c r="Y426" i="1"/>
  <c r="X426" i="1"/>
  <c r="W426" i="1"/>
  <c r="V426" i="1"/>
  <c r="AK426" i="1" s="1"/>
  <c r="U426" i="1"/>
  <c r="T426" i="1"/>
  <c r="S426" i="1"/>
  <c r="M426" i="1"/>
  <c r="L426" i="1"/>
  <c r="K426" i="1"/>
  <c r="J426" i="1"/>
  <c r="I426" i="1"/>
  <c r="H426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M425" i="1"/>
  <c r="L425" i="1"/>
  <c r="K425" i="1"/>
  <c r="J425" i="1"/>
  <c r="I425" i="1"/>
  <c r="H425" i="1"/>
  <c r="AF424" i="1"/>
  <c r="AE424" i="1"/>
  <c r="AD424" i="1"/>
  <c r="AC424" i="1"/>
  <c r="AB424" i="1"/>
  <c r="AA424" i="1"/>
  <c r="Z424" i="1"/>
  <c r="Y424" i="1"/>
  <c r="X424" i="1"/>
  <c r="W424" i="1"/>
  <c r="V424" i="1"/>
  <c r="AK424" i="1" s="1"/>
  <c r="U424" i="1"/>
  <c r="T424" i="1"/>
  <c r="S424" i="1"/>
  <c r="M424" i="1"/>
  <c r="L424" i="1"/>
  <c r="K424" i="1"/>
  <c r="J424" i="1"/>
  <c r="I424" i="1"/>
  <c r="H424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Q423" i="1"/>
  <c r="Q424" i="1" s="1"/>
  <c r="Q425" i="1" s="1"/>
  <c r="Q426" i="1" s="1"/>
  <c r="M423" i="1"/>
  <c r="L423" i="1"/>
  <c r="K423" i="1"/>
  <c r="J423" i="1"/>
  <c r="I423" i="1"/>
  <c r="H423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R423" i="1" s="1"/>
  <c r="R424" i="1" s="1"/>
  <c r="R425" i="1" s="1"/>
  <c r="R426" i="1" s="1"/>
  <c r="Q422" i="1"/>
  <c r="P422" i="1"/>
  <c r="P423" i="1" s="1"/>
  <c r="P424" i="1" s="1"/>
  <c r="P425" i="1" s="1"/>
  <c r="P426" i="1" s="1"/>
  <c r="O422" i="1"/>
  <c r="O423" i="1" s="1"/>
  <c r="O424" i="1" s="1"/>
  <c r="O425" i="1" s="1"/>
  <c r="O426" i="1" s="1"/>
  <c r="N422" i="1"/>
  <c r="N423" i="1" s="1"/>
  <c r="N424" i="1" s="1"/>
  <c r="N425" i="1" s="1"/>
  <c r="N426" i="1" s="1"/>
  <c r="M422" i="1"/>
  <c r="L422" i="1"/>
  <c r="K422" i="1"/>
  <c r="J422" i="1"/>
  <c r="I422" i="1"/>
  <c r="H422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L421" i="1"/>
  <c r="K421" i="1"/>
  <c r="J421" i="1"/>
  <c r="I421" i="1"/>
  <c r="H421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L420" i="1"/>
  <c r="K420" i="1"/>
  <c r="J420" i="1"/>
  <c r="I420" i="1"/>
  <c r="H420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L419" i="1"/>
  <c r="K419" i="1"/>
  <c r="J419" i="1"/>
  <c r="I419" i="1"/>
  <c r="H419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L418" i="1"/>
  <c r="K418" i="1"/>
  <c r="J418" i="1"/>
  <c r="I418" i="1"/>
  <c r="H418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L417" i="1"/>
  <c r="K417" i="1"/>
  <c r="J417" i="1"/>
  <c r="I417" i="1"/>
  <c r="H417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L416" i="1"/>
  <c r="K416" i="1"/>
  <c r="J416" i="1"/>
  <c r="I416" i="1"/>
  <c r="H416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L415" i="1"/>
  <c r="K415" i="1"/>
  <c r="J415" i="1"/>
  <c r="I415" i="1"/>
  <c r="H415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L414" i="1"/>
  <c r="K414" i="1"/>
  <c r="J414" i="1"/>
  <c r="I414" i="1"/>
  <c r="H414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L413" i="1"/>
  <c r="K413" i="1"/>
  <c r="J413" i="1"/>
  <c r="I413" i="1"/>
  <c r="H413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L412" i="1"/>
  <c r="K412" i="1"/>
  <c r="J412" i="1"/>
  <c r="I412" i="1"/>
  <c r="H412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L411" i="1"/>
  <c r="K411" i="1"/>
  <c r="J411" i="1"/>
  <c r="I411" i="1"/>
  <c r="H411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L410" i="1"/>
  <c r="K410" i="1"/>
  <c r="J410" i="1"/>
  <c r="I410" i="1"/>
  <c r="H410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L409" i="1"/>
  <c r="K409" i="1"/>
  <c r="J409" i="1"/>
  <c r="I409" i="1"/>
  <c r="H409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L408" i="1"/>
  <c r="K408" i="1"/>
  <c r="J408" i="1"/>
  <c r="I408" i="1"/>
  <c r="H408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L407" i="1"/>
  <c r="K407" i="1"/>
  <c r="J407" i="1"/>
  <c r="I407" i="1"/>
  <c r="H407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L406" i="1"/>
  <c r="K406" i="1"/>
  <c r="J406" i="1"/>
  <c r="I406" i="1"/>
  <c r="H406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L405" i="1"/>
  <c r="K405" i="1"/>
  <c r="J405" i="1"/>
  <c r="I405" i="1"/>
  <c r="H405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L404" i="1"/>
  <c r="K404" i="1"/>
  <c r="J404" i="1"/>
  <c r="I404" i="1"/>
  <c r="H404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L403" i="1"/>
  <c r="K403" i="1"/>
  <c r="J403" i="1"/>
  <c r="I403" i="1"/>
  <c r="H403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L402" i="1"/>
  <c r="K402" i="1"/>
  <c r="J402" i="1"/>
  <c r="I402" i="1"/>
  <c r="H402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L401" i="1"/>
  <c r="K401" i="1"/>
  <c r="J401" i="1"/>
  <c r="I401" i="1"/>
  <c r="H401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L400" i="1"/>
  <c r="K400" i="1"/>
  <c r="J400" i="1"/>
  <c r="I400" i="1"/>
  <c r="H400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L399" i="1"/>
  <c r="K399" i="1"/>
  <c r="J399" i="1"/>
  <c r="I399" i="1"/>
  <c r="H399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L398" i="1"/>
  <c r="K398" i="1"/>
  <c r="J398" i="1"/>
  <c r="I398" i="1"/>
  <c r="H398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L397" i="1"/>
  <c r="K397" i="1"/>
  <c r="J397" i="1"/>
  <c r="I397" i="1"/>
  <c r="H397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L396" i="1"/>
  <c r="K396" i="1"/>
  <c r="J396" i="1"/>
  <c r="I396" i="1"/>
  <c r="H396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L395" i="1"/>
  <c r="K395" i="1"/>
  <c r="J395" i="1"/>
  <c r="I395" i="1"/>
  <c r="H395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L394" i="1"/>
  <c r="K394" i="1"/>
  <c r="J394" i="1"/>
  <c r="I394" i="1"/>
  <c r="H394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L393" i="1"/>
  <c r="K393" i="1"/>
  <c r="J393" i="1"/>
  <c r="I393" i="1"/>
  <c r="H393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L392" i="1"/>
  <c r="K392" i="1"/>
  <c r="J392" i="1"/>
  <c r="I392" i="1"/>
  <c r="H392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L391" i="1"/>
  <c r="K391" i="1"/>
  <c r="J391" i="1"/>
  <c r="I391" i="1"/>
  <c r="H391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L390" i="1"/>
  <c r="K390" i="1"/>
  <c r="J390" i="1"/>
  <c r="I390" i="1"/>
  <c r="H390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L389" i="1"/>
  <c r="K389" i="1"/>
  <c r="J389" i="1"/>
  <c r="I389" i="1"/>
  <c r="H389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L388" i="1"/>
  <c r="K388" i="1"/>
  <c r="J388" i="1"/>
  <c r="I388" i="1"/>
  <c r="H388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L387" i="1"/>
  <c r="K387" i="1"/>
  <c r="J387" i="1"/>
  <c r="I387" i="1"/>
  <c r="H387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L386" i="1"/>
  <c r="K386" i="1"/>
  <c r="J386" i="1"/>
  <c r="I386" i="1"/>
  <c r="H386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L385" i="1"/>
  <c r="K385" i="1"/>
  <c r="J385" i="1"/>
  <c r="I385" i="1"/>
  <c r="H385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L384" i="1"/>
  <c r="K384" i="1"/>
  <c r="J384" i="1"/>
  <c r="I384" i="1"/>
  <c r="H384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L383" i="1"/>
  <c r="K383" i="1"/>
  <c r="J383" i="1"/>
  <c r="I383" i="1"/>
  <c r="H383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L382" i="1"/>
  <c r="K382" i="1"/>
  <c r="J382" i="1"/>
  <c r="I382" i="1"/>
  <c r="H382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L381" i="1"/>
  <c r="K381" i="1"/>
  <c r="J381" i="1"/>
  <c r="I381" i="1"/>
  <c r="H381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L380" i="1"/>
  <c r="K380" i="1"/>
  <c r="J380" i="1"/>
  <c r="I380" i="1"/>
  <c r="H380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L379" i="1"/>
  <c r="K379" i="1"/>
  <c r="J379" i="1"/>
  <c r="I379" i="1"/>
  <c r="H379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L378" i="1"/>
  <c r="K378" i="1"/>
  <c r="J378" i="1"/>
  <c r="I378" i="1"/>
  <c r="H378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L377" i="1"/>
  <c r="K377" i="1"/>
  <c r="J377" i="1"/>
  <c r="I377" i="1"/>
  <c r="H377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L376" i="1"/>
  <c r="K376" i="1"/>
  <c r="J376" i="1"/>
  <c r="I376" i="1"/>
  <c r="H376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L375" i="1"/>
  <c r="K375" i="1"/>
  <c r="J375" i="1"/>
  <c r="I375" i="1"/>
  <c r="H375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L374" i="1"/>
  <c r="K374" i="1"/>
  <c r="J374" i="1"/>
  <c r="I374" i="1"/>
  <c r="H374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L373" i="1"/>
  <c r="K373" i="1"/>
  <c r="J373" i="1"/>
  <c r="I373" i="1"/>
  <c r="H373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L372" i="1"/>
  <c r="K372" i="1"/>
  <c r="J372" i="1"/>
  <c r="I372" i="1"/>
  <c r="H372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L371" i="1"/>
  <c r="K371" i="1"/>
  <c r="J371" i="1"/>
  <c r="I371" i="1"/>
  <c r="H371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L370" i="1"/>
  <c r="K370" i="1"/>
  <c r="J370" i="1"/>
  <c r="I370" i="1"/>
  <c r="H370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L369" i="1"/>
  <c r="K369" i="1"/>
  <c r="J369" i="1"/>
  <c r="I369" i="1"/>
  <c r="H369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L368" i="1"/>
  <c r="K368" i="1"/>
  <c r="J368" i="1"/>
  <c r="I368" i="1"/>
  <c r="H368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L367" i="1"/>
  <c r="K367" i="1"/>
  <c r="J367" i="1"/>
  <c r="I367" i="1"/>
  <c r="H367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L366" i="1"/>
  <c r="K366" i="1"/>
  <c r="J366" i="1"/>
  <c r="I366" i="1"/>
  <c r="H366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L365" i="1"/>
  <c r="K365" i="1"/>
  <c r="J365" i="1"/>
  <c r="I365" i="1"/>
  <c r="H365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L364" i="1"/>
  <c r="K364" i="1"/>
  <c r="J364" i="1"/>
  <c r="I364" i="1"/>
  <c r="H364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L363" i="1"/>
  <c r="K363" i="1"/>
  <c r="J363" i="1"/>
  <c r="I363" i="1"/>
  <c r="H363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L362" i="1"/>
  <c r="K362" i="1"/>
  <c r="J362" i="1"/>
  <c r="I362" i="1"/>
  <c r="H362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L361" i="1"/>
  <c r="K361" i="1"/>
  <c r="J361" i="1"/>
  <c r="I361" i="1"/>
  <c r="H361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L360" i="1"/>
  <c r="K360" i="1"/>
  <c r="J360" i="1"/>
  <c r="I360" i="1"/>
  <c r="H360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L359" i="1"/>
  <c r="K359" i="1"/>
  <c r="J359" i="1"/>
  <c r="I359" i="1"/>
  <c r="H359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L358" i="1"/>
  <c r="K358" i="1"/>
  <c r="J358" i="1"/>
  <c r="I358" i="1"/>
  <c r="H358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L357" i="1"/>
  <c r="K357" i="1"/>
  <c r="J357" i="1"/>
  <c r="I357" i="1"/>
  <c r="H357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L356" i="1"/>
  <c r="K356" i="1"/>
  <c r="J356" i="1"/>
  <c r="I356" i="1"/>
  <c r="H356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L355" i="1"/>
  <c r="K355" i="1"/>
  <c r="J355" i="1"/>
  <c r="I355" i="1"/>
  <c r="H355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L354" i="1"/>
  <c r="K354" i="1"/>
  <c r="J354" i="1"/>
  <c r="I354" i="1"/>
  <c r="H354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L353" i="1"/>
  <c r="K353" i="1"/>
  <c r="J353" i="1"/>
  <c r="I353" i="1"/>
  <c r="H353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L352" i="1"/>
  <c r="K352" i="1"/>
  <c r="J352" i="1"/>
  <c r="I352" i="1"/>
  <c r="H352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L351" i="1"/>
  <c r="K351" i="1"/>
  <c r="J351" i="1"/>
  <c r="I351" i="1"/>
  <c r="H351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L350" i="1"/>
  <c r="K350" i="1"/>
  <c r="J350" i="1"/>
  <c r="I350" i="1"/>
  <c r="H350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L349" i="1"/>
  <c r="K349" i="1"/>
  <c r="J349" i="1"/>
  <c r="I349" i="1"/>
  <c r="H349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L348" i="1"/>
  <c r="K348" i="1"/>
  <c r="J348" i="1"/>
  <c r="I348" i="1"/>
  <c r="H348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L347" i="1"/>
  <c r="K347" i="1"/>
  <c r="J347" i="1"/>
  <c r="I347" i="1"/>
  <c r="H347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L346" i="1"/>
  <c r="K346" i="1"/>
  <c r="J346" i="1"/>
  <c r="I346" i="1"/>
  <c r="H346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L345" i="1"/>
  <c r="K345" i="1"/>
  <c r="J345" i="1"/>
  <c r="I345" i="1"/>
  <c r="H345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L344" i="1"/>
  <c r="K344" i="1"/>
  <c r="J344" i="1"/>
  <c r="I344" i="1"/>
  <c r="H344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L343" i="1"/>
  <c r="K343" i="1"/>
  <c r="J343" i="1"/>
  <c r="I343" i="1"/>
  <c r="H343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L342" i="1"/>
  <c r="K342" i="1"/>
  <c r="J342" i="1"/>
  <c r="I342" i="1"/>
  <c r="H342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L341" i="1"/>
  <c r="K341" i="1"/>
  <c r="J341" i="1"/>
  <c r="I341" i="1"/>
  <c r="H341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L340" i="1"/>
  <c r="K340" i="1"/>
  <c r="J340" i="1"/>
  <c r="I340" i="1"/>
  <c r="H340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L339" i="1"/>
  <c r="K339" i="1"/>
  <c r="J339" i="1"/>
  <c r="I339" i="1"/>
  <c r="H339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L338" i="1"/>
  <c r="K338" i="1"/>
  <c r="J338" i="1"/>
  <c r="I338" i="1"/>
  <c r="H338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L337" i="1"/>
  <c r="K337" i="1"/>
  <c r="J337" i="1"/>
  <c r="I337" i="1"/>
  <c r="H337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L336" i="1"/>
  <c r="K336" i="1"/>
  <c r="J336" i="1"/>
  <c r="I336" i="1"/>
  <c r="H336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L335" i="1"/>
  <c r="K335" i="1"/>
  <c r="J335" i="1"/>
  <c r="I335" i="1"/>
  <c r="H335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L334" i="1"/>
  <c r="K334" i="1"/>
  <c r="J334" i="1"/>
  <c r="I334" i="1"/>
  <c r="H334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L333" i="1"/>
  <c r="K333" i="1"/>
  <c r="J333" i="1"/>
  <c r="I333" i="1"/>
  <c r="H333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L332" i="1"/>
  <c r="K332" i="1"/>
  <c r="J332" i="1"/>
  <c r="I332" i="1"/>
  <c r="H332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L331" i="1"/>
  <c r="K331" i="1"/>
  <c r="J331" i="1"/>
  <c r="I331" i="1"/>
  <c r="H331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L330" i="1"/>
  <c r="K330" i="1"/>
  <c r="J330" i="1"/>
  <c r="I330" i="1"/>
  <c r="H330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L329" i="1"/>
  <c r="K329" i="1"/>
  <c r="J329" i="1"/>
  <c r="I329" i="1"/>
  <c r="H329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L328" i="1"/>
  <c r="K328" i="1"/>
  <c r="J328" i="1"/>
  <c r="I328" i="1"/>
  <c r="H328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L327" i="1"/>
  <c r="K327" i="1"/>
  <c r="J327" i="1"/>
  <c r="I327" i="1"/>
  <c r="H327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L326" i="1"/>
  <c r="K326" i="1"/>
  <c r="J326" i="1"/>
  <c r="I326" i="1"/>
  <c r="H326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L325" i="1"/>
  <c r="K325" i="1"/>
  <c r="J325" i="1"/>
  <c r="I325" i="1"/>
  <c r="H325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L324" i="1"/>
  <c r="K324" i="1"/>
  <c r="J324" i="1"/>
  <c r="I324" i="1"/>
  <c r="H324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L323" i="1"/>
  <c r="K323" i="1"/>
  <c r="J323" i="1"/>
  <c r="I323" i="1"/>
  <c r="H323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L322" i="1"/>
  <c r="K322" i="1"/>
  <c r="J322" i="1"/>
  <c r="I322" i="1"/>
  <c r="H322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L321" i="1"/>
  <c r="K321" i="1"/>
  <c r="J321" i="1"/>
  <c r="I321" i="1"/>
  <c r="H321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L320" i="1"/>
  <c r="K320" i="1"/>
  <c r="J320" i="1"/>
  <c r="I320" i="1"/>
  <c r="H320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L319" i="1"/>
  <c r="K319" i="1"/>
  <c r="J319" i="1"/>
  <c r="I319" i="1"/>
  <c r="H319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L318" i="1"/>
  <c r="K318" i="1"/>
  <c r="J318" i="1"/>
  <c r="I318" i="1"/>
  <c r="H318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L317" i="1"/>
  <c r="K317" i="1"/>
  <c r="J317" i="1"/>
  <c r="I317" i="1"/>
  <c r="H317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L316" i="1"/>
  <c r="K316" i="1"/>
  <c r="J316" i="1"/>
  <c r="I316" i="1"/>
  <c r="H316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L315" i="1"/>
  <c r="K315" i="1"/>
  <c r="J315" i="1"/>
  <c r="I315" i="1"/>
  <c r="H315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L314" i="1"/>
  <c r="K314" i="1"/>
  <c r="J314" i="1"/>
  <c r="I314" i="1"/>
  <c r="H314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L313" i="1"/>
  <c r="K313" i="1"/>
  <c r="J313" i="1"/>
  <c r="I313" i="1"/>
  <c r="H313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L312" i="1"/>
  <c r="K312" i="1"/>
  <c r="J312" i="1"/>
  <c r="I312" i="1"/>
  <c r="H312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L311" i="1"/>
  <c r="K311" i="1"/>
  <c r="J311" i="1"/>
  <c r="I311" i="1"/>
  <c r="H311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L310" i="1"/>
  <c r="K310" i="1"/>
  <c r="J310" i="1"/>
  <c r="I310" i="1"/>
  <c r="H310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L309" i="1"/>
  <c r="K309" i="1"/>
  <c r="J309" i="1"/>
  <c r="I309" i="1"/>
  <c r="H309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L308" i="1"/>
  <c r="K308" i="1"/>
  <c r="J308" i="1"/>
  <c r="I308" i="1"/>
  <c r="H308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L307" i="1"/>
  <c r="K307" i="1"/>
  <c r="J307" i="1"/>
  <c r="I307" i="1"/>
  <c r="H307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L306" i="1"/>
  <c r="K306" i="1"/>
  <c r="J306" i="1"/>
  <c r="I306" i="1"/>
  <c r="H306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L305" i="1"/>
  <c r="K305" i="1"/>
  <c r="J305" i="1"/>
  <c r="I305" i="1"/>
  <c r="H305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L304" i="1"/>
  <c r="K304" i="1"/>
  <c r="J304" i="1"/>
  <c r="I304" i="1"/>
  <c r="H304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L303" i="1"/>
  <c r="K303" i="1"/>
  <c r="J303" i="1"/>
  <c r="I303" i="1"/>
  <c r="H303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L302" i="1"/>
  <c r="K302" i="1"/>
  <c r="J302" i="1"/>
  <c r="I302" i="1"/>
  <c r="H302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L301" i="1"/>
  <c r="K301" i="1"/>
  <c r="J301" i="1"/>
  <c r="I301" i="1"/>
  <c r="H301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L300" i="1"/>
  <c r="K300" i="1"/>
  <c r="J300" i="1"/>
  <c r="I300" i="1"/>
  <c r="H300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L299" i="1"/>
  <c r="K299" i="1"/>
  <c r="J299" i="1"/>
  <c r="I299" i="1"/>
  <c r="H299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L298" i="1"/>
  <c r="K298" i="1"/>
  <c r="J298" i="1"/>
  <c r="I298" i="1"/>
  <c r="H298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L297" i="1"/>
  <c r="K297" i="1"/>
  <c r="J297" i="1"/>
  <c r="I297" i="1"/>
  <c r="H297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L296" i="1"/>
  <c r="K296" i="1"/>
  <c r="J296" i="1"/>
  <c r="I296" i="1"/>
  <c r="H296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L295" i="1"/>
  <c r="K295" i="1"/>
  <c r="J295" i="1"/>
  <c r="I295" i="1"/>
  <c r="H295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L294" i="1"/>
  <c r="K294" i="1"/>
  <c r="J294" i="1"/>
  <c r="I294" i="1"/>
  <c r="H294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L293" i="1"/>
  <c r="K293" i="1"/>
  <c r="J293" i="1"/>
  <c r="I293" i="1"/>
  <c r="H293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L292" i="1"/>
  <c r="K292" i="1"/>
  <c r="J292" i="1"/>
  <c r="I292" i="1"/>
  <c r="H292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L291" i="1"/>
  <c r="K291" i="1"/>
  <c r="J291" i="1"/>
  <c r="I291" i="1"/>
  <c r="H291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L290" i="1"/>
  <c r="K290" i="1"/>
  <c r="J290" i="1"/>
  <c r="I290" i="1"/>
  <c r="H290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L289" i="1"/>
  <c r="K289" i="1"/>
  <c r="J289" i="1"/>
  <c r="I289" i="1"/>
  <c r="H289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L288" i="1"/>
  <c r="K288" i="1"/>
  <c r="J288" i="1"/>
  <c r="I288" i="1"/>
  <c r="H288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L287" i="1"/>
  <c r="K287" i="1"/>
  <c r="J287" i="1"/>
  <c r="I287" i="1"/>
  <c r="H287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L286" i="1"/>
  <c r="K286" i="1"/>
  <c r="J286" i="1"/>
  <c r="I286" i="1"/>
  <c r="H286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L285" i="1"/>
  <c r="K285" i="1"/>
  <c r="J285" i="1"/>
  <c r="I285" i="1"/>
  <c r="H285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L284" i="1"/>
  <c r="K284" i="1"/>
  <c r="J284" i="1"/>
  <c r="I284" i="1"/>
  <c r="H284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L283" i="1"/>
  <c r="K283" i="1"/>
  <c r="J283" i="1"/>
  <c r="I283" i="1"/>
  <c r="H283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L282" i="1"/>
  <c r="K282" i="1"/>
  <c r="J282" i="1"/>
  <c r="I282" i="1"/>
  <c r="H282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L281" i="1"/>
  <c r="K281" i="1"/>
  <c r="J281" i="1"/>
  <c r="I281" i="1"/>
  <c r="H281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L280" i="1"/>
  <c r="K280" i="1"/>
  <c r="J280" i="1"/>
  <c r="I280" i="1"/>
  <c r="H280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L279" i="1"/>
  <c r="K279" i="1"/>
  <c r="J279" i="1"/>
  <c r="I279" i="1"/>
  <c r="H279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L278" i="1"/>
  <c r="K278" i="1"/>
  <c r="J278" i="1"/>
  <c r="I278" i="1"/>
  <c r="H278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L277" i="1"/>
  <c r="K277" i="1"/>
  <c r="J277" i="1"/>
  <c r="I277" i="1"/>
  <c r="H277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L276" i="1"/>
  <c r="K276" i="1"/>
  <c r="J276" i="1"/>
  <c r="I276" i="1"/>
  <c r="H276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L275" i="1"/>
  <c r="K275" i="1"/>
  <c r="J275" i="1"/>
  <c r="I275" i="1"/>
  <c r="H275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L274" i="1"/>
  <c r="K274" i="1"/>
  <c r="J274" i="1"/>
  <c r="I274" i="1"/>
  <c r="H274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L273" i="1"/>
  <c r="K273" i="1"/>
  <c r="J273" i="1"/>
  <c r="I273" i="1"/>
  <c r="H273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L272" i="1"/>
  <c r="K272" i="1"/>
  <c r="J272" i="1"/>
  <c r="I272" i="1"/>
  <c r="H272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L271" i="1"/>
  <c r="K271" i="1"/>
  <c r="J271" i="1"/>
  <c r="I271" i="1"/>
  <c r="H271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L270" i="1"/>
  <c r="K270" i="1"/>
  <c r="J270" i="1"/>
  <c r="I270" i="1"/>
  <c r="H270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L269" i="1"/>
  <c r="K269" i="1"/>
  <c r="J269" i="1"/>
  <c r="I269" i="1"/>
  <c r="H269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L268" i="1"/>
  <c r="K268" i="1"/>
  <c r="J268" i="1"/>
  <c r="I268" i="1"/>
  <c r="H268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L267" i="1"/>
  <c r="K267" i="1"/>
  <c r="J267" i="1"/>
  <c r="I267" i="1"/>
  <c r="H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L266" i="1"/>
  <c r="K266" i="1"/>
  <c r="J266" i="1"/>
  <c r="I266" i="1"/>
  <c r="H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L265" i="1"/>
  <c r="K265" i="1"/>
  <c r="J265" i="1"/>
  <c r="I265" i="1"/>
  <c r="H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L264" i="1"/>
  <c r="K264" i="1"/>
  <c r="J264" i="1"/>
  <c r="I264" i="1"/>
  <c r="H264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L263" i="1"/>
  <c r="K263" i="1"/>
  <c r="J263" i="1"/>
  <c r="I263" i="1"/>
  <c r="H263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L262" i="1"/>
  <c r="K262" i="1"/>
  <c r="J262" i="1"/>
  <c r="I262" i="1"/>
  <c r="H262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L261" i="1"/>
  <c r="K261" i="1"/>
  <c r="J261" i="1"/>
  <c r="I261" i="1"/>
  <c r="H261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L260" i="1"/>
  <c r="K260" i="1"/>
  <c r="J260" i="1"/>
  <c r="I260" i="1"/>
  <c r="H260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L259" i="1"/>
  <c r="K259" i="1"/>
  <c r="J259" i="1"/>
  <c r="I259" i="1"/>
  <c r="H259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L258" i="1"/>
  <c r="K258" i="1"/>
  <c r="J258" i="1"/>
  <c r="I258" i="1"/>
  <c r="H258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L257" i="1"/>
  <c r="K257" i="1"/>
  <c r="J257" i="1"/>
  <c r="I257" i="1"/>
  <c r="H257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L256" i="1"/>
  <c r="K256" i="1"/>
  <c r="J256" i="1"/>
  <c r="I256" i="1"/>
  <c r="H256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L255" i="1"/>
  <c r="K255" i="1"/>
  <c r="J255" i="1"/>
  <c r="I255" i="1"/>
  <c r="H255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L254" i="1"/>
  <c r="K254" i="1"/>
  <c r="J254" i="1"/>
  <c r="I254" i="1"/>
  <c r="H254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L253" i="1"/>
  <c r="K253" i="1"/>
  <c r="J253" i="1"/>
  <c r="I253" i="1"/>
  <c r="H253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L252" i="1"/>
  <c r="K252" i="1"/>
  <c r="J252" i="1"/>
  <c r="I252" i="1"/>
  <c r="H252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L251" i="1"/>
  <c r="K251" i="1"/>
  <c r="J251" i="1"/>
  <c r="I251" i="1"/>
  <c r="H251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L250" i="1"/>
  <c r="K250" i="1"/>
  <c r="J250" i="1"/>
  <c r="I250" i="1"/>
  <c r="H250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L249" i="1"/>
  <c r="K249" i="1"/>
  <c r="J249" i="1"/>
  <c r="I249" i="1"/>
  <c r="H249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L248" i="1"/>
  <c r="K248" i="1"/>
  <c r="J248" i="1"/>
  <c r="I248" i="1"/>
  <c r="H248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L247" i="1"/>
  <c r="K247" i="1"/>
  <c r="J247" i="1"/>
  <c r="I247" i="1"/>
  <c r="H247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L246" i="1"/>
  <c r="K246" i="1"/>
  <c r="J246" i="1"/>
  <c r="I246" i="1"/>
  <c r="H246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L245" i="1"/>
  <c r="K245" i="1"/>
  <c r="J245" i="1"/>
  <c r="I245" i="1"/>
  <c r="H245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L244" i="1"/>
  <c r="K244" i="1"/>
  <c r="J244" i="1"/>
  <c r="I244" i="1"/>
  <c r="H244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L243" i="1"/>
  <c r="K243" i="1"/>
  <c r="J243" i="1"/>
  <c r="I243" i="1"/>
  <c r="H243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L242" i="1"/>
  <c r="K242" i="1"/>
  <c r="J242" i="1"/>
  <c r="I242" i="1"/>
  <c r="H242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L241" i="1"/>
  <c r="K241" i="1"/>
  <c r="J241" i="1"/>
  <c r="I241" i="1"/>
  <c r="H241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L240" i="1"/>
  <c r="K240" i="1"/>
  <c r="J240" i="1"/>
  <c r="I240" i="1"/>
  <c r="H240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L239" i="1"/>
  <c r="K239" i="1"/>
  <c r="J239" i="1"/>
  <c r="I239" i="1"/>
  <c r="H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L238" i="1"/>
  <c r="K238" i="1"/>
  <c r="J238" i="1"/>
  <c r="I238" i="1"/>
  <c r="H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L237" i="1"/>
  <c r="K237" i="1"/>
  <c r="J237" i="1"/>
  <c r="I237" i="1"/>
  <c r="H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L236" i="1"/>
  <c r="K236" i="1"/>
  <c r="J236" i="1"/>
  <c r="I236" i="1"/>
  <c r="H236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L235" i="1"/>
  <c r="K235" i="1"/>
  <c r="J235" i="1"/>
  <c r="I235" i="1"/>
  <c r="H235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L234" i="1"/>
  <c r="K234" i="1"/>
  <c r="J234" i="1"/>
  <c r="I234" i="1"/>
  <c r="H234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L233" i="1"/>
  <c r="K233" i="1"/>
  <c r="J233" i="1"/>
  <c r="I233" i="1"/>
  <c r="H233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L232" i="1"/>
  <c r="K232" i="1"/>
  <c r="J232" i="1"/>
  <c r="I232" i="1"/>
  <c r="H232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L231" i="1"/>
  <c r="K231" i="1"/>
  <c r="J231" i="1"/>
  <c r="I231" i="1"/>
  <c r="H231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L230" i="1"/>
  <c r="K230" i="1"/>
  <c r="J230" i="1"/>
  <c r="I230" i="1"/>
  <c r="H230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L229" i="1"/>
  <c r="K229" i="1"/>
  <c r="J229" i="1"/>
  <c r="I229" i="1"/>
  <c r="H229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L228" i="1"/>
  <c r="K228" i="1"/>
  <c r="J228" i="1"/>
  <c r="I228" i="1"/>
  <c r="H228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L227" i="1"/>
  <c r="K227" i="1"/>
  <c r="J227" i="1"/>
  <c r="I227" i="1"/>
  <c r="H227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L226" i="1"/>
  <c r="K226" i="1"/>
  <c r="J226" i="1"/>
  <c r="I226" i="1"/>
  <c r="H226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L225" i="1"/>
  <c r="K225" i="1"/>
  <c r="J225" i="1"/>
  <c r="I225" i="1"/>
  <c r="H225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L224" i="1"/>
  <c r="K224" i="1"/>
  <c r="J224" i="1"/>
  <c r="I224" i="1"/>
  <c r="H224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L223" i="1"/>
  <c r="K223" i="1"/>
  <c r="J223" i="1"/>
  <c r="I223" i="1"/>
  <c r="H223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L222" i="1"/>
  <c r="K222" i="1"/>
  <c r="J222" i="1"/>
  <c r="I222" i="1"/>
  <c r="H222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L221" i="1"/>
  <c r="K221" i="1"/>
  <c r="J221" i="1"/>
  <c r="I221" i="1"/>
  <c r="H221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L220" i="1"/>
  <c r="K220" i="1"/>
  <c r="J220" i="1"/>
  <c r="I220" i="1"/>
  <c r="H220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L219" i="1"/>
  <c r="K219" i="1"/>
  <c r="J219" i="1"/>
  <c r="I219" i="1"/>
  <c r="H219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L218" i="1"/>
  <c r="K218" i="1"/>
  <c r="J218" i="1"/>
  <c r="I218" i="1"/>
  <c r="H218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L217" i="1"/>
  <c r="K217" i="1"/>
  <c r="J217" i="1"/>
  <c r="I217" i="1"/>
  <c r="H217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L216" i="1"/>
  <c r="K216" i="1"/>
  <c r="J216" i="1"/>
  <c r="I216" i="1"/>
  <c r="H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L215" i="1"/>
  <c r="K215" i="1"/>
  <c r="J215" i="1"/>
  <c r="I215" i="1"/>
  <c r="H215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L214" i="1"/>
  <c r="K214" i="1"/>
  <c r="J214" i="1"/>
  <c r="I214" i="1"/>
  <c r="H214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L213" i="1"/>
  <c r="K213" i="1"/>
  <c r="J213" i="1"/>
  <c r="I213" i="1"/>
  <c r="H213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L212" i="1"/>
  <c r="K212" i="1"/>
  <c r="J212" i="1"/>
  <c r="I212" i="1"/>
  <c r="H212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L211" i="1"/>
  <c r="K211" i="1"/>
  <c r="J211" i="1"/>
  <c r="I211" i="1"/>
  <c r="H211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L210" i="1"/>
  <c r="K210" i="1"/>
  <c r="J210" i="1"/>
  <c r="I210" i="1"/>
  <c r="H210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L209" i="1"/>
  <c r="K209" i="1"/>
  <c r="J209" i="1"/>
  <c r="I209" i="1"/>
  <c r="H209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L208" i="1"/>
  <c r="K208" i="1"/>
  <c r="J208" i="1"/>
  <c r="I208" i="1"/>
  <c r="H208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L207" i="1"/>
  <c r="K207" i="1"/>
  <c r="J207" i="1"/>
  <c r="I207" i="1"/>
  <c r="H207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L206" i="1"/>
  <c r="K206" i="1"/>
  <c r="J206" i="1"/>
  <c r="I206" i="1"/>
  <c r="H206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L205" i="1"/>
  <c r="K205" i="1"/>
  <c r="J205" i="1"/>
  <c r="I205" i="1"/>
  <c r="H205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L204" i="1"/>
  <c r="K204" i="1"/>
  <c r="J204" i="1"/>
  <c r="I204" i="1"/>
  <c r="H204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L203" i="1"/>
  <c r="K203" i="1"/>
  <c r="J203" i="1"/>
  <c r="I203" i="1"/>
  <c r="H203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L202" i="1"/>
  <c r="K202" i="1"/>
  <c r="J202" i="1"/>
  <c r="I202" i="1"/>
  <c r="H202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L201" i="1"/>
  <c r="K201" i="1"/>
  <c r="J201" i="1"/>
  <c r="I201" i="1"/>
  <c r="H201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L200" i="1"/>
  <c r="K200" i="1"/>
  <c r="J200" i="1"/>
  <c r="I200" i="1"/>
  <c r="H200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L199" i="1"/>
  <c r="K199" i="1"/>
  <c r="J199" i="1"/>
  <c r="I199" i="1"/>
  <c r="H199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L198" i="1"/>
  <c r="K198" i="1"/>
  <c r="J198" i="1"/>
  <c r="I198" i="1"/>
  <c r="H198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L197" i="1"/>
  <c r="K197" i="1"/>
  <c r="J197" i="1"/>
  <c r="I197" i="1"/>
  <c r="H197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L196" i="1"/>
  <c r="K196" i="1"/>
  <c r="J196" i="1"/>
  <c r="I196" i="1"/>
  <c r="H196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L195" i="1"/>
  <c r="K195" i="1"/>
  <c r="J195" i="1"/>
  <c r="I195" i="1"/>
  <c r="H195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L194" i="1"/>
  <c r="K194" i="1"/>
  <c r="J194" i="1"/>
  <c r="I194" i="1"/>
  <c r="H194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L193" i="1"/>
  <c r="K193" i="1"/>
  <c r="J193" i="1"/>
  <c r="I193" i="1"/>
  <c r="H193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L192" i="1"/>
  <c r="K192" i="1"/>
  <c r="J192" i="1"/>
  <c r="I192" i="1"/>
  <c r="H192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L191" i="1"/>
  <c r="K191" i="1"/>
  <c r="J191" i="1"/>
  <c r="I191" i="1"/>
  <c r="H191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L190" i="1"/>
  <c r="K190" i="1"/>
  <c r="J190" i="1"/>
  <c r="I190" i="1"/>
  <c r="H190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L189" i="1"/>
  <c r="K189" i="1"/>
  <c r="J189" i="1"/>
  <c r="I189" i="1"/>
  <c r="H189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L188" i="1"/>
  <c r="K188" i="1"/>
  <c r="J188" i="1"/>
  <c r="I188" i="1"/>
  <c r="H188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L187" i="1"/>
  <c r="K187" i="1"/>
  <c r="J187" i="1"/>
  <c r="I187" i="1"/>
  <c r="H187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L186" i="1"/>
  <c r="K186" i="1"/>
  <c r="J186" i="1"/>
  <c r="I186" i="1"/>
  <c r="H186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L185" i="1"/>
  <c r="K185" i="1"/>
  <c r="J185" i="1"/>
  <c r="I185" i="1"/>
  <c r="H185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L184" i="1"/>
  <c r="K184" i="1"/>
  <c r="J184" i="1"/>
  <c r="I184" i="1"/>
  <c r="H184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L183" i="1"/>
  <c r="K183" i="1"/>
  <c r="J183" i="1"/>
  <c r="I183" i="1"/>
  <c r="H183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L182" i="1"/>
  <c r="K182" i="1"/>
  <c r="J182" i="1"/>
  <c r="I182" i="1"/>
  <c r="H182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L181" i="1"/>
  <c r="K181" i="1"/>
  <c r="J181" i="1"/>
  <c r="I181" i="1"/>
  <c r="H181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L180" i="1"/>
  <c r="K180" i="1"/>
  <c r="J180" i="1"/>
  <c r="I180" i="1"/>
  <c r="H180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L179" i="1"/>
  <c r="K179" i="1"/>
  <c r="J179" i="1"/>
  <c r="I179" i="1"/>
  <c r="H179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L178" i="1"/>
  <c r="K178" i="1"/>
  <c r="J178" i="1"/>
  <c r="I178" i="1"/>
  <c r="H178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L177" i="1"/>
  <c r="K177" i="1"/>
  <c r="J177" i="1"/>
  <c r="I177" i="1"/>
  <c r="H177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L176" i="1"/>
  <c r="K176" i="1"/>
  <c r="J176" i="1"/>
  <c r="I176" i="1"/>
  <c r="H176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L175" i="1"/>
  <c r="K175" i="1"/>
  <c r="J175" i="1"/>
  <c r="I175" i="1"/>
  <c r="H175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L174" i="1"/>
  <c r="K174" i="1"/>
  <c r="J174" i="1"/>
  <c r="I174" i="1"/>
  <c r="H174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L173" i="1"/>
  <c r="K173" i="1"/>
  <c r="J173" i="1"/>
  <c r="I173" i="1"/>
  <c r="H173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L172" i="1"/>
  <c r="K172" i="1"/>
  <c r="J172" i="1"/>
  <c r="I172" i="1"/>
  <c r="H172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L171" i="1"/>
  <c r="K171" i="1"/>
  <c r="J171" i="1"/>
  <c r="I171" i="1"/>
  <c r="H171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L170" i="1"/>
  <c r="K170" i="1"/>
  <c r="J170" i="1"/>
  <c r="I170" i="1"/>
  <c r="H170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L169" i="1"/>
  <c r="K169" i="1"/>
  <c r="J169" i="1"/>
  <c r="I169" i="1"/>
  <c r="H169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L168" i="1"/>
  <c r="K168" i="1"/>
  <c r="J168" i="1"/>
  <c r="I168" i="1"/>
  <c r="H168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L167" i="1"/>
  <c r="K167" i="1"/>
  <c r="J167" i="1"/>
  <c r="I167" i="1"/>
  <c r="H167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L166" i="1"/>
  <c r="K166" i="1"/>
  <c r="J166" i="1"/>
  <c r="I166" i="1"/>
  <c r="H166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L165" i="1"/>
  <c r="K165" i="1"/>
  <c r="J165" i="1"/>
  <c r="I165" i="1"/>
  <c r="H165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L164" i="1"/>
  <c r="K164" i="1"/>
  <c r="J164" i="1"/>
  <c r="I164" i="1"/>
  <c r="H164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L163" i="1"/>
  <c r="K163" i="1"/>
  <c r="J163" i="1"/>
  <c r="I163" i="1"/>
  <c r="H163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L162" i="1"/>
  <c r="K162" i="1"/>
  <c r="J162" i="1"/>
  <c r="I162" i="1"/>
  <c r="H162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L161" i="1"/>
  <c r="K161" i="1"/>
  <c r="J161" i="1"/>
  <c r="I161" i="1"/>
  <c r="H161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L160" i="1"/>
  <c r="K160" i="1"/>
  <c r="J160" i="1"/>
  <c r="I160" i="1"/>
  <c r="H160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L159" i="1"/>
  <c r="K159" i="1"/>
  <c r="J159" i="1"/>
  <c r="I159" i="1"/>
  <c r="H159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L158" i="1"/>
  <c r="K158" i="1"/>
  <c r="J158" i="1"/>
  <c r="I158" i="1"/>
  <c r="H158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L157" i="1"/>
  <c r="K157" i="1"/>
  <c r="J157" i="1"/>
  <c r="I157" i="1"/>
  <c r="H157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L156" i="1"/>
  <c r="K156" i="1"/>
  <c r="J156" i="1"/>
  <c r="I156" i="1"/>
  <c r="H156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L155" i="1"/>
  <c r="K155" i="1"/>
  <c r="J155" i="1"/>
  <c r="I155" i="1"/>
  <c r="H155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L154" i="1"/>
  <c r="K154" i="1"/>
  <c r="J154" i="1"/>
  <c r="I154" i="1"/>
  <c r="H154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L153" i="1"/>
  <c r="K153" i="1"/>
  <c r="J153" i="1"/>
  <c r="I153" i="1"/>
  <c r="H153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L152" i="1"/>
  <c r="K152" i="1"/>
  <c r="J152" i="1"/>
  <c r="I152" i="1"/>
  <c r="H152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L151" i="1"/>
  <c r="K151" i="1"/>
  <c r="J151" i="1"/>
  <c r="I151" i="1"/>
  <c r="H151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L150" i="1"/>
  <c r="K150" i="1"/>
  <c r="J150" i="1"/>
  <c r="I150" i="1"/>
  <c r="H150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L149" i="1"/>
  <c r="K149" i="1"/>
  <c r="J149" i="1"/>
  <c r="I149" i="1"/>
  <c r="H149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L148" i="1"/>
  <c r="K148" i="1"/>
  <c r="J148" i="1"/>
  <c r="I148" i="1"/>
  <c r="H148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L147" i="1"/>
  <c r="K147" i="1"/>
  <c r="J147" i="1"/>
  <c r="I147" i="1"/>
  <c r="H147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L146" i="1"/>
  <c r="K146" i="1"/>
  <c r="J146" i="1"/>
  <c r="I146" i="1"/>
  <c r="H146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L145" i="1"/>
  <c r="K145" i="1"/>
  <c r="J145" i="1"/>
  <c r="I145" i="1"/>
  <c r="H145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L144" i="1"/>
  <c r="K144" i="1"/>
  <c r="J144" i="1"/>
  <c r="I144" i="1"/>
  <c r="H144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L143" i="1"/>
  <c r="K143" i="1"/>
  <c r="J143" i="1"/>
  <c r="I143" i="1"/>
  <c r="H143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L142" i="1"/>
  <c r="K142" i="1"/>
  <c r="J142" i="1"/>
  <c r="I142" i="1"/>
  <c r="H142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L141" i="1"/>
  <c r="K141" i="1"/>
  <c r="J141" i="1"/>
  <c r="I141" i="1"/>
  <c r="H141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L140" i="1"/>
  <c r="K140" i="1"/>
  <c r="J140" i="1"/>
  <c r="I140" i="1"/>
  <c r="H140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L139" i="1"/>
  <c r="K139" i="1"/>
  <c r="J139" i="1"/>
  <c r="I139" i="1"/>
  <c r="H139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L138" i="1"/>
  <c r="K138" i="1"/>
  <c r="J138" i="1"/>
  <c r="I138" i="1"/>
  <c r="H138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L137" i="1"/>
  <c r="K137" i="1"/>
  <c r="J137" i="1"/>
  <c r="I137" i="1"/>
  <c r="H137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L136" i="1"/>
  <c r="K136" i="1"/>
  <c r="J136" i="1"/>
  <c r="I136" i="1"/>
  <c r="H136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L135" i="1"/>
  <c r="K135" i="1"/>
  <c r="J135" i="1"/>
  <c r="I135" i="1"/>
  <c r="H135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L134" i="1"/>
  <c r="K134" i="1"/>
  <c r="J134" i="1"/>
  <c r="I134" i="1"/>
  <c r="H134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L133" i="1"/>
  <c r="K133" i="1"/>
  <c r="J133" i="1"/>
  <c r="I133" i="1"/>
  <c r="H133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L132" i="1"/>
  <c r="K132" i="1"/>
  <c r="J132" i="1"/>
  <c r="I132" i="1"/>
  <c r="H132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L131" i="1"/>
  <c r="K131" i="1"/>
  <c r="J131" i="1"/>
  <c r="I131" i="1"/>
  <c r="H131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L130" i="1"/>
  <c r="K130" i="1"/>
  <c r="J130" i="1"/>
  <c r="I130" i="1"/>
  <c r="H130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L129" i="1"/>
  <c r="K129" i="1"/>
  <c r="J129" i="1"/>
  <c r="I129" i="1"/>
  <c r="H129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L128" i="1"/>
  <c r="K128" i="1"/>
  <c r="J128" i="1"/>
  <c r="I128" i="1"/>
  <c r="H128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L127" i="1"/>
  <c r="K127" i="1"/>
  <c r="J127" i="1"/>
  <c r="I127" i="1"/>
  <c r="H127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L126" i="1"/>
  <c r="K126" i="1"/>
  <c r="J126" i="1"/>
  <c r="I126" i="1"/>
  <c r="H126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L125" i="1"/>
  <c r="K125" i="1"/>
  <c r="J125" i="1"/>
  <c r="I125" i="1"/>
  <c r="H125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L124" i="1"/>
  <c r="K124" i="1"/>
  <c r="J124" i="1"/>
  <c r="I124" i="1"/>
  <c r="H124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L123" i="1"/>
  <c r="K123" i="1"/>
  <c r="J123" i="1"/>
  <c r="I123" i="1"/>
  <c r="H123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L122" i="1"/>
  <c r="K122" i="1"/>
  <c r="J122" i="1"/>
  <c r="I122" i="1"/>
  <c r="H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L121" i="1"/>
  <c r="K121" i="1"/>
  <c r="J121" i="1"/>
  <c r="I121" i="1"/>
  <c r="H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L120" i="1"/>
  <c r="K120" i="1"/>
  <c r="J120" i="1"/>
  <c r="I120" i="1"/>
  <c r="H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L119" i="1"/>
  <c r="K119" i="1"/>
  <c r="J119" i="1"/>
  <c r="I119" i="1"/>
  <c r="H119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L118" i="1"/>
  <c r="K118" i="1"/>
  <c r="J118" i="1"/>
  <c r="I118" i="1"/>
  <c r="H118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L117" i="1"/>
  <c r="K117" i="1"/>
  <c r="J117" i="1"/>
  <c r="I117" i="1"/>
  <c r="H117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L116" i="1"/>
  <c r="K116" i="1"/>
  <c r="J116" i="1"/>
  <c r="I116" i="1"/>
  <c r="H116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L115" i="1"/>
  <c r="K115" i="1"/>
  <c r="J115" i="1"/>
  <c r="I115" i="1"/>
  <c r="H115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L114" i="1"/>
  <c r="K114" i="1"/>
  <c r="J114" i="1"/>
  <c r="I114" i="1"/>
  <c r="H114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L113" i="1"/>
  <c r="K113" i="1"/>
  <c r="J113" i="1"/>
  <c r="I113" i="1"/>
  <c r="H113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L112" i="1"/>
  <c r="K112" i="1"/>
  <c r="J112" i="1"/>
  <c r="I112" i="1"/>
  <c r="H112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L111" i="1"/>
  <c r="K111" i="1"/>
  <c r="J111" i="1"/>
  <c r="I111" i="1"/>
  <c r="H111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L110" i="1"/>
  <c r="K110" i="1"/>
  <c r="J110" i="1"/>
  <c r="I110" i="1"/>
  <c r="H110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L109" i="1"/>
  <c r="K109" i="1"/>
  <c r="J109" i="1"/>
  <c r="I109" i="1"/>
  <c r="H109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L108" i="1"/>
  <c r="K108" i="1"/>
  <c r="J108" i="1"/>
  <c r="I108" i="1"/>
  <c r="H108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L107" i="1"/>
  <c r="K107" i="1"/>
  <c r="J107" i="1"/>
  <c r="I107" i="1"/>
  <c r="H107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L106" i="1"/>
  <c r="K106" i="1"/>
  <c r="J106" i="1"/>
  <c r="I106" i="1"/>
  <c r="H106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L105" i="1"/>
  <c r="K105" i="1"/>
  <c r="J105" i="1"/>
  <c r="I105" i="1"/>
  <c r="H105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L104" i="1"/>
  <c r="K104" i="1"/>
  <c r="J104" i="1"/>
  <c r="I104" i="1"/>
  <c r="H104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L103" i="1"/>
  <c r="K103" i="1"/>
  <c r="J103" i="1"/>
  <c r="I103" i="1"/>
  <c r="H103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L102" i="1"/>
  <c r="K102" i="1"/>
  <c r="J102" i="1"/>
  <c r="I102" i="1"/>
  <c r="H102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L101" i="1"/>
  <c r="K101" i="1"/>
  <c r="J101" i="1"/>
  <c r="I101" i="1"/>
  <c r="H101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L100" i="1"/>
  <c r="K100" i="1"/>
  <c r="J100" i="1"/>
  <c r="I100" i="1"/>
  <c r="H100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L99" i="1"/>
  <c r="K99" i="1"/>
  <c r="J99" i="1"/>
  <c r="I99" i="1"/>
  <c r="H99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L98" i="1"/>
  <c r="K98" i="1"/>
  <c r="J98" i="1"/>
  <c r="I98" i="1"/>
  <c r="H98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L97" i="1"/>
  <c r="K97" i="1"/>
  <c r="J97" i="1"/>
  <c r="I97" i="1"/>
  <c r="H97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L96" i="1"/>
  <c r="K96" i="1"/>
  <c r="J96" i="1"/>
  <c r="I96" i="1"/>
  <c r="H96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L95" i="1"/>
  <c r="K95" i="1"/>
  <c r="J95" i="1"/>
  <c r="I95" i="1"/>
  <c r="H95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L94" i="1"/>
  <c r="K94" i="1"/>
  <c r="J94" i="1"/>
  <c r="I94" i="1"/>
  <c r="H94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L93" i="1"/>
  <c r="K93" i="1"/>
  <c r="J93" i="1"/>
  <c r="I93" i="1"/>
  <c r="H93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L92" i="1"/>
  <c r="K92" i="1"/>
  <c r="J92" i="1"/>
  <c r="I92" i="1"/>
  <c r="H92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L91" i="1"/>
  <c r="K91" i="1"/>
  <c r="J91" i="1"/>
  <c r="I91" i="1"/>
  <c r="H91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L90" i="1"/>
  <c r="K90" i="1"/>
  <c r="J90" i="1"/>
  <c r="I90" i="1"/>
  <c r="H90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L89" i="1"/>
  <c r="K89" i="1"/>
  <c r="J89" i="1"/>
  <c r="I89" i="1"/>
  <c r="H89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L88" i="1"/>
  <c r="K88" i="1"/>
  <c r="J88" i="1"/>
  <c r="I88" i="1"/>
  <c r="H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L87" i="1"/>
  <c r="K87" i="1"/>
  <c r="J87" i="1"/>
  <c r="I87" i="1"/>
  <c r="H87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L86" i="1"/>
  <c r="K86" i="1"/>
  <c r="J86" i="1"/>
  <c r="I86" i="1"/>
  <c r="H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L85" i="1"/>
  <c r="K85" i="1"/>
  <c r="J85" i="1"/>
  <c r="I85" i="1"/>
  <c r="H85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L84" i="1"/>
  <c r="K84" i="1"/>
  <c r="J84" i="1"/>
  <c r="I84" i="1"/>
  <c r="H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L83" i="1"/>
  <c r="K83" i="1"/>
  <c r="J83" i="1"/>
  <c r="I83" i="1"/>
  <c r="H83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L82" i="1"/>
  <c r="K82" i="1"/>
  <c r="J82" i="1"/>
  <c r="I82" i="1"/>
  <c r="H82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L81" i="1"/>
  <c r="K81" i="1"/>
  <c r="J81" i="1"/>
  <c r="I81" i="1"/>
  <c r="H81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L80" i="1"/>
  <c r="K80" i="1"/>
  <c r="J80" i="1"/>
  <c r="I80" i="1"/>
  <c r="H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L79" i="1"/>
  <c r="K79" i="1"/>
  <c r="J79" i="1"/>
  <c r="I79" i="1"/>
  <c r="H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L78" i="1"/>
  <c r="K78" i="1"/>
  <c r="J78" i="1"/>
  <c r="I78" i="1"/>
  <c r="H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L77" i="1"/>
  <c r="K77" i="1"/>
  <c r="J77" i="1"/>
  <c r="I77" i="1"/>
  <c r="H77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L76" i="1"/>
  <c r="K76" i="1"/>
  <c r="J76" i="1"/>
  <c r="I76" i="1"/>
  <c r="H76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L75" i="1"/>
  <c r="K75" i="1"/>
  <c r="J75" i="1"/>
  <c r="I75" i="1"/>
  <c r="H75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L74" i="1"/>
  <c r="K74" i="1"/>
  <c r="J74" i="1"/>
  <c r="I74" i="1"/>
  <c r="H74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L73" i="1"/>
  <c r="K73" i="1"/>
  <c r="J73" i="1"/>
  <c r="I73" i="1"/>
  <c r="H73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L72" i="1"/>
  <c r="K72" i="1"/>
  <c r="J72" i="1"/>
  <c r="I72" i="1"/>
  <c r="H72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L71" i="1"/>
  <c r="K71" i="1"/>
  <c r="J71" i="1"/>
  <c r="I71" i="1"/>
  <c r="H71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L70" i="1"/>
  <c r="K70" i="1"/>
  <c r="J70" i="1"/>
  <c r="I70" i="1"/>
  <c r="H70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L69" i="1"/>
  <c r="K69" i="1"/>
  <c r="J69" i="1"/>
  <c r="I69" i="1"/>
  <c r="H69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L68" i="1"/>
  <c r="K68" i="1"/>
  <c r="J68" i="1"/>
  <c r="I68" i="1"/>
  <c r="H68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L67" i="1"/>
  <c r="K67" i="1"/>
  <c r="J67" i="1"/>
  <c r="I67" i="1"/>
  <c r="H67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L66" i="1"/>
  <c r="K66" i="1"/>
  <c r="J66" i="1"/>
  <c r="I66" i="1"/>
  <c r="H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L65" i="1"/>
  <c r="K65" i="1"/>
  <c r="J65" i="1"/>
  <c r="I65" i="1"/>
  <c r="H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L64" i="1"/>
  <c r="K64" i="1"/>
  <c r="J64" i="1"/>
  <c r="I64" i="1"/>
  <c r="H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L63" i="1"/>
  <c r="K63" i="1"/>
  <c r="J63" i="1"/>
  <c r="I63" i="1"/>
  <c r="H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L62" i="1"/>
  <c r="K62" i="1"/>
  <c r="J62" i="1"/>
  <c r="I62" i="1"/>
  <c r="H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L61" i="1"/>
  <c r="K61" i="1"/>
  <c r="J61" i="1"/>
  <c r="I61" i="1"/>
  <c r="H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L60" i="1"/>
  <c r="K60" i="1"/>
  <c r="J60" i="1"/>
  <c r="I60" i="1"/>
  <c r="H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L59" i="1"/>
  <c r="K59" i="1"/>
  <c r="J59" i="1"/>
  <c r="I59" i="1"/>
  <c r="H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L58" i="1"/>
  <c r="K58" i="1"/>
  <c r="J58" i="1"/>
  <c r="I58" i="1"/>
  <c r="H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L57" i="1"/>
  <c r="K57" i="1"/>
  <c r="J57" i="1"/>
  <c r="I57" i="1"/>
  <c r="H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L56" i="1"/>
  <c r="K56" i="1"/>
  <c r="J56" i="1"/>
  <c r="I56" i="1"/>
  <c r="H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L55" i="1"/>
  <c r="K55" i="1"/>
  <c r="J55" i="1"/>
  <c r="I55" i="1"/>
  <c r="H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L54" i="1"/>
  <c r="K54" i="1"/>
  <c r="J54" i="1"/>
  <c r="I54" i="1"/>
  <c r="H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L53" i="1"/>
  <c r="K53" i="1"/>
  <c r="J53" i="1"/>
  <c r="I53" i="1"/>
  <c r="H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L52" i="1"/>
  <c r="K52" i="1"/>
  <c r="J52" i="1"/>
  <c r="I52" i="1"/>
  <c r="H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L51" i="1"/>
  <c r="K51" i="1"/>
  <c r="J51" i="1"/>
  <c r="I51" i="1"/>
  <c r="H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L50" i="1"/>
  <c r="K50" i="1"/>
  <c r="J50" i="1"/>
  <c r="I50" i="1"/>
  <c r="H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L49" i="1"/>
  <c r="K49" i="1"/>
  <c r="J49" i="1"/>
  <c r="I49" i="1"/>
  <c r="H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L48" i="1"/>
  <c r="K48" i="1"/>
  <c r="J48" i="1"/>
  <c r="I48" i="1"/>
  <c r="H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L47" i="1"/>
  <c r="K47" i="1"/>
  <c r="J47" i="1"/>
  <c r="I47" i="1"/>
  <c r="H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L46" i="1"/>
  <c r="K46" i="1"/>
  <c r="J46" i="1"/>
  <c r="I46" i="1"/>
  <c r="H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L45" i="1"/>
  <c r="K45" i="1"/>
  <c r="J45" i="1"/>
  <c r="I45" i="1"/>
  <c r="H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L44" i="1"/>
  <c r="K44" i="1"/>
  <c r="J44" i="1"/>
  <c r="I44" i="1"/>
  <c r="H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L43" i="1"/>
  <c r="K43" i="1"/>
  <c r="J43" i="1"/>
  <c r="I43" i="1"/>
  <c r="H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L42" i="1"/>
  <c r="K42" i="1"/>
  <c r="J42" i="1"/>
  <c r="I42" i="1"/>
  <c r="H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L41" i="1"/>
  <c r="K41" i="1"/>
  <c r="J41" i="1"/>
  <c r="I41" i="1"/>
  <c r="H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L40" i="1"/>
  <c r="K40" i="1"/>
  <c r="J40" i="1"/>
  <c r="I40" i="1"/>
  <c r="H40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L39" i="1"/>
  <c r="K39" i="1"/>
  <c r="J39" i="1"/>
  <c r="I39" i="1"/>
  <c r="H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L38" i="1"/>
  <c r="K38" i="1"/>
  <c r="J38" i="1"/>
  <c r="I38" i="1"/>
  <c r="H38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L37" i="1"/>
  <c r="K37" i="1"/>
  <c r="J37" i="1"/>
  <c r="I37" i="1"/>
  <c r="H37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L36" i="1"/>
  <c r="K36" i="1"/>
  <c r="J36" i="1"/>
  <c r="I36" i="1"/>
  <c r="H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L35" i="1"/>
  <c r="K35" i="1"/>
  <c r="J35" i="1"/>
  <c r="I35" i="1"/>
  <c r="H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L34" i="1"/>
  <c r="K34" i="1"/>
  <c r="J34" i="1"/>
  <c r="I34" i="1"/>
  <c r="H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L33" i="1"/>
  <c r="K33" i="1"/>
  <c r="J33" i="1"/>
  <c r="I33" i="1"/>
  <c r="H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L32" i="1"/>
  <c r="K32" i="1"/>
  <c r="J32" i="1"/>
  <c r="I32" i="1"/>
  <c r="H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L31" i="1"/>
  <c r="K31" i="1"/>
  <c r="J31" i="1"/>
  <c r="I31" i="1"/>
  <c r="H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L30" i="1"/>
  <c r="K30" i="1"/>
  <c r="J30" i="1"/>
  <c r="I30" i="1"/>
  <c r="H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L29" i="1"/>
  <c r="K29" i="1"/>
  <c r="J29" i="1"/>
  <c r="I29" i="1"/>
  <c r="H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L28" i="1"/>
  <c r="K28" i="1"/>
  <c r="J28" i="1"/>
  <c r="I28" i="1"/>
  <c r="H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L27" i="1"/>
  <c r="K27" i="1"/>
  <c r="J27" i="1"/>
  <c r="I27" i="1"/>
  <c r="H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L26" i="1"/>
  <c r="K26" i="1"/>
  <c r="J26" i="1"/>
  <c r="I26" i="1"/>
  <c r="H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L25" i="1"/>
  <c r="K25" i="1"/>
  <c r="J25" i="1"/>
  <c r="I25" i="1"/>
  <c r="H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L24" i="1"/>
  <c r="K24" i="1"/>
  <c r="J24" i="1"/>
  <c r="I24" i="1"/>
  <c r="H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L23" i="1"/>
  <c r="K23" i="1"/>
  <c r="J23" i="1"/>
  <c r="I23" i="1"/>
  <c r="H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L22" i="1"/>
  <c r="K22" i="1"/>
  <c r="J22" i="1"/>
  <c r="I22" i="1"/>
  <c r="H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L21" i="1"/>
  <c r="K21" i="1"/>
  <c r="J21" i="1"/>
  <c r="I21" i="1"/>
  <c r="H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L20" i="1"/>
  <c r="K20" i="1"/>
  <c r="J20" i="1"/>
  <c r="I20" i="1"/>
  <c r="H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L19" i="1"/>
  <c r="K19" i="1"/>
  <c r="J19" i="1"/>
  <c r="I19" i="1"/>
  <c r="H19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L18" i="1"/>
  <c r="K18" i="1"/>
  <c r="J18" i="1"/>
  <c r="I18" i="1"/>
  <c r="H18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L17" i="1"/>
  <c r="K17" i="1"/>
  <c r="J17" i="1"/>
  <c r="I17" i="1"/>
  <c r="H17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L16" i="1"/>
  <c r="K16" i="1"/>
  <c r="J16" i="1"/>
  <c r="I16" i="1"/>
  <c r="H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L15" i="1"/>
  <c r="K15" i="1"/>
  <c r="J15" i="1"/>
  <c r="I15" i="1"/>
  <c r="H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L14" i="1"/>
  <c r="K14" i="1"/>
  <c r="J14" i="1"/>
  <c r="I14" i="1"/>
  <c r="H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L13" i="1"/>
  <c r="K13" i="1"/>
  <c r="J13" i="1"/>
  <c r="I13" i="1"/>
  <c r="H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L12" i="1"/>
  <c r="K12" i="1"/>
  <c r="J12" i="1"/>
  <c r="I12" i="1"/>
  <c r="H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L11" i="1"/>
  <c r="K11" i="1"/>
  <c r="J11" i="1"/>
  <c r="I11" i="1"/>
  <c r="H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L10" i="1"/>
  <c r="K10" i="1"/>
  <c r="J10" i="1"/>
  <c r="I10" i="1"/>
  <c r="H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L9" i="1"/>
  <c r="K9" i="1"/>
  <c r="J9" i="1"/>
  <c r="I9" i="1"/>
  <c r="H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L8" i="1"/>
  <c r="K8" i="1"/>
  <c r="J8" i="1"/>
  <c r="I8" i="1"/>
  <c r="H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L7" i="1"/>
  <c r="K7" i="1"/>
  <c r="J7" i="1"/>
  <c r="I7" i="1"/>
  <c r="H7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L6" i="1"/>
  <c r="K6" i="1"/>
  <c r="J6" i="1"/>
  <c r="I6" i="1"/>
  <c r="H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AI747" i="1" l="1"/>
  <c r="AJ747" i="1"/>
  <c r="AK747" i="1"/>
  <c r="AL747" i="1"/>
  <c r="AN747" i="1"/>
  <c r="AQ747" i="1"/>
  <c r="AN673" i="1"/>
  <c r="AK694" i="1"/>
  <c r="AL703" i="1"/>
  <c r="AK739" i="1"/>
  <c r="AL740" i="1"/>
  <c r="S311" i="2"/>
  <c r="AN710" i="1"/>
  <c r="AO730" i="1"/>
  <c r="AL739" i="1"/>
  <c r="AL654" i="1"/>
  <c r="AR735" i="1"/>
  <c r="AK512" i="1"/>
  <c r="R251" i="2"/>
  <c r="AK460" i="1"/>
  <c r="AK495" i="1"/>
  <c r="AK546" i="1"/>
  <c r="AK553" i="1"/>
  <c r="AK567" i="1"/>
  <c r="AL679" i="1"/>
  <c r="AL707" i="1"/>
  <c r="AI740" i="1"/>
  <c r="AK444" i="1"/>
  <c r="P680" i="1"/>
  <c r="AO718" i="1"/>
  <c r="AK741" i="1"/>
  <c r="R231" i="2"/>
  <c r="R244" i="2"/>
  <c r="AK503" i="1"/>
  <c r="AK514" i="1"/>
  <c r="AK560" i="1"/>
  <c r="AK575" i="1"/>
  <c r="AK577" i="1"/>
  <c r="AK615" i="1"/>
  <c r="AO680" i="1"/>
  <c r="AO741" i="1"/>
  <c r="K758" i="1"/>
  <c r="R227" i="2"/>
  <c r="AJ746" i="1"/>
  <c r="AI746" i="1"/>
  <c r="AK746" i="1"/>
  <c r="AL746" i="1"/>
  <c r="AN746" i="1"/>
  <c r="AQ746" i="1"/>
  <c r="AI738" i="1"/>
  <c r="AK684" i="1"/>
  <c r="AJ725" i="1"/>
  <c r="AI737" i="1"/>
  <c r="R249" i="2"/>
  <c r="S249" i="2" s="1"/>
  <c r="AJ709" i="1"/>
  <c r="P728" i="1"/>
  <c r="P729" i="1" s="1"/>
  <c r="AR738" i="1"/>
  <c r="R140" i="2"/>
  <c r="AK745" i="1"/>
  <c r="AK441" i="1"/>
  <c r="AK443" i="1"/>
  <c r="AK448" i="1"/>
  <c r="AK453" i="1"/>
  <c r="AK472" i="1"/>
  <c r="AK474" i="1"/>
  <c r="AK490" i="1"/>
  <c r="AK500" i="1"/>
  <c r="AK530" i="1"/>
  <c r="AK531" i="1"/>
  <c r="AK533" i="1"/>
  <c r="AK542" i="1"/>
  <c r="AK549" i="1"/>
  <c r="AK612" i="1"/>
  <c r="AN634" i="1"/>
  <c r="AK673" i="1"/>
  <c r="AQ681" i="1"/>
  <c r="AL693" i="1"/>
  <c r="AN728" i="1"/>
  <c r="AQ732" i="1"/>
  <c r="AO733" i="1"/>
  <c r="AK734" i="1"/>
  <c r="AO739" i="1"/>
  <c r="R322" i="2"/>
  <c r="S322" i="2" s="1"/>
  <c r="AL645" i="1"/>
  <c r="AL648" i="1"/>
  <c r="AL658" i="1"/>
  <c r="AI674" i="1"/>
  <c r="AN720" i="1"/>
  <c r="AR732" i="1"/>
  <c r="AK459" i="1"/>
  <c r="AK431" i="1"/>
  <c r="AK446" i="1"/>
  <c r="AK461" i="1"/>
  <c r="AK465" i="1"/>
  <c r="AK484" i="1"/>
  <c r="AK486" i="1"/>
  <c r="AK496" i="1"/>
  <c r="AK518" i="1"/>
  <c r="AK538" i="1"/>
  <c r="AK561" i="1"/>
  <c r="AK588" i="1"/>
  <c r="AK590" i="1"/>
  <c r="AK606" i="1"/>
  <c r="AL641" i="1"/>
  <c r="AL652" i="1"/>
  <c r="AN684" i="1"/>
  <c r="AN696" i="1"/>
  <c r="AL700" i="1"/>
  <c r="AQ702" i="1"/>
  <c r="AO720" i="1"/>
  <c r="S232" i="2"/>
  <c r="AK422" i="1"/>
  <c r="AK433" i="1"/>
  <c r="AK437" i="1"/>
  <c r="AK449" i="1"/>
  <c r="AK451" i="1"/>
  <c r="AK480" i="1"/>
  <c r="AK520" i="1"/>
  <c r="AK529" i="1"/>
  <c r="AK539" i="1"/>
  <c r="AK557" i="1"/>
  <c r="AK566" i="1"/>
  <c r="AK599" i="1"/>
  <c r="AK609" i="1"/>
  <c r="AL657" i="1"/>
  <c r="AJ744" i="1"/>
  <c r="AI745" i="1"/>
  <c r="AJ745" i="1"/>
  <c r="AI744" i="1"/>
  <c r="AQ745" i="1"/>
  <c r="AL745" i="1"/>
  <c r="AN745" i="1"/>
  <c r="R248" i="2"/>
  <c r="S248" i="2" s="1"/>
  <c r="R246" i="2"/>
  <c r="R247" i="2" s="1"/>
  <c r="R123" i="2"/>
  <c r="S123" i="2" s="1"/>
  <c r="AK655" i="1"/>
  <c r="AK678" i="1"/>
  <c r="S171" i="2"/>
  <c r="AK605" i="1"/>
  <c r="AK613" i="1"/>
  <c r="AL633" i="1"/>
  <c r="AL634" i="1"/>
  <c r="AN660" i="1"/>
  <c r="AK661" i="1"/>
  <c r="AN665" i="1"/>
  <c r="AK676" i="1"/>
  <c r="AO693" i="1"/>
  <c r="AL696" i="1"/>
  <c r="AQ696" i="1"/>
  <c r="AJ711" i="1"/>
  <c r="AL728" i="1"/>
  <c r="AI731" i="1"/>
  <c r="AQ736" i="1"/>
  <c r="AI742" i="1"/>
  <c r="AL743" i="1"/>
  <c r="AQ744" i="1"/>
  <c r="E755" i="1"/>
  <c r="U178" i="2"/>
  <c r="R262" i="2"/>
  <c r="S268" i="2"/>
  <c r="R285" i="2"/>
  <c r="S285" i="2" s="1"/>
  <c r="S298" i="2"/>
  <c r="AK487" i="1"/>
  <c r="AN668" i="1"/>
  <c r="AN676" i="1"/>
  <c r="P677" i="1"/>
  <c r="AI677" i="1" s="1"/>
  <c r="AK679" i="1"/>
  <c r="AQ683" i="1"/>
  <c r="AR696" i="1"/>
  <c r="AR697" i="1"/>
  <c r="AL708" i="1"/>
  <c r="AJ731" i="1"/>
  <c r="AR736" i="1"/>
  <c r="AJ742" i="1"/>
  <c r="R119" i="2"/>
  <c r="S119" i="2" s="1"/>
  <c r="R281" i="2"/>
  <c r="R282" i="2" s="1"/>
  <c r="AK471" i="1"/>
  <c r="AK554" i="1"/>
  <c r="AJ733" i="1"/>
  <c r="R310" i="2"/>
  <c r="S310" i="2" s="1"/>
  <c r="AJ676" i="1"/>
  <c r="AK701" i="1"/>
  <c r="AJ707" i="1"/>
  <c r="AK536" i="1"/>
  <c r="AK580" i="1"/>
  <c r="AK423" i="1"/>
  <c r="AK491" i="1"/>
  <c r="AK502" i="1"/>
  <c r="AK564" i="1"/>
  <c r="AK630" i="1"/>
  <c r="AL690" i="1"/>
  <c r="AF778" i="1"/>
  <c r="AO737" i="1"/>
  <c r="AQ742" i="1"/>
  <c r="R105" i="2"/>
  <c r="R107" i="2" s="1"/>
  <c r="S107" i="2" s="1"/>
  <c r="R306" i="2"/>
  <c r="R307" i="2" s="1"/>
  <c r="AK668" i="1"/>
  <c r="AL685" i="1"/>
  <c r="C764" i="1"/>
  <c r="D764" i="1" s="1"/>
  <c r="AK501" i="1"/>
  <c r="AQ733" i="1"/>
  <c r="D756" i="1"/>
  <c r="C779" i="1"/>
  <c r="AK584" i="1"/>
  <c r="AK430" i="1"/>
  <c r="AK439" i="1"/>
  <c r="AK457" i="1"/>
  <c r="AK466" i="1"/>
  <c r="AK477" i="1"/>
  <c r="AK498" i="1"/>
  <c r="AK510" i="1"/>
  <c r="AK521" i="1"/>
  <c r="AK528" i="1"/>
  <c r="AK543" i="1"/>
  <c r="AK548" i="1"/>
  <c r="AK558" i="1"/>
  <c r="AK570" i="1"/>
  <c r="AK576" i="1"/>
  <c r="AK578" i="1"/>
  <c r="AK597" i="1"/>
  <c r="AK618" i="1"/>
  <c r="AO650" i="1"/>
  <c r="AK657" i="1"/>
  <c r="AL659" i="1"/>
  <c r="AN662" i="1"/>
  <c r="AI670" i="1"/>
  <c r="AK680" i="1"/>
  <c r="AQ680" i="1"/>
  <c r="AL682" i="1"/>
  <c r="AN688" i="1"/>
  <c r="AL706" i="1"/>
  <c r="AL710" i="1"/>
  <c r="AO724" i="1"/>
  <c r="AN730" i="1"/>
  <c r="AJ738" i="1"/>
  <c r="AL742" i="1"/>
  <c r="C754" i="1"/>
  <c r="C755" i="1" s="1"/>
  <c r="C756" i="1" s="1"/>
  <c r="C758" i="1" s="1"/>
  <c r="AN647" i="1"/>
  <c r="AK647" i="1"/>
  <c r="AL664" i="1"/>
  <c r="AN664" i="1"/>
  <c r="AO669" i="1"/>
  <c r="AN669" i="1"/>
  <c r="P681" i="1"/>
  <c r="AI680" i="1"/>
  <c r="P702" i="1"/>
  <c r="AI701" i="1"/>
  <c r="AD748" i="1"/>
  <c r="AJ721" i="1"/>
  <c r="S110" i="2"/>
  <c r="AK594" i="1"/>
  <c r="AK608" i="1"/>
  <c r="AK619" i="1"/>
  <c r="AI648" i="1"/>
  <c r="AN651" i="1"/>
  <c r="AK651" i="1"/>
  <c r="AK664" i="1"/>
  <c r="AK669" i="1"/>
  <c r="AO687" i="1"/>
  <c r="AL687" i="1"/>
  <c r="AJ703" i="1"/>
  <c r="AJ719" i="1"/>
  <c r="AL726" i="1"/>
  <c r="AO726" i="1"/>
  <c r="AN726" i="1"/>
  <c r="S97" i="2"/>
  <c r="R104" i="2"/>
  <c r="AO722" i="1"/>
  <c r="AN722" i="1"/>
  <c r="AK475" i="1"/>
  <c r="AK493" i="1"/>
  <c r="AN631" i="1"/>
  <c r="AO631" i="1"/>
  <c r="AK631" i="1"/>
  <c r="AO686" i="1"/>
  <c r="AN686" i="1"/>
  <c r="AI688" i="1"/>
  <c r="AR698" i="1"/>
  <c r="AQ698" i="1"/>
  <c r="AJ700" i="1"/>
  <c r="AQ700" i="1"/>
  <c r="AR703" i="1"/>
  <c r="P706" i="1"/>
  <c r="P707" i="1" s="1"/>
  <c r="AI705" i="1"/>
  <c r="AL712" i="1"/>
  <c r="AN712" i="1"/>
  <c r="AR713" i="1"/>
  <c r="AJ713" i="1"/>
  <c r="AO716" i="1"/>
  <c r="AN716" i="1"/>
  <c r="AJ727" i="1"/>
  <c r="AR729" i="1"/>
  <c r="AJ729" i="1"/>
  <c r="R182" i="2"/>
  <c r="R183" i="2"/>
  <c r="R187" i="2" s="1"/>
  <c r="R201" i="2" s="1"/>
  <c r="AQ675" i="1"/>
  <c r="AJ675" i="1"/>
  <c r="P710" i="1"/>
  <c r="P711" i="1" s="1"/>
  <c r="AI709" i="1"/>
  <c r="AL714" i="1"/>
  <c r="AO714" i="1"/>
  <c r="AN714" i="1"/>
  <c r="R166" i="2"/>
  <c r="S166" i="2" s="1"/>
  <c r="R170" i="2"/>
  <c r="S170" i="2" s="1"/>
  <c r="P645" i="1"/>
  <c r="AI645" i="1" s="1"/>
  <c r="AI644" i="1"/>
  <c r="AK467" i="1"/>
  <c r="AK556" i="1"/>
  <c r="AK447" i="1"/>
  <c r="AK468" i="1"/>
  <c r="AK489" i="1"/>
  <c r="AK547" i="1"/>
  <c r="AK604" i="1"/>
  <c r="AK627" i="1"/>
  <c r="AO656" i="1"/>
  <c r="AN656" i="1"/>
  <c r="AN661" i="1"/>
  <c r="AL670" i="1"/>
  <c r="AO670" i="1"/>
  <c r="AN670" i="1"/>
  <c r="AL674" i="1"/>
  <c r="AK686" i="1"/>
  <c r="AK689" i="1"/>
  <c r="AQ692" i="1"/>
  <c r="AR692" i="1"/>
  <c r="AJ698" i="1"/>
  <c r="AN706" i="1"/>
  <c r="AI713" i="1"/>
  <c r="D751" i="1"/>
  <c r="AO671" i="1"/>
  <c r="AK671" i="1"/>
  <c r="AN635" i="1"/>
  <c r="AK635" i="1"/>
  <c r="AK425" i="1"/>
  <c r="AK470" i="1"/>
  <c r="AK473" i="1"/>
  <c r="AK481" i="1"/>
  <c r="AK515" i="1"/>
  <c r="AK517" i="1"/>
  <c r="AK522" i="1"/>
  <c r="AK544" i="1"/>
  <c r="AK568" i="1"/>
  <c r="AK629" i="1"/>
  <c r="AO635" i="1"/>
  <c r="AN638" i="1"/>
  <c r="AN639" i="1"/>
  <c r="AO639" i="1"/>
  <c r="AK639" i="1"/>
  <c r="AI658" i="1"/>
  <c r="AI667" i="1"/>
  <c r="AK672" i="1"/>
  <c r="AD760" i="1"/>
  <c r="AD761" i="1" s="1"/>
  <c r="AO689" i="1"/>
  <c r="AI692" i="1"/>
  <c r="AN698" i="1"/>
  <c r="AQ699" i="1"/>
  <c r="AR699" i="1"/>
  <c r="AQ705" i="1"/>
  <c r="AJ705" i="1"/>
  <c r="AO706" i="1"/>
  <c r="AN708" i="1"/>
  <c r="F753" i="1"/>
  <c r="F754" i="1" s="1"/>
  <c r="S142" i="2"/>
  <c r="AR686" i="1"/>
  <c r="AJ686" i="1"/>
  <c r="AK463" i="1"/>
  <c r="AJ694" i="1"/>
  <c r="AK455" i="1"/>
  <c r="AK483" i="1"/>
  <c r="AK488" i="1"/>
  <c r="AK505" i="1"/>
  <c r="AK511" i="1"/>
  <c r="AK540" i="1"/>
  <c r="AK562" i="1"/>
  <c r="AK601" i="1"/>
  <c r="AK611" i="1"/>
  <c r="AK643" i="1"/>
  <c r="AL644" i="1"/>
  <c r="AO647" i="1"/>
  <c r="AL655" i="1"/>
  <c r="AO655" i="1"/>
  <c r="AN655" i="1"/>
  <c r="AN659" i="1"/>
  <c r="AL661" i="1"/>
  <c r="AO664" i="1"/>
  <c r="AL666" i="1"/>
  <c r="AN666" i="1"/>
  <c r="AK666" i="1"/>
  <c r="AN672" i="1"/>
  <c r="AQ684" i="1"/>
  <c r="AR684" i="1"/>
  <c r="P690" i="1"/>
  <c r="AJ690" i="1"/>
  <c r="AR690" i="1"/>
  <c r="AK696" i="1"/>
  <c r="AN697" i="1"/>
  <c r="AK697" i="1"/>
  <c r="AJ699" i="1"/>
  <c r="AO701" i="1"/>
  <c r="AN701" i="1"/>
  <c r="AO708" i="1"/>
  <c r="R165" i="2"/>
  <c r="U165" i="2" s="1"/>
  <c r="AK508" i="1"/>
  <c r="AK552" i="1"/>
  <c r="AK626" i="1"/>
  <c r="AN657" i="1"/>
  <c r="AK659" i="1"/>
  <c r="AK665" i="1"/>
  <c r="AN678" i="1"/>
  <c r="AK681" i="1"/>
  <c r="AN692" i="1"/>
  <c r="P697" i="1"/>
  <c r="AI697" i="1" s="1"/>
  <c r="AO699" i="1"/>
  <c r="AK704" i="1"/>
  <c r="E761" i="1"/>
  <c r="AK541" i="1"/>
  <c r="AK559" i="1"/>
  <c r="AK572" i="1"/>
  <c r="AK591" i="1"/>
  <c r="AO657" i="1"/>
  <c r="AL667" i="1"/>
  <c r="AO681" i="1"/>
  <c r="AJ683" i="1"/>
  <c r="AJ697" i="1"/>
  <c r="AC749" i="1"/>
  <c r="AC750" i="1" s="1"/>
  <c r="AJ715" i="1"/>
  <c r="AJ717" i="1"/>
  <c r="AK513" i="1"/>
  <c r="AK545" i="1"/>
  <c r="AK563" i="1"/>
  <c r="AK565" i="1"/>
  <c r="AK569" i="1"/>
  <c r="AK592" i="1"/>
  <c r="AK607" i="1"/>
  <c r="AK621" i="1"/>
  <c r="AK628" i="1"/>
  <c r="AL653" i="1"/>
  <c r="AK660" i="1"/>
  <c r="AK677" i="1"/>
  <c r="AK688" i="1"/>
  <c r="AC748" i="1"/>
  <c r="AJ723" i="1"/>
  <c r="AK504" i="1"/>
  <c r="AK524" i="1"/>
  <c r="AK516" i="1"/>
  <c r="AK507" i="1"/>
  <c r="AK527" i="1"/>
  <c r="AK532" i="1"/>
  <c r="AK583" i="1"/>
  <c r="AK593" i="1"/>
  <c r="AK624" i="1"/>
  <c r="AI659" i="1"/>
  <c r="P660" i="1"/>
  <c r="AI668" i="1"/>
  <c r="P669" i="1"/>
  <c r="AI669" i="1" s="1"/>
  <c r="AL668" i="1"/>
  <c r="AQ677" i="1"/>
  <c r="AI683" i="1"/>
  <c r="AJ695" i="1"/>
  <c r="AR695" i="1"/>
  <c r="AQ695" i="1"/>
  <c r="AL638" i="1"/>
  <c r="AL642" i="1"/>
  <c r="AK644" i="1"/>
  <c r="AN644" i="1"/>
  <c r="AO644" i="1"/>
  <c r="AL646" i="1"/>
  <c r="AK648" i="1"/>
  <c r="AN648" i="1"/>
  <c r="AO648" i="1"/>
  <c r="AL650" i="1"/>
  <c r="AN675" i="1"/>
  <c r="AK675" i="1"/>
  <c r="AL675" i="1"/>
  <c r="AJ679" i="1"/>
  <c r="AQ679" i="1"/>
  <c r="AK702" i="1"/>
  <c r="AN702" i="1"/>
  <c r="AL702" i="1"/>
  <c r="AL704" i="1"/>
  <c r="AK632" i="1"/>
  <c r="AN632" i="1"/>
  <c r="AO632" i="1"/>
  <c r="AK636" i="1"/>
  <c r="AN636" i="1"/>
  <c r="AO636" i="1"/>
  <c r="AK640" i="1"/>
  <c r="AN640" i="1"/>
  <c r="AO640" i="1"/>
  <c r="AO654" i="1"/>
  <c r="AN654" i="1"/>
  <c r="AK654" i="1"/>
  <c r="AO663" i="1"/>
  <c r="AN663" i="1"/>
  <c r="AK663" i="1"/>
  <c r="AR685" i="1"/>
  <c r="AQ685" i="1"/>
  <c r="AJ685" i="1"/>
  <c r="AJ688" i="1"/>
  <c r="AR688" i="1"/>
  <c r="AQ688" i="1"/>
  <c r="P723" i="1"/>
  <c r="AI722" i="1"/>
  <c r="P646" i="1"/>
  <c r="AI649" i="1"/>
  <c r="P650" i="1"/>
  <c r="AI657" i="1"/>
  <c r="P663" i="1"/>
  <c r="AI662" i="1"/>
  <c r="AI666" i="1"/>
  <c r="AI672" i="1"/>
  <c r="P673" i="1"/>
  <c r="AI673" i="1" s="1"/>
  <c r="AI671" i="1"/>
  <c r="AN683" i="1"/>
  <c r="AK683" i="1"/>
  <c r="AL683" i="1"/>
  <c r="AK610" i="1"/>
  <c r="AK617" i="1"/>
  <c r="AK674" i="1"/>
  <c r="P678" i="1"/>
  <c r="AI678" i="1" s="1"/>
  <c r="AQ678" i="1"/>
  <c r="AR687" i="1"/>
  <c r="AJ687" i="1"/>
  <c r="AQ687" i="1"/>
  <c r="AK555" i="1"/>
  <c r="AK571" i="1"/>
  <c r="AK587" i="1"/>
  <c r="AK600" i="1"/>
  <c r="AK616" i="1"/>
  <c r="AO653" i="1"/>
  <c r="AN653" i="1"/>
  <c r="AK653" i="1"/>
  <c r="AO658" i="1"/>
  <c r="AN658" i="1"/>
  <c r="AK658" i="1"/>
  <c r="AO667" i="1"/>
  <c r="AN667" i="1"/>
  <c r="AK667" i="1"/>
  <c r="P685" i="1"/>
  <c r="AI684" i="1"/>
  <c r="AO691" i="1"/>
  <c r="AN691" i="1"/>
  <c r="AK691" i="1"/>
  <c r="AL691" i="1"/>
  <c r="AR693" i="1"/>
  <c r="AQ693" i="1"/>
  <c r="AJ693" i="1"/>
  <c r="AK551" i="1"/>
  <c r="AK579" i="1"/>
  <c r="AK582" i="1"/>
  <c r="AK602" i="1"/>
  <c r="AK603" i="1"/>
  <c r="P632" i="1"/>
  <c r="AO633" i="1"/>
  <c r="AN633" i="1"/>
  <c r="AK633" i="1"/>
  <c r="P636" i="1"/>
  <c r="AO637" i="1"/>
  <c r="AN637" i="1"/>
  <c r="AK637" i="1"/>
  <c r="P640" i="1"/>
  <c r="AO641" i="1"/>
  <c r="AN641" i="1"/>
  <c r="AK641" i="1"/>
  <c r="AO645" i="1"/>
  <c r="AN645" i="1"/>
  <c r="AK645" i="1"/>
  <c r="AO649" i="1"/>
  <c r="AN649" i="1"/>
  <c r="AK649" i="1"/>
  <c r="AK652" i="1"/>
  <c r="AN652" i="1"/>
  <c r="AO652" i="1"/>
  <c r="AK625" i="1"/>
  <c r="AI655" i="1"/>
  <c r="P656" i="1"/>
  <c r="AI656" i="1" s="1"/>
  <c r="AI654" i="1"/>
  <c r="AL662" i="1"/>
  <c r="AO675" i="1"/>
  <c r="AQ689" i="1"/>
  <c r="AJ689" i="1"/>
  <c r="AR689" i="1"/>
  <c r="AO702" i="1"/>
  <c r="AJ734" i="1"/>
  <c r="AR734" i="1"/>
  <c r="AQ734" i="1"/>
  <c r="P694" i="1"/>
  <c r="AI693" i="1"/>
  <c r="AJ704" i="1"/>
  <c r="AQ704" i="1"/>
  <c r="R90" i="2"/>
  <c r="R96" i="2"/>
  <c r="R91" i="2"/>
  <c r="K98" i="2"/>
  <c r="O98" i="2" s="1"/>
  <c r="U98" i="2" s="1"/>
  <c r="N98" i="2"/>
  <c r="S157" i="2"/>
  <c r="U158" i="2"/>
  <c r="S158" i="2"/>
  <c r="R160" i="2"/>
  <c r="AL656" i="1"/>
  <c r="AL660" i="1"/>
  <c r="AL665" i="1"/>
  <c r="AL669" i="1"/>
  <c r="AL673" i="1"/>
  <c r="AN674" i="1"/>
  <c r="AN679" i="1"/>
  <c r="AL684" i="1"/>
  <c r="AL688" i="1"/>
  <c r="AL689" i="1"/>
  <c r="AQ701" i="1"/>
  <c r="Z750" i="1"/>
  <c r="Z751" i="1" s="1"/>
  <c r="Z748" i="1"/>
  <c r="Z749" i="1" s="1"/>
  <c r="AI710" i="1"/>
  <c r="AL718" i="1"/>
  <c r="AO738" i="1"/>
  <c r="AK738" i="1"/>
  <c r="AL738" i="1"/>
  <c r="AJ741" i="1"/>
  <c r="AQ741" i="1"/>
  <c r="AR741" i="1"/>
  <c r="AI741" i="1"/>
  <c r="L67" i="2"/>
  <c r="N116" i="2"/>
  <c r="K116" i="2"/>
  <c r="O116" i="2" s="1"/>
  <c r="Q116" i="2" s="1"/>
  <c r="U176" i="2"/>
  <c r="S176" i="2"/>
  <c r="L54" i="2"/>
  <c r="AK634" i="1"/>
  <c r="AK638" i="1"/>
  <c r="AK642" i="1"/>
  <c r="AK646" i="1"/>
  <c r="AK650" i="1"/>
  <c r="AK662" i="1"/>
  <c r="AL671" i="1"/>
  <c r="AL676" i="1"/>
  <c r="AL680" i="1"/>
  <c r="AL681" i="1"/>
  <c r="AK690" i="1"/>
  <c r="AO690" i="1"/>
  <c r="AQ691" i="1"/>
  <c r="AK692" i="1"/>
  <c r="AK695" i="1"/>
  <c r="AK699" i="1"/>
  <c r="AJ701" i="1"/>
  <c r="AN704" i="1"/>
  <c r="AK706" i="1"/>
  <c r="AL716" i="1"/>
  <c r="P719" i="1"/>
  <c r="AI718" i="1"/>
  <c r="AL722" i="1"/>
  <c r="O58" i="2"/>
  <c r="S201" i="2"/>
  <c r="AL677" i="1"/>
  <c r="AK682" i="1"/>
  <c r="AK685" i="1"/>
  <c r="AO685" i="1"/>
  <c r="AK687" i="1"/>
  <c r="AL692" i="1"/>
  <c r="AL695" i="1"/>
  <c r="AL699" i="1"/>
  <c r="AI700" i="1"/>
  <c r="AO703" i="1"/>
  <c r="AN703" i="1"/>
  <c r="AK703" i="1"/>
  <c r="AO705" i="1"/>
  <c r="AN705" i="1"/>
  <c r="AK705" i="1"/>
  <c r="AR705" i="1"/>
  <c r="P715" i="1"/>
  <c r="AI714" i="1"/>
  <c r="O62" i="2"/>
  <c r="L62" i="2"/>
  <c r="R106" i="2"/>
  <c r="O115" i="2"/>
  <c r="R115" i="2" s="1"/>
  <c r="L115" i="2"/>
  <c r="L130" i="2"/>
  <c r="O130" i="2"/>
  <c r="L185" i="2"/>
  <c r="N215" i="2"/>
  <c r="K215" i="2"/>
  <c r="O215" i="2" s="1"/>
  <c r="AL631" i="1"/>
  <c r="AL635" i="1"/>
  <c r="AL639" i="1"/>
  <c r="AL643" i="1"/>
  <c r="AL647" i="1"/>
  <c r="AL651" i="1"/>
  <c r="AO677" i="1"/>
  <c r="AN682" i="1"/>
  <c r="AQ686" i="1"/>
  <c r="AN687" i="1"/>
  <c r="AQ694" i="1"/>
  <c r="AL697" i="1"/>
  <c r="AR701" i="1"/>
  <c r="AF748" i="1"/>
  <c r="K99" i="2"/>
  <c r="O99" i="2" s="1"/>
  <c r="U99" i="2" s="1"/>
  <c r="N99" i="2"/>
  <c r="L99" i="2"/>
  <c r="AI653" i="1"/>
  <c r="AI675" i="1"/>
  <c r="AO697" i="1"/>
  <c r="AL698" i="1"/>
  <c r="AK700" i="1"/>
  <c r="AO700" i="1"/>
  <c r="AJ706" i="1"/>
  <c r="AQ706" i="1"/>
  <c r="AO707" i="1"/>
  <c r="AN707" i="1"/>
  <c r="AK707" i="1"/>
  <c r="AR707" i="1"/>
  <c r="AL724" i="1"/>
  <c r="O64" i="2"/>
  <c r="Q64" i="2" s="1"/>
  <c r="N129" i="2"/>
  <c r="L129" i="2"/>
  <c r="K129" i="2" a="1"/>
  <c r="K129" i="2" s="1"/>
  <c r="AL672" i="1"/>
  <c r="AQ674" i="1"/>
  <c r="AL678" i="1"/>
  <c r="AQ682" i="1"/>
  <c r="AL686" i="1"/>
  <c r="AQ690" i="1"/>
  <c r="AL694" i="1"/>
  <c r="AR700" i="1"/>
  <c r="AL701" i="1"/>
  <c r="AR702" i="1"/>
  <c r="AT702" i="1" s="1"/>
  <c r="AQ708" i="1"/>
  <c r="AK709" i="1"/>
  <c r="AQ710" i="1"/>
  <c r="AK711" i="1"/>
  <c r="AQ712" i="1"/>
  <c r="AK713" i="1"/>
  <c r="AQ714" i="1"/>
  <c r="AK715" i="1"/>
  <c r="AQ716" i="1"/>
  <c r="AK717" i="1"/>
  <c r="AQ718" i="1"/>
  <c r="AK719" i="1"/>
  <c r="AQ720" i="1"/>
  <c r="AK721" i="1"/>
  <c r="AQ722" i="1"/>
  <c r="AK723" i="1"/>
  <c r="AQ724" i="1"/>
  <c r="AK725" i="1"/>
  <c r="AQ726" i="1"/>
  <c r="AK727" i="1"/>
  <c r="AQ728" i="1"/>
  <c r="AK729" i="1"/>
  <c r="AQ730" i="1"/>
  <c r="AK731" i="1"/>
  <c r="AJ735" i="1"/>
  <c r="AQ735" i="1"/>
  <c r="AJ740" i="1"/>
  <c r="AF779" i="1"/>
  <c r="AF780" i="1" s="1"/>
  <c r="AF781" i="1" s="1"/>
  <c r="AF782" i="1" s="1"/>
  <c r="K55" i="2" a="1"/>
  <c r="K55" i="2" s="1"/>
  <c r="O55" i="2" s="1"/>
  <c r="K61" i="2" a="1"/>
  <c r="K61" i="2" s="1"/>
  <c r="O61" i="2" s="1"/>
  <c r="Q61" i="2" s="1"/>
  <c r="O79" i="2"/>
  <c r="Y79" i="2" s="1"/>
  <c r="O88" i="2"/>
  <c r="O93" i="2"/>
  <c r="V93" i="2" s="1"/>
  <c r="N95" i="2"/>
  <c r="O95" i="2" s="1"/>
  <c r="K100" i="2"/>
  <c r="O100" i="2" s="1"/>
  <c r="U100" i="2" s="1"/>
  <c r="U101" i="2"/>
  <c r="Q101" i="2"/>
  <c r="N113" i="2"/>
  <c r="L114" i="2"/>
  <c r="L120" i="2"/>
  <c r="O121" i="2"/>
  <c r="V121" i="2" s="1"/>
  <c r="O122" i="2"/>
  <c r="N123" i="2"/>
  <c r="L123" i="2"/>
  <c r="K123" i="2"/>
  <c r="O124" i="2"/>
  <c r="N125" i="2"/>
  <c r="L125" i="2"/>
  <c r="K125" i="2"/>
  <c r="O125" i="2" s="1"/>
  <c r="O126" i="2"/>
  <c r="N127" i="2"/>
  <c r="L127" i="2"/>
  <c r="K127" i="2"/>
  <c r="O128" i="2"/>
  <c r="R128" i="2" s="1"/>
  <c r="L132" i="2"/>
  <c r="O139" i="2"/>
  <c r="U139" i="2" s="1"/>
  <c r="L155" i="2"/>
  <c r="O165" i="2"/>
  <c r="Q165" i="2" s="1"/>
  <c r="L165" i="2"/>
  <c r="N184" i="2"/>
  <c r="O184" i="2" s="1"/>
  <c r="V184" i="2" s="1"/>
  <c r="O206" i="2"/>
  <c r="Q206" i="2" s="1"/>
  <c r="K222" i="2"/>
  <c r="N222" i="2"/>
  <c r="L222" i="2"/>
  <c r="N273" i="2"/>
  <c r="K273" i="2"/>
  <c r="O273" i="2" s="1"/>
  <c r="R273" i="2" s="1"/>
  <c r="AR708" i="1"/>
  <c r="AL709" i="1"/>
  <c r="AR710" i="1"/>
  <c r="AL711" i="1"/>
  <c r="AR712" i="1"/>
  <c r="AL713" i="1"/>
  <c r="AR714" i="1"/>
  <c r="AL715" i="1"/>
  <c r="AR716" i="1"/>
  <c r="AL717" i="1"/>
  <c r="AR718" i="1"/>
  <c r="AL719" i="1"/>
  <c r="AR720" i="1"/>
  <c r="AL721" i="1"/>
  <c r="AR722" i="1"/>
  <c r="AL723" i="1"/>
  <c r="AR724" i="1"/>
  <c r="AL725" i="1"/>
  <c r="AR726" i="1"/>
  <c r="AL727" i="1"/>
  <c r="AR728" i="1"/>
  <c r="AL729" i="1"/>
  <c r="AR730" i="1"/>
  <c r="AL731" i="1"/>
  <c r="AJ743" i="1"/>
  <c r="AQ743" i="1"/>
  <c r="N60" i="2"/>
  <c r="O75" i="2"/>
  <c r="S75" i="2" s="1"/>
  <c r="N87" i="2"/>
  <c r="N103" i="2"/>
  <c r="K103" i="2"/>
  <c r="O114" i="2"/>
  <c r="R114" i="2" s="1"/>
  <c r="L119" i="2"/>
  <c r="O119" i="2"/>
  <c r="V119" i="2" s="1"/>
  <c r="O132" i="2"/>
  <c r="Q132" i="2" s="1"/>
  <c r="O154" i="2"/>
  <c r="U172" i="2"/>
  <c r="S172" i="2"/>
  <c r="S198" i="2"/>
  <c r="L210" i="2"/>
  <c r="AK693" i="1"/>
  <c r="AK698" i="1"/>
  <c r="AE748" i="1"/>
  <c r="AN709" i="1"/>
  <c r="AN711" i="1"/>
  <c r="AN713" i="1"/>
  <c r="AN715" i="1"/>
  <c r="AN717" i="1"/>
  <c r="AN719" i="1"/>
  <c r="AN721" i="1"/>
  <c r="AN723" i="1"/>
  <c r="AN725" i="1"/>
  <c r="AN727" i="1"/>
  <c r="AN729" i="1"/>
  <c r="AO731" i="1"/>
  <c r="AK732" i="1"/>
  <c r="AK733" i="1"/>
  <c r="AL734" i="1"/>
  <c r="AK735" i="1"/>
  <c r="AI736" i="1"/>
  <c r="AJ737" i="1"/>
  <c r="AQ737" i="1"/>
  <c r="AO740" i="1"/>
  <c r="AK740" i="1"/>
  <c r="AN740" i="1"/>
  <c r="AL741" i="1"/>
  <c r="AI743" i="1"/>
  <c r="AK744" i="1"/>
  <c r="AN744" i="1"/>
  <c r="O74" i="2"/>
  <c r="N77" i="2"/>
  <c r="O77" i="2" s="1"/>
  <c r="O89" i="2"/>
  <c r="Q89" i="2" s="1"/>
  <c r="L103" i="2"/>
  <c r="N111" i="2"/>
  <c r="U140" i="2"/>
  <c r="S140" i="2"/>
  <c r="N144" i="2"/>
  <c r="O144" i="2" s="1"/>
  <c r="R144" i="2" s="1"/>
  <c r="L153" i="2"/>
  <c r="N161" i="2"/>
  <c r="K161" i="2"/>
  <c r="O161" i="2" s="1"/>
  <c r="Q161" i="2" s="1"/>
  <c r="O174" i="2"/>
  <c r="N175" i="2"/>
  <c r="K175" i="2"/>
  <c r="O192" i="2"/>
  <c r="U192" i="2" s="1"/>
  <c r="L193" i="2"/>
  <c r="O194" i="2"/>
  <c r="R194" i="2" s="1"/>
  <c r="O213" i="2"/>
  <c r="U213" i="2" s="1"/>
  <c r="L213" i="2"/>
  <c r="N216" i="2"/>
  <c r="O216" i="2" s="1"/>
  <c r="U216" i="2" s="1"/>
  <c r="O284" i="2"/>
  <c r="V284" i="2" s="1"/>
  <c r="L284" i="2"/>
  <c r="K315" i="2"/>
  <c r="L315" i="2" s="1"/>
  <c r="N315" i="2"/>
  <c r="U126" i="2"/>
  <c r="AQ731" i="1"/>
  <c r="AL733" i="1"/>
  <c r="AO734" i="1"/>
  <c r="AL735" i="1"/>
  <c r="AQ740" i="1"/>
  <c r="AK743" i="1"/>
  <c r="C752" i="1"/>
  <c r="N54" i="2"/>
  <c r="O54" i="2" s="1"/>
  <c r="N63" i="2"/>
  <c r="O63" i="2" s="1"/>
  <c r="Q63" i="2" s="1"/>
  <c r="O73" i="2"/>
  <c r="O78" i="2"/>
  <c r="Y78" i="2" s="1"/>
  <c r="L81" i="2"/>
  <c r="N84" i="2"/>
  <c r="L84" i="2"/>
  <c r="K84" i="2" a="1"/>
  <c r="K84" i="2" s="1"/>
  <c r="O84" i="2" s="1"/>
  <c r="Y84" i="2" s="1"/>
  <c r="N90" i="2"/>
  <c r="K90" i="2"/>
  <c r="O104" i="2"/>
  <c r="Q104" i="2" s="1"/>
  <c r="N109" i="2"/>
  <c r="O110" i="2"/>
  <c r="U110" i="2" s="1"/>
  <c r="U116" i="2"/>
  <c r="O117" i="2"/>
  <c r="U125" i="2"/>
  <c r="U132" i="2"/>
  <c r="R134" i="2"/>
  <c r="R133" i="2"/>
  <c r="U154" i="2"/>
  <c r="R155" i="2"/>
  <c r="S154" i="2"/>
  <c r="R168" i="2"/>
  <c r="R167" i="2"/>
  <c r="U181" i="2"/>
  <c r="Q181" i="2"/>
  <c r="N186" i="2"/>
  <c r="O186" i="2" s="1"/>
  <c r="V186" i="2" s="1"/>
  <c r="N203" i="2"/>
  <c r="K203" i="2"/>
  <c r="S213" i="2"/>
  <c r="O219" i="2"/>
  <c r="R219" i="2" s="1"/>
  <c r="L219" i="2"/>
  <c r="N230" i="2"/>
  <c r="L230" i="2"/>
  <c r="K230" i="2"/>
  <c r="O230" i="2" s="1"/>
  <c r="V230" i="2" s="1"/>
  <c r="U239" i="2"/>
  <c r="Q239" i="2"/>
  <c r="AK708" i="1"/>
  <c r="AQ709" i="1"/>
  <c r="AK710" i="1"/>
  <c r="AQ711" i="1"/>
  <c r="AK712" i="1"/>
  <c r="AQ713" i="1"/>
  <c r="AK714" i="1"/>
  <c r="AQ715" i="1"/>
  <c r="AK716" i="1"/>
  <c r="AQ717" i="1"/>
  <c r="AK718" i="1"/>
  <c r="AQ719" i="1"/>
  <c r="AK720" i="1"/>
  <c r="AQ721" i="1"/>
  <c r="AK722" i="1"/>
  <c r="AQ723" i="1"/>
  <c r="AK724" i="1"/>
  <c r="AQ725" i="1"/>
  <c r="AK726" i="1"/>
  <c r="AQ727" i="1"/>
  <c r="AK728" i="1"/>
  <c r="AQ729" i="1"/>
  <c r="AK730" i="1"/>
  <c r="AL732" i="1"/>
  <c r="AO732" i="1"/>
  <c r="AN735" i="1"/>
  <c r="AK737" i="1"/>
  <c r="AJ739" i="1"/>
  <c r="AQ739" i="1"/>
  <c r="AO742" i="1"/>
  <c r="AK742" i="1"/>
  <c r="AN742" i="1"/>
  <c r="L70" i="2"/>
  <c r="K71" i="2"/>
  <c r="O71" i="2" s="1"/>
  <c r="O72" i="2"/>
  <c r="N80" i="2"/>
  <c r="K80" i="2"/>
  <c r="O82" i="2"/>
  <c r="Y82" i="2" s="1"/>
  <c r="O91" i="2"/>
  <c r="N105" i="2"/>
  <c r="K105" i="2"/>
  <c r="O105" i="2" s="1"/>
  <c r="V105" i="2" s="1"/>
  <c r="K107" i="2"/>
  <c r="O107" i="2" s="1"/>
  <c r="V107" i="2" s="1"/>
  <c r="U118" i="2"/>
  <c r="U124" i="2"/>
  <c r="O137" i="2"/>
  <c r="S138" i="2"/>
  <c r="N151" i="2"/>
  <c r="L151" i="2"/>
  <c r="K151" i="2"/>
  <c r="O151" i="2" s="1"/>
  <c r="V151" i="2" s="1"/>
  <c r="O179" i="2"/>
  <c r="R203" i="2"/>
  <c r="U189" i="2"/>
  <c r="S189" i="2"/>
  <c r="L200" i="2"/>
  <c r="O217" i="2"/>
  <c r="U217" i="2" s="1"/>
  <c r="L217" i="2"/>
  <c r="R228" i="2"/>
  <c r="R230" i="2"/>
  <c r="U227" i="2"/>
  <c r="S227" i="2"/>
  <c r="AO736" i="1"/>
  <c r="AK736" i="1"/>
  <c r="AN736" i="1"/>
  <c r="AL737" i="1"/>
  <c r="AI739" i="1"/>
  <c r="L64" i="2"/>
  <c r="L65" i="2"/>
  <c r="K65" i="2"/>
  <c r="O65" i="2" s="1"/>
  <c r="O66" i="2"/>
  <c r="N69" i="2"/>
  <c r="K69" i="2"/>
  <c r="K70" i="2"/>
  <c r="O70" i="2" s="1"/>
  <c r="L80" i="2"/>
  <c r="N92" i="2"/>
  <c r="K92" i="2"/>
  <c r="L94" i="2"/>
  <c r="K94" i="2"/>
  <c r="O94" i="2" s="1"/>
  <c r="L96" i="2"/>
  <c r="K96" i="2"/>
  <c r="O96" i="2" s="1"/>
  <c r="O97" i="2"/>
  <c r="U97" i="2" s="1"/>
  <c r="L105" i="2"/>
  <c r="O108" i="2"/>
  <c r="U111" i="2"/>
  <c r="S111" i="2"/>
  <c r="L134" i="2"/>
  <c r="N136" i="2"/>
  <c r="O136" i="2" s="1"/>
  <c r="V136" i="2" s="1"/>
  <c r="L137" i="2"/>
  <c r="L167" i="2"/>
  <c r="L179" i="2"/>
  <c r="L207" i="2"/>
  <c r="N207" i="2"/>
  <c r="K207" i="2"/>
  <c r="N236" i="2"/>
  <c r="L236" i="2"/>
  <c r="K236" i="2"/>
  <c r="O277" i="2"/>
  <c r="L277" i="2"/>
  <c r="P733" i="1"/>
  <c r="U161" i="2"/>
  <c r="L55" i="2"/>
  <c r="N56" i="2"/>
  <c r="K56" i="2"/>
  <c r="L59" i="2"/>
  <c r="O60" i="2"/>
  <c r="Q60" i="2" s="1"/>
  <c r="L61" i="2"/>
  <c r="L68" i="2"/>
  <c r="O87" i="2"/>
  <c r="Y87" i="2" s="1"/>
  <c r="N118" i="2"/>
  <c r="O118" i="2" s="1"/>
  <c r="Q118" i="2" s="1"/>
  <c r="L149" i="2"/>
  <c r="O171" i="2"/>
  <c r="U171" i="2" s="1"/>
  <c r="L171" i="2"/>
  <c r="U174" i="2"/>
  <c r="L197" i="2"/>
  <c r="O197" i="2"/>
  <c r="Q197" i="2" s="1"/>
  <c r="O199" i="2"/>
  <c r="L199" i="2"/>
  <c r="N231" i="2"/>
  <c r="O231" i="2" s="1"/>
  <c r="U231" i="2" s="1"/>
  <c r="O235" i="2"/>
  <c r="L235" i="2"/>
  <c r="K83" i="2" a="1"/>
  <c r="K83" i="2" s="1"/>
  <c r="N141" i="2"/>
  <c r="O141" i="2" s="1"/>
  <c r="U141" i="2" s="1"/>
  <c r="N159" i="2"/>
  <c r="O159" i="2" s="1"/>
  <c r="R159" i="2" s="1"/>
  <c r="N191" i="2"/>
  <c r="O191" i="2" s="1"/>
  <c r="U191" i="2" s="1"/>
  <c r="N211" i="2"/>
  <c r="O211" i="2" s="1"/>
  <c r="L211" i="2"/>
  <c r="S217" i="2"/>
  <c r="N224" i="2"/>
  <c r="O224" i="2" s="1"/>
  <c r="Q224" i="2" s="1"/>
  <c r="N225" i="2"/>
  <c r="O225" i="2" s="1"/>
  <c r="U233" i="2"/>
  <c r="U260" i="2"/>
  <c r="U291" i="2"/>
  <c r="R293" i="2"/>
  <c r="R297" i="2"/>
  <c r="R292" i="2"/>
  <c r="O295" i="2"/>
  <c r="L295" i="2"/>
  <c r="O297" i="2"/>
  <c r="L297" i="2"/>
  <c r="N137" i="2"/>
  <c r="N139" i="2"/>
  <c r="O143" i="2"/>
  <c r="R143" i="2" s="1"/>
  <c r="R148" i="2"/>
  <c r="U148" i="2" s="1"/>
  <c r="O162" i="2"/>
  <c r="Q162" i="2" s="1"/>
  <c r="N166" i="2"/>
  <c r="N167" i="2"/>
  <c r="O167" i="2" s="1"/>
  <c r="V167" i="2" s="1"/>
  <c r="L168" i="2"/>
  <c r="N169" i="2"/>
  <c r="O169" i="2" s="1"/>
  <c r="N177" i="2"/>
  <c r="O177" i="2" s="1"/>
  <c r="Q177" i="2" s="1"/>
  <c r="N179" i="2"/>
  <c r="O183" i="2"/>
  <c r="V183" i="2" s="1"/>
  <c r="N185" i="2"/>
  <c r="O185" i="2" s="1"/>
  <c r="O198" i="2"/>
  <c r="Q198" i="2" s="1"/>
  <c r="O220" i="2"/>
  <c r="Q220" i="2" s="1"/>
  <c r="O221" i="2"/>
  <c r="Q221" i="2" s="1"/>
  <c r="N223" i="2"/>
  <c r="K223" i="2"/>
  <c r="O223" i="2" s="1"/>
  <c r="O226" i="2"/>
  <c r="N238" i="2"/>
  <c r="O241" i="2"/>
  <c r="S251" i="2"/>
  <c r="U251" i="2"/>
  <c r="N268" i="2"/>
  <c r="K268" i="2"/>
  <c r="O268" i="2" s="1"/>
  <c r="U268" i="2" s="1"/>
  <c r="N290" i="2"/>
  <c r="O290" i="2" s="1"/>
  <c r="L310" i="2"/>
  <c r="N310" i="2"/>
  <c r="K310" i="2"/>
  <c r="O310" i="2" s="1"/>
  <c r="K120" i="2"/>
  <c r="O120" i="2" s="1"/>
  <c r="V120" i="2" s="1"/>
  <c r="S124" i="2"/>
  <c r="K131" i="2"/>
  <c r="O131" i="2" s="1"/>
  <c r="K138" i="2"/>
  <c r="O138" i="2" s="1"/>
  <c r="U138" i="2" s="1"/>
  <c r="K140" i="2"/>
  <c r="O140" i="2" s="1"/>
  <c r="K146" i="2"/>
  <c r="O146" i="2" s="1"/>
  <c r="N157" i="2"/>
  <c r="L159" i="2"/>
  <c r="K166" i="2"/>
  <c r="O166" i="2" s="1"/>
  <c r="V166" i="2" s="1"/>
  <c r="K168" i="2"/>
  <c r="K173" i="2"/>
  <c r="O173" i="2" s="1"/>
  <c r="U173" i="2" s="1"/>
  <c r="S174" i="2"/>
  <c r="K182" i="2"/>
  <c r="O182" i="2" s="1"/>
  <c r="Q182" i="2" s="1"/>
  <c r="N189" i="2"/>
  <c r="L191" i="2"/>
  <c r="K200" i="2"/>
  <c r="O200" i="2" s="1"/>
  <c r="Q200" i="2" s="1"/>
  <c r="AA200" i="2" s="1"/>
  <c r="R206" i="2"/>
  <c r="U206" i="2" s="1"/>
  <c r="U205" i="2"/>
  <c r="R207" i="2"/>
  <c r="K208" i="2"/>
  <c r="O208" i="2" s="1"/>
  <c r="V208" i="2" s="1"/>
  <c r="L212" i="2"/>
  <c r="R215" i="2"/>
  <c r="U214" i="2"/>
  <c r="L220" i="2"/>
  <c r="U221" i="2"/>
  <c r="L223" i="2"/>
  <c r="L226" i="2"/>
  <c r="K238" i="2"/>
  <c r="N266" i="2"/>
  <c r="L266" i="2"/>
  <c r="K266" i="2"/>
  <c r="O266" i="2" s="1"/>
  <c r="V266" i="2" s="1"/>
  <c r="L294" i="2"/>
  <c r="N294" i="2"/>
  <c r="K294" i="2"/>
  <c r="O294" i="2" s="1"/>
  <c r="V294" i="2" s="1"/>
  <c r="K102" i="2"/>
  <c r="O102" i="2" s="1"/>
  <c r="Q102" i="2" s="1"/>
  <c r="K109" i="2"/>
  <c r="O109" i="2" s="1"/>
  <c r="U109" i="2" s="1"/>
  <c r="K111" i="2"/>
  <c r="O111" i="2" s="1"/>
  <c r="K113" i="2"/>
  <c r="O113" i="2" s="1"/>
  <c r="U113" i="2" s="1"/>
  <c r="K133" i="2"/>
  <c r="O133" i="2" s="1"/>
  <c r="Q133" i="2" s="1"/>
  <c r="K148" i="2"/>
  <c r="O148" i="2" s="1"/>
  <c r="Q148" i="2" s="1"/>
  <c r="L150" i="2"/>
  <c r="R153" i="2"/>
  <c r="L154" i="2"/>
  <c r="K157" i="2"/>
  <c r="S162" i="2"/>
  <c r="N163" i="2"/>
  <c r="O163" i="2" s="1"/>
  <c r="N164" i="2"/>
  <c r="L166" i="2"/>
  <c r="N170" i="2"/>
  <c r="O170" i="2" s="1"/>
  <c r="U170" i="2" s="1"/>
  <c r="L176" i="2"/>
  <c r="L178" i="2"/>
  <c r="K180" i="2"/>
  <c r="O180" i="2" s="1"/>
  <c r="K189" i="2"/>
  <c r="O189" i="2" s="1"/>
  <c r="U190" i="2"/>
  <c r="L194" i="2"/>
  <c r="S197" i="2"/>
  <c r="L198" i="2"/>
  <c r="K204" i="2"/>
  <c r="O204" i="2" s="1"/>
  <c r="S214" i="2"/>
  <c r="K232" i="2"/>
  <c r="O232" i="2" s="1"/>
  <c r="U232" i="2" s="1"/>
  <c r="L238" i="2"/>
  <c r="L241" i="2"/>
  <c r="N248" i="2"/>
  <c r="L248" i="2"/>
  <c r="N257" i="2"/>
  <c r="K257" i="2"/>
  <c r="U272" i="2"/>
  <c r="S272" i="2"/>
  <c r="R274" i="2"/>
  <c r="K289" i="2"/>
  <c r="N289" i="2"/>
  <c r="L302" i="2"/>
  <c r="N302" i="2"/>
  <c r="O302" i="2" s="1"/>
  <c r="V302" i="2" s="1"/>
  <c r="L306" i="2"/>
  <c r="L102" i="2"/>
  <c r="L111" i="2"/>
  <c r="L133" i="2"/>
  <c r="R149" i="2"/>
  <c r="N155" i="2"/>
  <c r="O155" i="2" s="1"/>
  <c r="L157" i="2"/>
  <c r="K164" i="2"/>
  <c r="N168" i="2"/>
  <c r="L180" i="2"/>
  <c r="N187" i="2"/>
  <c r="O187" i="2" s="1"/>
  <c r="S190" i="2"/>
  <c r="N195" i="2"/>
  <c r="O195" i="2" s="1"/>
  <c r="R195" i="2" s="1"/>
  <c r="L202" i="2"/>
  <c r="L204" i="2"/>
  <c r="N212" i="2"/>
  <c r="O212" i="2" s="1"/>
  <c r="N218" i="2"/>
  <c r="O218" i="2" s="1"/>
  <c r="R218" i="2" s="1"/>
  <c r="L218" i="2"/>
  <c r="N228" i="2"/>
  <c r="L232" i="2"/>
  <c r="N235" i="2"/>
  <c r="S240" i="2"/>
  <c r="O243" i="2"/>
  <c r="N246" i="2"/>
  <c r="L246" i="2"/>
  <c r="K246" i="2"/>
  <c r="K248" i="2"/>
  <c r="N250" i="2"/>
  <c r="O250" i="2" s="1"/>
  <c r="U250" i="2" s="1"/>
  <c r="N255" i="2"/>
  <c r="L255" i="2"/>
  <c r="K255" i="2"/>
  <c r="O255" i="2" s="1"/>
  <c r="R255" i="2" s="1"/>
  <c r="L259" i="2"/>
  <c r="N259" i="2"/>
  <c r="K259" i="2" a="1"/>
  <c r="K259" i="2" s="1"/>
  <c r="N275" i="2"/>
  <c r="L275" i="2"/>
  <c r="O293" i="2"/>
  <c r="V293" i="2" s="1"/>
  <c r="L305" i="2"/>
  <c r="O202" i="2"/>
  <c r="Q202" i="2" s="1"/>
  <c r="AA202" i="2" s="1"/>
  <c r="L205" i="2"/>
  <c r="K205" i="2"/>
  <c r="O205" i="2" s="1"/>
  <c r="Q205" i="2" s="1"/>
  <c r="O228" i="2"/>
  <c r="V228" i="2" s="1"/>
  <c r="U237" i="2"/>
  <c r="S237" i="2"/>
  <c r="L247" i="2"/>
  <c r="O247" i="2"/>
  <c r="L251" i="2"/>
  <c r="K252" i="2"/>
  <c r="O252" i="2" s="1"/>
  <c r="U252" i="2" s="1"/>
  <c r="N252" i="2"/>
  <c r="L253" i="2"/>
  <c r="L258" i="2"/>
  <c r="O258" i="2"/>
  <c r="Q258" i="2" s="1"/>
  <c r="K261" i="2"/>
  <c r="O261" i="2" s="1"/>
  <c r="N261" i="2"/>
  <c r="O275" i="2"/>
  <c r="K278" i="2"/>
  <c r="L278" i="2"/>
  <c r="N278" i="2"/>
  <c r="U302" i="2"/>
  <c r="N153" i="2"/>
  <c r="O153" i="2" s="1"/>
  <c r="R184" i="2"/>
  <c r="R186" i="2"/>
  <c r="N193" i="2"/>
  <c r="O193" i="2" s="1"/>
  <c r="U193" i="2" s="1"/>
  <c r="N206" i="2"/>
  <c r="L225" i="2"/>
  <c r="L228" i="2"/>
  <c r="S231" i="2"/>
  <c r="K240" i="2" a="1"/>
  <c r="K240" i="2" s="1"/>
  <c r="N240" i="2"/>
  <c r="L240" i="2"/>
  <c r="S246" i="2"/>
  <c r="L250" i="2"/>
  <c r="L252" i="2"/>
  <c r="L254" i="2"/>
  <c r="O254" i="2"/>
  <c r="R254" i="2" s="1"/>
  <c r="L300" i="2"/>
  <c r="O300" i="2"/>
  <c r="U300" i="2" s="1"/>
  <c r="N264" i="2"/>
  <c r="U276" i="2"/>
  <c r="K285" i="2"/>
  <c r="L285" i="2" s="1"/>
  <c r="K298" i="2"/>
  <c r="N298" i="2"/>
  <c r="N303" i="2"/>
  <c r="K311" i="2"/>
  <c r="O311" i="2" s="1"/>
  <c r="U311" i="2" s="1"/>
  <c r="N318" i="2"/>
  <c r="L318" i="2"/>
  <c r="K318" i="2"/>
  <c r="K242" i="2"/>
  <c r="O242" i="2" s="1"/>
  <c r="K244" i="2"/>
  <c r="O244" i="2" s="1"/>
  <c r="S245" i="2"/>
  <c r="U249" i="2"/>
  <c r="K253" i="2"/>
  <c r="O253" i="2" s="1"/>
  <c r="U253" i="2" s="1"/>
  <c r="K264" i="2"/>
  <c r="O264" i="2" s="1"/>
  <c r="V264" i="2" s="1"/>
  <c r="K271" i="2"/>
  <c r="O271" i="2" s="1"/>
  <c r="U271" i="2" s="1"/>
  <c r="S276" i="2"/>
  <c r="N279" i="2"/>
  <c r="O279" i="2" s="1"/>
  <c r="L281" i="2"/>
  <c r="L282" i="2"/>
  <c r="N282" i="2"/>
  <c r="O282" i="2" s="1"/>
  <c r="N286" i="2"/>
  <c r="O286" i="2" s="1"/>
  <c r="U286" i="2" s="1"/>
  <c r="L290" i="2"/>
  <c r="L298" i="2"/>
  <c r="S301" i="2"/>
  <c r="K303" i="2"/>
  <c r="O303" i="2" s="1"/>
  <c r="U304" i="2"/>
  <c r="N312" i="2"/>
  <c r="O312" i="2" s="1"/>
  <c r="U312" i="2" s="1"/>
  <c r="O317" i="2"/>
  <c r="Q317" i="2" s="1"/>
  <c r="N234" i="2"/>
  <c r="U245" i="2"/>
  <c r="R263" i="2"/>
  <c r="S267" i="2"/>
  <c r="L271" i="2"/>
  <c r="L274" i="2"/>
  <c r="N285" i="2"/>
  <c r="K287" i="2"/>
  <c r="O287" i="2" s="1"/>
  <c r="L287" i="2"/>
  <c r="N287" i="2"/>
  <c r="U305" i="2"/>
  <c r="N311" i="2"/>
  <c r="S318" i="2"/>
  <c r="R321" i="2"/>
  <c r="R319" i="2"/>
  <c r="N201" i="2"/>
  <c r="O201" i="2" s="1"/>
  <c r="Q201" i="2" s="1"/>
  <c r="AA201" i="2" s="1"/>
  <c r="N210" i="2"/>
  <c r="O210" i="2" s="1"/>
  <c r="V210" i="2" s="1"/>
  <c r="L229" i="2"/>
  <c r="K234" i="2"/>
  <c r="U235" i="2"/>
  <c r="L245" i="2"/>
  <c r="U258" i="2"/>
  <c r="K262" i="2"/>
  <c r="O262" i="2" s="1"/>
  <c r="Q262" i="2" s="1"/>
  <c r="K269" i="2"/>
  <c r="O269" i="2" s="1"/>
  <c r="U269" i="2" s="1"/>
  <c r="K274" i="2"/>
  <c r="O274" i="2" s="1"/>
  <c r="Q274" i="2" s="1"/>
  <c r="L279" i="2"/>
  <c r="U280" i="2"/>
  <c r="L286" i="2"/>
  <c r="N292" i="2"/>
  <c r="K292" i="2"/>
  <c r="L296" i="2"/>
  <c r="O299" i="2"/>
  <c r="U299" i="2" s="1"/>
  <c r="L299" i="2"/>
  <c r="S302" i="2"/>
  <c r="L312" i="2"/>
  <c r="L272" i="2"/>
  <c r="O288" i="2"/>
  <c r="U288" i="2" s="1"/>
  <c r="O296" i="2"/>
  <c r="V296" i="2" s="1"/>
  <c r="N306" i="2"/>
  <c r="O306" i="2" s="1"/>
  <c r="O314" i="2"/>
  <c r="U314" i="2" s="1"/>
  <c r="K321" i="2"/>
  <c r="O321" i="2" s="1"/>
  <c r="V321" i="2" s="1"/>
  <c r="L321" i="2"/>
  <c r="N321" i="2"/>
  <c r="O323" i="2"/>
  <c r="U323" i="2" s="1"/>
  <c r="L243" i="2"/>
  <c r="L270" i="2"/>
  <c r="R287" i="2"/>
  <c r="L301" i="2"/>
  <c r="N301" i="2"/>
  <c r="O301" i="2" s="1"/>
  <c r="U301" i="2" s="1"/>
  <c r="W12" i="4"/>
  <c r="W13" i="4"/>
  <c r="W17" i="4"/>
  <c r="V24" i="4"/>
  <c r="W44" i="4"/>
  <c r="W48" i="4"/>
  <c r="V64" i="4"/>
  <c r="W69" i="4"/>
  <c r="L276" i="2"/>
  <c r="N281" i="2"/>
  <c r="O281" i="2" s="1"/>
  <c r="L283" i="2"/>
  <c r="L309" i="2"/>
  <c r="K319" i="2"/>
  <c r="L319" i="2" s="1"/>
  <c r="P10" i="4"/>
  <c r="X11" i="4"/>
  <c r="W30" i="4"/>
  <c r="V72" i="4"/>
  <c r="N324" i="2"/>
  <c r="K324" i="2"/>
  <c r="O324" i="2" s="1"/>
  <c r="W11" i="4"/>
  <c r="W20" i="4"/>
  <c r="V50" i="4"/>
  <c r="N319" i="2"/>
  <c r="L320" i="2"/>
  <c r="L323" i="2"/>
  <c r="V16" i="4"/>
  <c r="V23" i="4"/>
  <c r="W26" i="4"/>
  <c r="W41" i="4"/>
  <c r="W65" i="4"/>
  <c r="N11" i="4"/>
  <c r="V36" i="4"/>
  <c r="V47" i="4"/>
  <c r="W53" i="4"/>
  <c r="W55" i="4"/>
  <c r="W89" i="4"/>
  <c r="V94" i="4"/>
  <c r="W115" i="4"/>
  <c r="W38" i="4"/>
  <c r="W40" i="4"/>
  <c r="N320" i="2"/>
  <c r="O320" i="2" s="1"/>
  <c r="S323" i="2"/>
  <c r="R324" i="2"/>
  <c r="L325" i="2"/>
  <c r="D13" i="4"/>
  <c r="R11" i="4"/>
  <c r="W15" i="4"/>
  <c r="W19" i="4"/>
  <c r="V22" i="4"/>
  <c r="W59" i="4"/>
  <c r="N316" i="2"/>
  <c r="O316" i="2" s="1"/>
  <c r="N322" i="2"/>
  <c r="K322" i="2"/>
  <c r="W27" i="4"/>
  <c r="V33" i="4"/>
  <c r="V42" i="4"/>
  <c r="V80" i="4"/>
  <c r="W128" i="4"/>
  <c r="Q133" i="4"/>
  <c r="W21" i="4"/>
  <c r="V34" i="4"/>
  <c r="V58" i="4"/>
  <c r="W68" i="4"/>
  <c r="V84" i="4"/>
  <c r="K326" i="2"/>
  <c r="O326" i="2" s="1"/>
  <c r="U326" i="2" s="1"/>
  <c r="R10" i="4"/>
  <c r="W25" i="4"/>
  <c r="W31" i="4"/>
  <c r="V39" i="4"/>
  <c r="W51" i="4"/>
  <c r="V52" i="4"/>
  <c r="V54" i="4"/>
  <c r="W63" i="4"/>
  <c r="W91" i="4"/>
  <c r="L326" i="2"/>
  <c r="T133" i="4"/>
  <c r="E12" i="4"/>
  <c r="K12" i="4" s="1"/>
  <c r="W57" i="4"/>
  <c r="W119" i="4"/>
  <c r="U10" i="4"/>
  <c r="W43" i="4"/>
  <c r="W71" i="4"/>
  <c r="V117" i="4"/>
  <c r="V10" i="4"/>
  <c r="V32" i="4"/>
  <c r="W60" i="4"/>
  <c r="V70" i="4"/>
  <c r="V76" i="4"/>
  <c r="V96" i="4"/>
  <c r="V66" i="4"/>
  <c r="V74" i="4"/>
  <c r="W77" i="4"/>
  <c r="V120" i="4"/>
  <c r="W73" i="4"/>
  <c r="V88" i="4"/>
  <c r="W90" i="4"/>
  <c r="W104" i="4"/>
  <c r="W61" i="4"/>
  <c r="W67" i="4"/>
  <c r="W95" i="4"/>
  <c r="W97" i="4"/>
  <c r="W114" i="4"/>
  <c r="W118" i="4"/>
  <c r="V121" i="4"/>
  <c r="V62" i="4"/>
  <c r="W110" i="4"/>
  <c r="V112" i="4"/>
  <c r="W122" i="4"/>
  <c r="W116" i="4"/>
  <c r="V105" i="4"/>
  <c r="W109" i="4"/>
  <c r="V81" i="4"/>
  <c r="W108" i="4"/>
  <c r="W111" i="4"/>
  <c r="V101" i="4"/>
  <c r="V106" i="4"/>
  <c r="W129" i="4"/>
  <c r="V92" i="4"/>
  <c r="W98" i="4"/>
  <c r="W123" i="4"/>
  <c r="V124" i="4"/>
  <c r="V125" i="4"/>
  <c r="W130" i="4"/>
  <c r="W82" i="4"/>
  <c r="V107" i="4"/>
  <c r="O99" i="6"/>
  <c r="Q99" i="6" s="1"/>
  <c r="K99" i="6" a="1"/>
  <c r="K99" i="6" s="1"/>
  <c r="M99" i="6"/>
  <c r="V99" i="4"/>
  <c r="K98" i="6" a="1"/>
  <c r="K98" i="6" s="1"/>
  <c r="O98" i="6"/>
  <c r="Q98" i="6" s="1"/>
  <c r="W103" i="4"/>
  <c r="K100" i="6" a="1"/>
  <c r="K100" i="6" s="1"/>
  <c r="O100" i="6"/>
  <c r="Q100" i="6" s="1"/>
  <c r="V113" i="4"/>
  <c r="O101" i="6"/>
  <c r="K101" i="6" a="1"/>
  <c r="K101" i="6" s="1"/>
  <c r="P101" i="6" s="1"/>
  <c r="Q101" i="6"/>
  <c r="E764" i="1" l="1"/>
  <c r="U187" i="2"/>
  <c r="S183" i="2"/>
  <c r="S281" i="2"/>
  <c r="S187" i="2"/>
  <c r="AI728" i="1"/>
  <c r="R284" i="2"/>
  <c r="U284" i="2" s="1"/>
  <c r="R169" i="2"/>
  <c r="U169" i="2" s="1"/>
  <c r="AI706" i="1"/>
  <c r="S306" i="2"/>
  <c r="R309" i="2"/>
  <c r="U310" i="2"/>
  <c r="S105" i="2"/>
  <c r="E756" i="1"/>
  <c r="S282" i="2"/>
  <c r="R283" i="2"/>
  <c r="R121" i="2"/>
  <c r="R120" i="2"/>
  <c r="S120" i="2" s="1"/>
  <c r="R122" i="2"/>
  <c r="R108" i="2"/>
  <c r="P682" i="1"/>
  <c r="AI682" i="1" s="1"/>
  <c r="AI681" i="1"/>
  <c r="P698" i="1"/>
  <c r="AI698" i="1" s="1"/>
  <c r="P691" i="1"/>
  <c r="AI691" i="1" s="1"/>
  <c r="AI690" i="1"/>
  <c r="P703" i="1"/>
  <c r="AI702" i="1"/>
  <c r="Q290" i="2"/>
  <c r="U290" i="2"/>
  <c r="S159" i="2"/>
  <c r="U159" i="2"/>
  <c r="U195" i="2"/>
  <c r="S195" i="2"/>
  <c r="Q163" i="2"/>
  <c r="U163" i="2"/>
  <c r="U225" i="2"/>
  <c r="Q225" i="2"/>
  <c r="V281" i="2"/>
  <c r="U281" i="2"/>
  <c r="V306" i="2"/>
  <c r="U306" i="2"/>
  <c r="W120" i="4"/>
  <c r="W39" i="4"/>
  <c r="U106" i="2"/>
  <c r="S106" i="2"/>
  <c r="M101" i="6"/>
  <c r="P99" i="6"/>
  <c r="W88" i="4"/>
  <c r="W74" i="4"/>
  <c r="W54" i="4"/>
  <c r="W34" i="4"/>
  <c r="W16" i="4"/>
  <c r="W72" i="4"/>
  <c r="W24" i="4"/>
  <c r="L234" i="2"/>
  <c r="O234" i="2"/>
  <c r="U234" i="2" s="1"/>
  <c r="L264" i="2"/>
  <c r="Q244" i="2"/>
  <c r="U244" i="2"/>
  <c r="R200" i="2"/>
  <c r="U186" i="2"/>
  <c r="S186" i="2"/>
  <c r="O278" i="2"/>
  <c r="L109" i="2"/>
  <c r="O289" i="2"/>
  <c r="U289" i="2" s="1"/>
  <c r="L289" i="2"/>
  <c r="Q204" i="2"/>
  <c r="U204" i="2"/>
  <c r="Q180" i="2"/>
  <c r="U180" i="2"/>
  <c r="O157" i="2"/>
  <c r="U157" i="2" s="1"/>
  <c r="O168" i="2"/>
  <c r="V168" i="2" s="1"/>
  <c r="U131" i="2"/>
  <c r="Q131" i="2"/>
  <c r="L269" i="2"/>
  <c r="U226" i="2"/>
  <c r="Q226" i="2"/>
  <c r="U143" i="2"/>
  <c r="R145" i="2"/>
  <c r="S143" i="2"/>
  <c r="U292" i="2"/>
  <c r="O56" i="2"/>
  <c r="L56" i="2"/>
  <c r="O236" i="2"/>
  <c r="R236" i="2" s="1"/>
  <c r="S230" i="2"/>
  <c r="U230" i="2"/>
  <c r="S203" i="2"/>
  <c r="L107" i="2"/>
  <c r="S168" i="2"/>
  <c r="L208" i="2"/>
  <c r="L138" i="2"/>
  <c r="U198" i="2"/>
  <c r="U108" i="2"/>
  <c r="S108" i="2"/>
  <c r="P716" i="1"/>
  <c r="AI715" i="1"/>
  <c r="AI719" i="1"/>
  <c r="P720" i="1"/>
  <c r="L98" i="2"/>
  <c r="P695" i="1"/>
  <c r="AI695" i="1" s="1"/>
  <c r="AI694" i="1"/>
  <c r="P686" i="1"/>
  <c r="AI685" i="1"/>
  <c r="AP653" i="1"/>
  <c r="W84" i="4"/>
  <c r="L164" i="2"/>
  <c r="O164" i="2"/>
  <c r="P100" i="6"/>
  <c r="M100" i="6"/>
  <c r="W32" i="4"/>
  <c r="W36" i="4"/>
  <c r="U242" i="2"/>
  <c r="Q242" i="2"/>
  <c r="Q275" i="2"/>
  <c r="U275" i="2"/>
  <c r="U274" i="2"/>
  <c r="S274" i="2"/>
  <c r="S297" i="2"/>
  <c r="U297" i="2"/>
  <c r="R229" i="2"/>
  <c r="U228" i="2"/>
  <c r="S228" i="2"/>
  <c r="U179" i="2"/>
  <c r="Q179" i="2"/>
  <c r="U194" i="2"/>
  <c r="R196" i="2"/>
  <c r="S194" i="2"/>
  <c r="U197" i="2"/>
  <c r="U114" i="2"/>
  <c r="S114" i="2"/>
  <c r="S273" i="2"/>
  <c r="U273" i="2"/>
  <c r="U128" i="2"/>
  <c r="S128" i="2"/>
  <c r="Q88" i="2"/>
  <c r="U88" i="2"/>
  <c r="Q130" i="2"/>
  <c r="U130" i="2"/>
  <c r="S160" i="2"/>
  <c r="U160" i="2"/>
  <c r="R95" i="2"/>
  <c r="U91" i="2"/>
  <c r="R93" i="2"/>
  <c r="S91" i="2"/>
  <c r="R94" i="2"/>
  <c r="P98" i="6"/>
  <c r="M98" i="6"/>
  <c r="O319" i="2"/>
  <c r="V319" i="2" s="1"/>
  <c r="R266" i="2"/>
  <c r="R264" i="2"/>
  <c r="U263" i="2"/>
  <c r="S263" i="2"/>
  <c r="U279" i="2"/>
  <c r="Q279" i="2"/>
  <c r="R185" i="2"/>
  <c r="R188" i="2"/>
  <c r="U184" i="2"/>
  <c r="S184" i="2"/>
  <c r="W106" i="4"/>
  <c r="W105" i="4"/>
  <c r="W66" i="4"/>
  <c r="W76" i="4"/>
  <c r="W80" i="4"/>
  <c r="L322" i="2"/>
  <c r="O322" i="2"/>
  <c r="U322" i="2" s="1"/>
  <c r="W22" i="4"/>
  <c r="P11" i="4"/>
  <c r="U11" i="4"/>
  <c r="L324" i="2"/>
  <c r="U317" i="2"/>
  <c r="W64" i="4"/>
  <c r="O298" i="2"/>
  <c r="U298" i="2" s="1"/>
  <c r="U254" i="2"/>
  <c r="S254" i="2"/>
  <c r="R256" i="2"/>
  <c r="O240" i="2"/>
  <c r="L261" i="2"/>
  <c r="L262" i="2"/>
  <c r="O248" i="2"/>
  <c r="U149" i="2"/>
  <c r="S149" i="2"/>
  <c r="R151" i="2"/>
  <c r="R152" i="2"/>
  <c r="R150" i="2"/>
  <c r="L244" i="2"/>
  <c r="U153" i="2"/>
  <c r="S153" i="2"/>
  <c r="S215" i="2"/>
  <c r="U215" i="2"/>
  <c r="U293" i="2"/>
  <c r="R294" i="2"/>
  <c r="S293" i="2"/>
  <c r="R296" i="2"/>
  <c r="L173" i="2"/>
  <c r="L71" i="2"/>
  <c r="S219" i="2"/>
  <c r="U219" i="2"/>
  <c r="L182" i="2"/>
  <c r="U155" i="2"/>
  <c r="S155" i="2"/>
  <c r="O315" i="2"/>
  <c r="L161" i="2"/>
  <c r="O103" i="2"/>
  <c r="L273" i="2"/>
  <c r="O127" i="2"/>
  <c r="U127" i="2" s="1"/>
  <c r="O123" i="2"/>
  <c r="U123" i="2" s="1"/>
  <c r="U104" i="2"/>
  <c r="U201" i="2"/>
  <c r="P712" i="1"/>
  <c r="AI712" i="1" s="1"/>
  <c r="AI711" i="1"/>
  <c r="S96" i="2"/>
  <c r="U96" i="2"/>
  <c r="P641" i="1"/>
  <c r="AI640" i="1"/>
  <c r="P633" i="1"/>
  <c r="AI632" i="1"/>
  <c r="P664" i="1"/>
  <c r="AI663" i="1"/>
  <c r="L303" i="2"/>
  <c r="O92" i="2"/>
  <c r="V92" i="2" s="1"/>
  <c r="L92" i="2"/>
  <c r="S167" i="2"/>
  <c r="U167" i="2"/>
  <c r="W92" i="4"/>
  <c r="D14" i="4"/>
  <c r="W125" i="4"/>
  <c r="W101" i="4"/>
  <c r="V133" i="4"/>
  <c r="X10" i="4"/>
  <c r="W10" i="4"/>
  <c r="W52" i="4"/>
  <c r="S324" i="2"/>
  <c r="U324" i="2"/>
  <c r="S309" i="2"/>
  <c r="U309" i="2"/>
  <c r="O318" i="2"/>
  <c r="O259" i="2"/>
  <c r="O246" i="2"/>
  <c r="L189" i="2"/>
  <c r="L148" i="2"/>
  <c r="L242" i="2"/>
  <c r="L268" i="2"/>
  <c r="O207" i="2"/>
  <c r="V207" i="2" s="1"/>
  <c r="O69" i="2"/>
  <c r="L69" i="2"/>
  <c r="U102" i="2"/>
  <c r="O129" i="2"/>
  <c r="R129" i="2" s="1"/>
  <c r="AI729" i="1"/>
  <c r="P730" i="1"/>
  <c r="AI730" i="1" s="1"/>
  <c r="L131" i="2"/>
  <c r="U89" i="2"/>
  <c r="P724" i="1"/>
  <c r="AI723" i="1"/>
  <c r="W113" i="4"/>
  <c r="W124" i="4"/>
  <c r="W58" i="4"/>
  <c r="W33" i="4"/>
  <c r="U316" i="2"/>
  <c r="Q316" i="2"/>
  <c r="W94" i="4"/>
  <c r="W23" i="4"/>
  <c r="S287" i="2"/>
  <c r="U287" i="2"/>
  <c r="S319" i="2"/>
  <c r="R320" i="2"/>
  <c r="U319" i="2"/>
  <c r="R308" i="2"/>
  <c r="U307" i="2"/>
  <c r="S307" i="2"/>
  <c r="O285" i="2"/>
  <c r="U285" i="2" s="1"/>
  <c r="Q261" i="2"/>
  <c r="U261" i="2"/>
  <c r="O238" i="2"/>
  <c r="Q238" i="2" s="1"/>
  <c r="U183" i="2"/>
  <c r="U262" i="2"/>
  <c r="O83" i="2"/>
  <c r="Y83" i="2" s="1"/>
  <c r="L83" i="2"/>
  <c r="P734" i="1"/>
  <c r="AI734" i="1" s="1"/>
  <c r="AI733" i="1"/>
  <c r="U162" i="2"/>
  <c r="U120" i="2"/>
  <c r="O90" i="2"/>
  <c r="Q90" i="2" s="1"/>
  <c r="L90" i="2"/>
  <c r="Y77" i="2"/>
  <c r="Q77" i="2"/>
  <c r="L116" i="2"/>
  <c r="R92" i="2"/>
  <c r="AI650" i="1"/>
  <c r="P651" i="1"/>
  <c r="AI660" i="1"/>
  <c r="AI661" i="1"/>
  <c r="W99" i="4"/>
  <c r="L292" i="2"/>
  <c r="O292" i="2"/>
  <c r="Q292" i="2" s="1"/>
  <c r="R220" i="2"/>
  <c r="U218" i="2"/>
  <c r="S218" i="2"/>
  <c r="U119" i="2"/>
  <c r="O257" i="2"/>
  <c r="R208" i="2"/>
  <c r="R211" i="2"/>
  <c r="R210" i="2"/>
  <c r="S207" i="2"/>
  <c r="U146" i="2"/>
  <c r="Q146" i="2"/>
  <c r="O203" i="2"/>
  <c r="Q203" i="2" s="1"/>
  <c r="AA203" i="2" s="1"/>
  <c r="U166" i="2"/>
  <c r="U133" i="2"/>
  <c r="O175" i="2"/>
  <c r="R175" i="2" s="1"/>
  <c r="U144" i="2"/>
  <c r="S144" i="2"/>
  <c r="L146" i="2"/>
  <c r="AI707" i="1"/>
  <c r="P708" i="1"/>
  <c r="AI708" i="1" s="1"/>
  <c r="L215" i="2"/>
  <c r="U115" i="2"/>
  <c r="S115" i="2"/>
  <c r="U224" i="2"/>
  <c r="Q303" i="2"/>
  <c r="U303" i="2"/>
  <c r="W62" i="4"/>
  <c r="W107" i="4"/>
  <c r="W112" i="4"/>
  <c r="W70" i="4"/>
  <c r="W117" i="4"/>
  <c r="E13" i="4"/>
  <c r="J12" i="4"/>
  <c r="I12" i="4"/>
  <c r="M12" i="4" s="1"/>
  <c r="N12" i="4" s="1"/>
  <c r="W81" i="4"/>
  <c r="W121" i="4"/>
  <c r="W96" i="4"/>
  <c r="W42" i="4"/>
  <c r="W47" i="4"/>
  <c r="W50" i="4"/>
  <c r="U321" i="2"/>
  <c r="S321" i="2"/>
  <c r="V282" i="2"/>
  <c r="U282" i="2"/>
  <c r="L311" i="2"/>
  <c r="U247" i="2"/>
  <c r="R259" i="2"/>
  <c r="S247" i="2"/>
  <c r="S255" i="2"/>
  <c r="U255" i="2"/>
  <c r="Q243" i="2"/>
  <c r="U243" i="2"/>
  <c r="L113" i="2"/>
  <c r="L257" i="2"/>
  <c r="U182" i="2"/>
  <c r="O80" i="2"/>
  <c r="Y80" i="2" s="1"/>
  <c r="L203" i="2"/>
  <c r="R136" i="2"/>
  <c r="U134" i="2"/>
  <c r="R137" i="2"/>
  <c r="R135" i="2"/>
  <c r="S134" i="2"/>
  <c r="U117" i="2"/>
  <c r="Q117" i="2"/>
  <c r="L175" i="2"/>
  <c r="O222" i="2"/>
  <c r="L140" i="2"/>
  <c r="L100" i="2"/>
  <c r="U105" i="2"/>
  <c r="U107" i="2"/>
  <c r="P637" i="1"/>
  <c r="AI636" i="1"/>
  <c r="AI646" i="1"/>
  <c r="P647" i="1"/>
  <c r="AI647" i="1" s="1"/>
  <c r="S284" i="2" l="1"/>
  <c r="S169" i="2"/>
  <c r="S283" i="2"/>
  <c r="U283" i="2"/>
  <c r="U122" i="2"/>
  <c r="S122" i="2"/>
  <c r="P699" i="1"/>
  <c r="AI699" i="1" s="1"/>
  <c r="S121" i="2"/>
  <c r="U121" i="2"/>
  <c r="P704" i="1"/>
  <c r="AI704" i="1" s="1"/>
  <c r="AI703" i="1"/>
  <c r="P12" i="4"/>
  <c r="R12" i="4"/>
  <c r="X12" i="4"/>
  <c r="U12" i="4"/>
  <c r="P717" i="1"/>
  <c r="AI717" i="1" s="1"/>
  <c r="AI716" i="1"/>
  <c r="Q257" i="2"/>
  <c r="U257" i="2"/>
  <c r="U150" i="2"/>
  <c r="S150" i="2"/>
  <c r="Q240" i="2"/>
  <c r="U240" i="2"/>
  <c r="S94" i="2"/>
  <c r="U94" i="2"/>
  <c r="Q164" i="2"/>
  <c r="U164" i="2"/>
  <c r="AI687" i="1"/>
  <c r="P687" i="1"/>
  <c r="AI686" i="1"/>
  <c r="P725" i="1"/>
  <c r="AI724" i="1"/>
  <c r="AI637" i="1"/>
  <c r="P638" i="1"/>
  <c r="AI638" i="1" s="1"/>
  <c r="U256" i="2"/>
  <c r="S256" i="2"/>
  <c r="R241" i="2"/>
  <c r="U229" i="2"/>
  <c r="S229" i="2"/>
  <c r="U203" i="2"/>
  <c r="U145" i="2"/>
  <c r="S145" i="2"/>
  <c r="Q278" i="2"/>
  <c r="U278" i="2"/>
  <c r="U296" i="2"/>
  <c r="S296" i="2"/>
  <c r="AI633" i="1"/>
  <c r="P634" i="1"/>
  <c r="AI634" i="1" s="1"/>
  <c r="R295" i="2"/>
  <c r="U294" i="2"/>
  <c r="S294" i="2"/>
  <c r="U152" i="2"/>
  <c r="S152" i="2"/>
  <c r="U135" i="2"/>
  <c r="S135" i="2"/>
  <c r="S259" i="2"/>
  <c r="U259" i="2"/>
  <c r="U308" i="2"/>
  <c r="S308" i="2"/>
  <c r="U151" i="2"/>
  <c r="S151" i="2"/>
  <c r="U93" i="2"/>
  <c r="S93" i="2"/>
  <c r="U208" i="2"/>
  <c r="R212" i="2"/>
  <c r="S208" i="2"/>
  <c r="R209" i="2"/>
  <c r="V318" i="2"/>
  <c r="U318" i="2"/>
  <c r="AI664" i="1"/>
  <c r="P665" i="1"/>
  <c r="AI665" i="1" s="1"/>
  <c r="AI651" i="1"/>
  <c r="P652" i="1"/>
  <c r="AI652" i="1" s="1"/>
  <c r="AI641" i="1"/>
  <c r="P642" i="1"/>
  <c r="R265" i="2"/>
  <c r="U264" i="2"/>
  <c r="S264" i="2"/>
  <c r="S196" i="2"/>
  <c r="U196" i="2"/>
  <c r="U220" i="2"/>
  <c r="S220" i="2"/>
  <c r="U320" i="2"/>
  <c r="S320" i="2"/>
  <c r="U129" i="2"/>
  <c r="S129" i="2"/>
  <c r="U266" i="2"/>
  <c r="S266" i="2"/>
  <c r="S95" i="2"/>
  <c r="U95" i="2"/>
  <c r="P721" i="1"/>
  <c r="AI721" i="1" s="1"/>
  <c r="AI720" i="1"/>
  <c r="R238" i="2"/>
  <c r="U236" i="2"/>
  <c r="S236" i="2"/>
  <c r="U200" i="2"/>
  <c r="S200" i="2"/>
  <c r="Q315" i="2"/>
  <c r="U315" i="2"/>
  <c r="U137" i="2"/>
  <c r="S137" i="2"/>
  <c r="D15" i="4"/>
  <c r="V248" i="2"/>
  <c r="U248" i="2"/>
  <c r="U188" i="2"/>
  <c r="S188" i="2"/>
  <c r="R202" i="2"/>
  <c r="J13" i="4"/>
  <c r="I13" i="4"/>
  <c r="E14" i="4"/>
  <c r="K14" i="4" s="1"/>
  <c r="S210" i="2"/>
  <c r="U210" i="2"/>
  <c r="Q222" i="2"/>
  <c r="U222" i="2"/>
  <c r="U136" i="2"/>
  <c r="S136" i="2"/>
  <c r="U175" i="2"/>
  <c r="S175" i="2"/>
  <c r="R177" i="2"/>
  <c r="U207" i="2"/>
  <c r="U90" i="2"/>
  <c r="V246" i="2"/>
  <c r="U246" i="2"/>
  <c r="U103" i="2"/>
  <c r="Q103" i="2"/>
  <c r="S211" i="2"/>
  <c r="U211" i="2"/>
  <c r="S92" i="2"/>
  <c r="U92" i="2"/>
  <c r="K13" i="4"/>
  <c r="R199" i="2"/>
  <c r="U185" i="2"/>
  <c r="S185" i="2"/>
  <c r="U168" i="2"/>
  <c r="S212" i="2" l="1"/>
  <c r="U212" i="2"/>
  <c r="U295" i="2"/>
  <c r="S295" i="2"/>
  <c r="U177" i="2"/>
  <c r="S177" i="2"/>
  <c r="D16" i="4"/>
  <c r="P726" i="1"/>
  <c r="AI726" i="1" s="1"/>
  <c r="AI725" i="1"/>
  <c r="M13" i="4"/>
  <c r="N13" i="4" s="1"/>
  <c r="S241" i="2"/>
  <c r="U241" i="2"/>
  <c r="J14" i="4"/>
  <c r="I14" i="4"/>
  <c r="M14" i="4" s="1"/>
  <c r="N14" i="4" s="1"/>
  <c r="E15" i="4"/>
  <c r="S238" i="2"/>
  <c r="U238" i="2"/>
  <c r="S199" i="2"/>
  <c r="U199" i="2"/>
  <c r="U202" i="2"/>
  <c r="S202" i="2"/>
  <c r="S265" i="2"/>
  <c r="U265" i="2"/>
  <c r="R277" i="2"/>
  <c r="AI642" i="1"/>
  <c r="P643" i="1"/>
  <c r="AI643" i="1" s="1"/>
  <c r="U209" i="2"/>
  <c r="R223" i="2"/>
  <c r="S209" i="2"/>
  <c r="P14" i="4" l="1"/>
  <c r="X14" i="4"/>
  <c r="U14" i="4"/>
  <c r="R14" i="4"/>
  <c r="P13" i="4"/>
  <c r="X13" i="4"/>
  <c r="U13" i="4"/>
  <c r="R13" i="4"/>
  <c r="D17" i="4"/>
  <c r="U223" i="2"/>
  <c r="S223" i="2"/>
  <c r="U277" i="2"/>
  <c r="S277" i="2"/>
  <c r="I15" i="4"/>
  <c r="M15" i="4" s="1"/>
  <c r="E16" i="4"/>
  <c r="J15" i="4"/>
  <c r="K15" i="4"/>
  <c r="E17" i="4" l="1"/>
  <c r="J16" i="4"/>
  <c r="I16" i="4"/>
  <c r="N15" i="4"/>
  <c r="K16" i="4"/>
  <c r="K17" i="4"/>
  <c r="D18" i="4"/>
  <c r="N17" i="4" l="1"/>
  <c r="D19" i="4"/>
  <c r="M16" i="4"/>
  <c r="N16" i="4"/>
  <c r="P15" i="4"/>
  <c r="U15" i="4"/>
  <c r="X15" i="4"/>
  <c r="R15" i="4"/>
  <c r="J17" i="4"/>
  <c r="I17" i="4"/>
  <c r="M17" i="4" s="1"/>
  <c r="E18" i="4"/>
  <c r="J18" i="4" l="1"/>
  <c r="I18" i="4"/>
  <c r="M18" i="4" s="1"/>
  <c r="E19" i="4"/>
  <c r="P16" i="4"/>
  <c r="R16" i="4"/>
  <c r="U16" i="4"/>
  <c r="X16" i="4"/>
  <c r="D20" i="4"/>
  <c r="K18" i="4"/>
  <c r="N18" i="4" s="1"/>
  <c r="P17" i="4"/>
  <c r="X17" i="4"/>
  <c r="U17" i="4"/>
  <c r="R17" i="4"/>
  <c r="D21" i="4" l="1"/>
  <c r="I19" i="4"/>
  <c r="M19" i="4" s="1"/>
  <c r="E20" i="4"/>
  <c r="J19" i="4"/>
  <c r="P18" i="4"/>
  <c r="X18" i="4"/>
  <c r="U18" i="4"/>
  <c r="R18" i="4"/>
  <c r="K19" i="4"/>
  <c r="N19" i="4" l="1"/>
  <c r="E21" i="4"/>
  <c r="J20" i="4"/>
  <c r="I20" i="4"/>
  <c r="M20" i="4" s="1"/>
  <c r="D22" i="4"/>
  <c r="K21" i="4"/>
  <c r="K20" i="4"/>
  <c r="N20" i="4" s="1"/>
  <c r="R20" i="4" l="1"/>
  <c r="P20" i="4"/>
  <c r="U20" i="4"/>
  <c r="X20" i="4"/>
  <c r="D23" i="4"/>
  <c r="K22" i="4"/>
  <c r="I21" i="4"/>
  <c r="M21" i="4" s="1"/>
  <c r="N21" i="4" s="1"/>
  <c r="E22" i="4"/>
  <c r="J21" i="4"/>
  <c r="P19" i="4"/>
  <c r="U19" i="4"/>
  <c r="R19" i="4"/>
  <c r="X19" i="4"/>
  <c r="R21" i="4" l="1"/>
  <c r="P21" i="4"/>
  <c r="U21" i="4"/>
  <c r="X21" i="4"/>
  <c r="D24" i="4"/>
  <c r="N22" i="4"/>
  <c r="E23" i="4"/>
  <c r="J22" i="4"/>
  <c r="I22" i="4"/>
  <c r="M22" i="4" s="1"/>
  <c r="E24" i="4" l="1"/>
  <c r="J23" i="4"/>
  <c r="I23" i="4"/>
  <c r="P22" i="4"/>
  <c r="R22" i="4"/>
  <c r="U22" i="4"/>
  <c r="X22" i="4"/>
  <c r="K23" i="4"/>
  <c r="K24" i="4"/>
  <c r="D25" i="4"/>
  <c r="N23" i="4" l="1"/>
  <c r="M23" i="4"/>
  <c r="D26" i="4"/>
  <c r="E25" i="4"/>
  <c r="J24" i="4"/>
  <c r="I24" i="4"/>
  <c r="M24" i="4" s="1"/>
  <c r="N24" i="4" s="1"/>
  <c r="P24" i="4" l="1"/>
  <c r="R24" i="4"/>
  <c r="U24" i="4"/>
  <c r="X24" i="4"/>
  <c r="P23" i="4"/>
  <c r="R23" i="4"/>
  <c r="U23" i="4"/>
  <c r="X23" i="4"/>
  <c r="I25" i="4"/>
  <c r="E26" i="4"/>
  <c r="K26" i="4" s="1"/>
  <c r="J25" i="4"/>
  <c r="K25" i="4"/>
  <c r="D27" i="4"/>
  <c r="D28" i="4" l="1"/>
  <c r="E27" i="4"/>
  <c r="J26" i="4"/>
  <c r="I26" i="4"/>
  <c r="M26" i="4" s="1"/>
  <c r="N26" i="4" s="1"/>
  <c r="M25" i="4"/>
  <c r="N25" i="4" s="1"/>
  <c r="P25" i="4" l="1"/>
  <c r="U25" i="4"/>
  <c r="R25" i="4"/>
  <c r="X25" i="4"/>
  <c r="P26" i="4"/>
  <c r="R26" i="4"/>
  <c r="U26" i="4"/>
  <c r="X26" i="4"/>
  <c r="E28" i="4"/>
  <c r="J27" i="4"/>
  <c r="I27" i="4"/>
  <c r="K28" i="4"/>
  <c r="D29" i="4"/>
  <c r="K27" i="4"/>
  <c r="D30" i="4" l="1"/>
  <c r="M27" i="4"/>
  <c r="N27" i="4" s="1"/>
  <c r="I28" i="4"/>
  <c r="E29" i="4"/>
  <c r="J28" i="4"/>
  <c r="R27" i="4" l="1"/>
  <c r="P27" i="4"/>
  <c r="U27" i="4"/>
  <c r="X27" i="4"/>
  <c r="I29" i="4"/>
  <c r="M29" i="4" s="1"/>
  <c r="E30" i="4"/>
  <c r="J29" i="4"/>
  <c r="K29" i="4"/>
  <c r="M28" i="4"/>
  <c r="N28" i="4" s="1"/>
  <c r="K30" i="4"/>
  <c r="D31" i="4"/>
  <c r="D32" i="4" l="1"/>
  <c r="U28" i="4"/>
  <c r="R28" i="4"/>
  <c r="P28" i="4"/>
  <c r="X28" i="4"/>
  <c r="N29" i="4"/>
  <c r="E31" i="4"/>
  <c r="J30" i="4"/>
  <c r="I30" i="4"/>
  <c r="M30" i="4" s="1"/>
  <c r="N30" i="4" s="1"/>
  <c r="U30" i="4" l="1"/>
  <c r="R30" i="4"/>
  <c r="P30" i="4"/>
  <c r="X30" i="4"/>
  <c r="E32" i="4"/>
  <c r="J31" i="4"/>
  <c r="I31" i="4"/>
  <c r="M31" i="4" s="1"/>
  <c r="U29" i="4"/>
  <c r="R29" i="4"/>
  <c r="P29" i="4"/>
  <c r="X29" i="4"/>
  <c r="D33" i="4"/>
  <c r="K32" i="4"/>
  <c r="K31" i="4"/>
  <c r="N31" i="4" l="1"/>
  <c r="N32" i="4"/>
  <c r="J32" i="4"/>
  <c r="I32" i="4"/>
  <c r="M32" i="4" s="1"/>
  <c r="E33" i="4"/>
  <c r="D34" i="4"/>
  <c r="K33" i="4"/>
  <c r="P31" i="4" l="1"/>
  <c r="R31" i="4"/>
  <c r="X31" i="4"/>
  <c r="U31" i="4"/>
  <c r="K34" i="4"/>
  <c r="D35" i="4"/>
  <c r="I33" i="4"/>
  <c r="M33" i="4" s="1"/>
  <c r="N33" i="4" s="1"/>
  <c r="J33" i="4"/>
  <c r="E34" i="4"/>
  <c r="P32" i="4"/>
  <c r="R32" i="4"/>
  <c r="U32" i="4"/>
  <c r="X32" i="4"/>
  <c r="P33" i="4" l="1"/>
  <c r="R33" i="4"/>
  <c r="U33" i="4"/>
  <c r="X33" i="4"/>
  <c r="K35" i="4"/>
  <c r="D36" i="4"/>
  <c r="J34" i="4"/>
  <c r="I34" i="4"/>
  <c r="E35" i="4"/>
  <c r="D37" i="4" l="1"/>
  <c r="J35" i="4"/>
  <c r="I35" i="4"/>
  <c r="M35" i="4" s="1"/>
  <c r="N35" i="4" s="1"/>
  <c r="E36" i="4"/>
  <c r="M34" i="4"/>
  <c r="N34" i="4" s="1"/>
  <c r="U35" i="4" l="1"/>
  <c r="P35" i="4"/>
  <c r="X35" i="4"/>
  <c r="R35" i="4"/>
  <c r="P34" i="4"/>
  <c r="U34" i="4"/>
  <c r="R34" i="4"/>
  <c r="X34" i="4"/>
  <c r="J36" i="4"/>
  <c r="E37" i="4"/>
  <c r="I36" i="4"/>
  <c r="M36" i="4" s="1"/>
  <c r="K36" i="4"/>
  <c r="D38" i="4"/>
  <c r="K37" i="4"/>
  <c r="D39" i="4" l="1"/>
  <c r="N36" i="4"/>
  <c r="J37" i="4"/>
  <c r="E38" i="4"/>
  <c r="I37" i="4"/>
  <c r="M37" i="4" s="1"/>
  <c r="N37" i="4" s="1"/>
  <c r="U37" i="4" l="1"/>
  <c r="R37" i="4"/>
  <c r="P37" i="4"/>
  <c r="X37" i="4"/>
  <c r="J38" i="4"/>
  <c r="E39" i="4"/>
  <c r="I38" i="4"/>
  <c r="M38" i="4" s="1"/>
  <c r="P36" i="4"/>
  <c r="R36" i="4"/>
  <c r="U36" i="4"/>
  <c r="X36" i="4"/>
  <c r="K38" i="4"/>
  <c r="K39" i="4"/>
  <c r="D40" i="4"/>
  <c r="D41" i="4" l="1"/>
  <c r="J39" i="4"/>
  <c r="E40" i="4"/>
  <c r="I39" i="4"/>
  <c r="M39" i="4" s="1"/>
  <c r="N39" i="4" s="1"/>
  <c r="N38" i="4"/>
  <c r="P39" i="4" l="1"/>
  <c r="U39" i="4"/>
  <c r="R39" i="4"/>
  <c r="X39" i="4"/>
  <c r="R38" i="4"/>
  <c r="P38" i="4"/>
  <c r="X38" i="4"/>
  <c r="U38" i="4"/>
  <c r="J40" i="4"/>
  <c r="E41" i="4"/>
  <c r="I40" i="4"/>
  <c r="M40" i="4" s="1"/>
  <c r="K40" i="4"/>
  <c r="N40" i="4" s="1"/>
  <c r="K41" i="4"/>
  <c r="D42" i="4"/>
  <c r="P40" i="4" l="1"/>
  <c r="R40" i="4"/>
  <c r="X40" i="4"/>
  <c r="U40" i="4"/>
  <c r="J41" i="4"/>
  <c r="E42" i="4"/>
  <c r="I41" i="4"/>
  <c r="M41" i="4" s="1"/>
  <c r="N41" i="4" s="1"/>
  <c r="D43" i="4"/>
  <c r="P41" i="4" l="1"/>
  <c r="U41" i="4"/>
  <c r="X41" i="4"/>
  <c r="R41" i="4"/>
  <c r="J42" i="4"/>
  <c r="E43" i="4"/>
  <c r="I42" i="4"/>
  <c r="M42" i="4" s="1"/>
  <c r="D44" i="4"/>
  <c r="K42" i="4"/>
  <c r="D45" i="4" l="1"/>
  <c r="I43" i="4"/>
  <c r="E44" i="4"/>
  <c r="J43" i="4"/>
  <c r="N42" i="4"/>
  <c r="K43" i="4"/>
  <c r="P42" i="4" l="1"/>
  <c r="R42" i="4"/>
  <c r="U42" i="4"/>
  <c r="X42" i="4"/>
  <c r="M43" i="4"/>
  <c r="N43" i="4" s="1"/>
  <c r="D46" i="4"/>
  <c r="K45" i="4"/>
  <c r="E45" i="4"/>
  <c r="J44" i="4"/>
  <c r="I44" i="4"/>
  <c r="M44" i="4" s="1"/>
  <c r="K44" i="4"/>
  <c r="N44" i="4" s="1"/>
  <c r="U43" i="4" l="1"/>
  <c r="P43" i="4"/>
  <c r="R43" i="4"/>
  <c r="X43" i="4"/>
  <c r="D47" i="4"/>
  <c r="K46" i="4"/>
  <c r="P44" i="4"/>
  <c r="R44" i="4"/>
  <c r="U44" i="4"/>
  <c r="X44" i="4"/>
  <c r="E46" i="4"/>
  <c r="J45" i="4"/>
  <c r="I45" i="4"/>
  <c r="M45" i="4" s="1"/>
  <c r="N45" i="4" s="1"/>
  <c r="U45" i="4" l="1"/>
  <c r="R45" i="4"/>
  <c r="P45" i="4"/>
  <c r="X45" i="4"/>
  <c r="D48" i="4"/>
  <c r="K47" i="4"/>
  <c r="J46" i="4"/>
  <c r="I46" i="4"/>
  <c r="E47" i="4"/>
  <c r="D49" i="4" l="1"/>
  <c r="E48" i="4"/>
  <c r="J47" i="4"/>
  <c r="I47" i="4"/>
  <c r="M47" i="4" s="1"/>
  <c r="N47" i="4" s="1"/>
  <c r="M46" i="4"/>
  <c r="N46" i="4" s="1"/>
  <c r="P47" i="4" l="1"/>
  <c r="R47" i="4"/>
  <c r="U47" i="4"/>
  <c r="X47" i="4"/>
  <c r="E49" i="4"/>
  <c r="I48" i="4"/>
  <c r="M48" i="4" s="1"/>
  <c r="J48" i="4"/>
  <c r="K48" i="4"/>
  <c r="N48" i="4" s="1"/>
  <c r="P46" i="4"/>
  <c r="U46" i="4"/>
  <c r="R46" i="4"/>
  <c r="X46" i="4"/>
  <c r="K49" i="4"/>
  <c r="D50" i="4"/>
  <c r="D51" i="4" l="1"/>
  <c r="E50" i="4"/>
  <c r="J49" i="4"/>
  <c r="I49" i="4"/>
  <c r="P48" i="4"/>
  <c r="U48" i="4"/>
  <c r="R48" i="4"/>
  <c r="X48" i="4"/>
  <c r="J50" i="4" l="1"/>
  <c r="E51" i="4"/>
  <c r="I50" i="4"/>
  <c r="M50" i="4" s="1"/>
  <c r="M49" i="4"/>
  <c r="N49" i="4" s="1"/>
  <c r="K50" i="4"/>
  <c r="N50" i="4" s="1"/>
  <c r="D52" i="4"/>
  <c r="K51" i="4"/>
  <c r="D53" i="4" l="1"/>
  <c r="P49" i="4"/>
  <c r="X49" i="4"/>
  <c r="U49" i="4"/>
  <c r="R49" i="4"/>
  <c r="P50" i="4"/>
  <c r="R50" i="4"/>
  <c r="U50" i="4"/>
  <c r="X50" i="4"/>
  <c r="E52" i="4"/>
  <c r="J51" i="4"/>
  <c r="I51" i="4"/>
  <c r="M51" i="4" s="1"/>
  <c r="N51" i="4" s="1"/>
  <c r="P51" i="4" l="1"/>
  <c r="U51" i="4"/>
  <c r="R51" i="4"/>
  <c r="X51" i="4"/>
  <c r="E53" i="4"/>
  <c r="J52" i="4"/>
  <c r="I52" i="4"/>
  <c r="K52" i="4"/>
  <c r="D54" i="4"/>
  <c r="K53" i="4"/>
  <c r="D55" i="4" l="1"/>
  <c r="M52" i="4"/>
  <c r="N52" i="4" s="1"/>
  <c r="E54" i="4"/>
  <c r="I53" i="4"/>
  <c r="J53" i="4"/>
  <c r="P52" i="4" l="1"/>
  <c r="R52" i="4"/>
  <c r="U52" i="4"/>
  <c r="X52" i="4"/>
  <c r="J54" i="4"/>
  <c r="E55" i="4"/>
  <c r="I54" i="4"/>
  <c r="M54" i="4" s="1"/>
  <c r="M53" i="4"/>
  <c r="N53" i="4" s="1"/>
  <c r="K54" i="4"/>
  <c r="D56" i="4"/>
  <c r="E56" i="4" l="1"/>
  <c r="J55" i="4"/>
  <c r="I55" i="4"/>
  <c r="M55" i="4" s="1"/>
  <c r="P53" i="4"/>
  <c r="R53" i="4"/>
  <c r="X53" i="4"/>
  <c r="U53" i="4"/>
  <c r="D57" i="4"/>
  <c r="K56" i="4"/>
  <c r="K55" i="4"/>
  <c r="N54" i="4"/>
  <c r="D58" i="4" l="1"/>
  <c r="P54" i="4"/>
  <c r="R54" i="4"/>
  <c r="U54" i="4"/>
  <c r="X54" i="4"/>
  <c r="N55" i="4"/>
  <c r="I56" i="4"/>
  <c r="J56" i="4"/>
  <c r="E57" i="4"/>
  <c r="P55" i="4" l="1"/>
  <c r="U55" i="4"/>
  <c r="X55" i="4"/>
  <c r="R55" i="4"/>
  <c r="J57" i="4"/>
  <c r="E58" i="4"/>
  <c r="I57" i="4"/>
  <c r="M57" i="4" s="1"/>
  <c r="K57" i="4"/>
  <c r="M56" i="4"/>
  <c r="N56" i="4" s="1"/>
  <c r="D59" i="4"/>
  <c r="J58" i="4" l="1"/>
  <c r="I58" i="4"/>
  <c r="M58" i="4" s="1"/>
  <c r="E59" i="4"/>
  <c r="D60" i="4"/>
  <c r="K59" i="4"/>
  <c r="K58" i="4"/>
  <c r="N58" i="4" s="1"/>
  <c r="N57" i="4"/>
  <c r="P56" i="4"/>
  <c r="U56" i="4"/>
  <c r="X56" i="4"/>
  <c r="R56" i="4"/>
  <c r="P58" i="4" l="1"/>
  <c r="U58" i="4"/>
  <c r="R58" i="4"/>
  <c r="X58" i="4"/>
  <c r="U57" i="4"/>
  <c r="P57" i="4"/>
  <c r="R57" i="4"/>
  <c r="X57" i="4"/>
  <c r="D61" i="4"/>
  <c r="I59" i="4"/>
  <c r="M59" i="4" s="1"/>
  <c r="N59" i="4" s="1"/>
  <c r="E60" i="4"/>
  <c r="J59" i="4"/>
  <c r="P59" i="4" l="1"/>
  <c r="U59" i="4"/>
  <c r="X59" i="4"/>
  <c r="R59" i="4"/>
  <c r="D62" i="4"/>
  <c r="E61" i="4"/>
  <c r="K61" i="4" s="1"/>
  <c r="J60" i="4"/>
  <c r="I60" i="4"/>
  <c r="K60" i="4"/>
  <c r="D63" i="4" l="1"/>
  <c r="E62" i="4"/>
  <c r="J61" i="4"/>
  <c r="I61" i="4"/>
  <c r="M61" i="4" s="1"/>
  <c r="N61" i="4" s="1"/>
  <c r="M60" i="4"/>
  <c r="N60" i="4" s="1"/>
  <c r="P60" i="4" l="1"/>
  <c r="R60" i="4"/>
  <c r="U60" i="4"/>
  <c r="X60" i="4"/>
  <c r="U61" i="4"/>
  <c r="P61" i="4"/>
  <c r="X61" i="4"/>
  <c r="R61" i="4"/>
  <c r="J62" i="4"/>
  <c r="I62" i="4"/>
  <c r="M62" i="4" s="1"/>
  <c r="E63" i="4"/>
  <c r="D64" i="4"/>
  <c r="K63" i="4"/>
  <c r="K62" i="4"/>
  <c r="N62" i="4" l="1"/>
  <c r="D65" i="4"/>
  <c r="I63" i="4"/>
  <c r="E64" i="4"/>
  <c r="J63" i="4"/>
  <c r="E65" i="4" l="1"/>
  <c r="J64" i="4"/>
  <c r="I64" i="4"/>
  <c r="M64" i="4" s="1"/>
  <c r="K64" i="4"/>
  <c r="P62" i="4"/>
  <c r="U62" i="4"/>
  <c r="R62" i="4"/>
  <c r="X62" i="4"/>
  <c r="M63" i="4"/>
  <c r="N63" i="4" s="1"/>
  <c r="K65" i="4"/>
  <c r="D66" i="4"/>
  <c r="N64" i="4" l="1"/>
  <c r="D67" i="4"/>
  <c r="P63" i="4"/>
  <c r="U63" i="4"/>
  <c r="X63" i="4"/>
  <c r="R63" i="4"/>
  <c r="J65" i="4"/>
  <c r="I65" i="4"/>
  <c r="E66" i="4"/>
  <c r="J66" i="4" l="1"/>
  <c r="I66" i="4"/>
  <c r="M66" i="4" s="1"/>
  <c r="E67" i="4"/>
  <c r="D68" i="4"/>
  <c r="K67" i="4"/>
  <c r="K66" i="4"/>
  <c r="N66" i="4" s="1"/>
  <c r="M65" i="4"/>
  <c r="N65" i="4" s="1"/>
  <c r="P64" i="4"/>
  <c r="R64" i="4"/>
  <c r="U64" i="4"/>
  <c r="X64" i="4"/>
  <c r="P66" i="4" l="1"/>
  <c r="U66" i="4"/>
  <c r="R66" i="4"/>
  <c r="X66" i="4"/>
  <c r="U65" i="4"/>
  <c r="P65" i="4"/>
  <c r="R65" i="4"/>
  <c r="X65" i="4"/>
  <c r="D69" i="4"/>
  <c r="I67" i="4"/>
  <c r="E68" i="4"/>
  <c r="J67" i="4"/>
  <c r="E69" i="4" l="1"/>
  <c r="J68" i="4"/>
  <c r="I68" i="4"/>
  <c r="M68" i="4" s="1"/>
  <c r="M67" i="4"/>
  <c r="N67" i="4" s="1"/>
  <c r="K68" i="4"/>
  <c r="N68" i="4" s="1"/>
  <c r="K69" i="4"/>
  <c r="D70" i="4"/>
  <c r="P68" i="4" l="1"/>
  <c r="R68" i="4"/>
  <c r="U68" i="4"/>
  <c r="X68" i="4"/>
  <c r="D71" i="4"/>
  <c r="P67" i="4"/>
  <c r="U67" i="4"/>
  <c r="R67" i="4"/>
  <c r="X67" i="4"/>
  <c r="J69" i="4"/>
  <c r="I69" i="4"/>
  <c r="M69" i="4" s="1"/>
  <c r="N69" i="4" s="1"/>
  <c r="E70" i="4"/>
  <c r="U69" i="4" l="1"/>
  <c r="P69" i="4"/>
  <c r="R69" i="4"/>
  <c r="X69" i="4"/>
  <c r="D72" i="4"/>
  <c r="K71" i="4"/>
  <c r="J70" i="4"/>
  <c r="I70" i="4"/>
  <c r="M70" i="4" s="1"/>
  <c r="E71" i="4"/>
  <c r="K70" i="4"/>
  <c r="D73" i="4" l="1"/>
  <c r="N70" i="4"/>
  <c r="I71" i="4"/>
  <c r="E72" i="4"/>
  <c r="J71" i="4"/>
  <c r="E73" i="4" l="1"/>
  <c r="J72" i="4"/>
  <c r="I72" i="4"/>
  <c r="M71" i="4"/>
  <c r="N71" i="4" s="1"/>
  <c r="P70" i="4"/>
  <c r="R70" i="4"/>
  <c r="U70" i="4"/>
  <c r="X70" i="4"/>
  <c r="K72" i="4"/>
  <c r="D74" i="4"/>
  <c r="K73" i="4"/>
  <c r="P71" i="4" l="1"/>
  <c r="U71" i="4"/>
  <c r="R71" i="4"/>
  <c r="X71" i="4"/>
  <c r="M72" i="4"/>
  <c r="N72" i="4" s="1"/>
  <c r="K74" i="4"/>
  <c r="D75" i="4"/>
  <c r="E74" i="4"/>
  <c r="I73" i="4"/>
  <c r="J73" i="4"/>
  <c r="P72" i="4" l="1"/>
  <c r="R72" i="4"/>
  <c r="U72" i="4"/>
  <c r="X72" i="4"/>
  <c r="D76" i="4"/>
  <c r="K75" i="4"/>
  <c r="M73" i="4"/>
  <c r="N73" i="4" s="1"/>
  <c r="J74" i="4"/>
  <c r="I74" i="4"/>
  <c r="M74" i="4" s="1"/>
  <c r="N74" i="4" s="1"/>
  <c r="E75" i="4"/>
  <c r="P74" i="4" l="1"/>
  <c r="R74" i="4"/>
  <c r="U74" i="4"/>
  <c r="X74" i="4"/>
  <c r="U73" i="4"/>
  <c r="P73" i="4"/>
  <c r="X73" i="4"/>
  <c r="R73" i="4"/>
  <c r="D77" i="4"/>
  <c r="I75" i="4"/>
  <c r="E76" i="4"/>
  <c r="K76" i="4" s="1"/>
  <c r="J75" i="4"/>
  <c r="M75" i="4" l="1"/>
  <c r="N75" i="4" s="1"/>
  <c r="E77" i="4"/>
  <c r="I76" i="4"/>
  <c r="J76" i="4"/>
  <c r="D78" i="4"/>
  <c r="K77" i="4"/>
  <c r="D79" i="4" l="1"/>
  <c r="M76" i="4"/>
  <c r="N76" i="4" s="1"/>
  <c r="I77" i="4"/>
  <c r="E78" i="4"/>
  <c r="J77" i="4"/>
  <c r="P75" i="4"/>
  <c r="U75" i="4"/>
  <c r="X75" i="4"/>
  <c r="R75" i="4"/>
  <c r="J78" i="4" l="1"/>
  <c r="I78" i="4"/>
  <c r="M78" i="4" s="1"/>
  <c r="E79" i="4"/>
  <c r="M77" i="4"/>
  <c r="N77" i="4" s="1"/>
  <c r="P76" i="4"/>
  <c r="R76" i="4"/>
  <c r="U76" i="4"/>
  <c r="X76" i="4"/>
  <c r="D80" i="4"/>
  <c r="K78" i="4"/>
  <c r="N78" i="4" s="1"/>
  <c r="R78" i="4" l="1"/>
  <c r="P78" i="4"/>
  <c r="X78" i="4"/>
  <c r="U78" i="4"/>
  <c r="I79" i="4"/>
  <c r="E80" i="4"/>
  <c r="J79" i="4"/>
  <c r="D81" i="4"/>
  <c r="U77" i="4"/>
  <c r="P77" i="4"/>
  <c r="X77" i="4"/>
  <c r="R77" i="4"/>
  <c r="K79" i="4"/>
  <c r="D82" i="4" l="1"/>
  <c r="M79" i="4"/>
  <c r="N79" i="4" s="1"/>
  <c r="E81" i="4"/>
  <c r="J80" i="4"/>
  <c r="I80" i="4"/>
  <c r="M80" i="4" s="1"/>
  <c r="K80" i="4"/>
  <c r="N80" i="4" s="1"/>
  <c r="P79" i="4" l="1"/>
  <c r="U79" i="4"/>
  <c r="R79" i="4"/>
  <c r="X79" i="4"/>
  <c r="P80" i="4"/>
  <c r="R80" i="4"/>
  <c r="U80" i="4"/>
  <c r="X80" i="4"/>
  <c r="J81" i="4"/>
  <c r="I81" i="4"/>
  <c r="E82" i="4"/>
  <c r="K81" i="4"/>
  <c r="K82" i="4"/>
  <c r="D83" i="4"/>
  <c r="D84" i="4" l="1"/>
  <c r="I82" i="4"/>
  <c r="J82" i="4"/>
  <c r="E83" i="4"/>
  <c r="M81" i="4"/>
  <c r="N81" i="4" s="1"/>
  <c r="P81" i="4" l="1"/>
  <c r="U81" i="4"/>
  <c r="R81" i="4"/>
  <c r="X81" i="4"/>
  <c r="E84" i="4"/>
  <c r="J83" i="4"/>
  <c r="I83" i="4"/>
  <c r="M83" i="4" s="1"/>
  <c r="M82" i="4"/>
  <c r="N82" i="4" s="1"/>
  <c r="D85" i="4"/>
  <c r="K84" i="4"/>
  <c r="K83" i="4"/>
  <c r="N83" i="4" s="1"/>
  <c r="E85" i="4" l="1"/>
  <c r="J84" i="4"/>
  <c r="I84" i="4"/>
  <c r="M84" i="4" s="1"/>
  <c r="K85" i="4"/>
  <c r="D86" i="4"/>
  <c r="U82" i="4"/>
  <c r="P82" i="4"/>
  <c r="R82" i="4"/>
  <c r="X82" i="4"/>
  <c r="P83" i="4"/>
  <c r="R83" i="4"/>
  <c r="U83" i="4"/>
  <c r="X83" i="4"/>
  <c r="N84" i="4"/>
  <c r="P84" i="4" l="1"/>
  <c r="R84" i="4"/>
  <c r="U84" i="4"/>
  <c r="X84" i="4"/>
  <c r="N85" i="4"/>
  <c r="D87" i="4"/>
  <c r="K86" i="4"/>
  <c r="E86" i="4"/>
  <c r="J85" i="4"/>
  <c r="I85" i="4"/>
  <c r="M85" i="4" s="1"/>
  <c r="P85" i="4" l="1"/>
  <c r="R85" i="4"/>
  <c r="U85" i="4"/>
  <c r="X85" i="4"/>
  <c r="J86" i="4"/>
  <c r="I86" i="4"/>
  <c r="M86" i="4" s="1"/>
  <c r="N86" i="4" s="1"/>
  <c r="E87" i="4"/>
  <c r="D88" i="4"/>
  <c r="U86" i="4" l="1"/>
  <c r="P86" i="4"/>
  <c r="R86" i="4"/>
  <c r="X86" i="4"/>
  <c r="E88" i="4"/>
  <c r="J87" i="4"/>
  <c r="I87" i="4"/>
  <c r="K87" i="4"/>
  <c r="D89" i="4"/>
  <c r="M87" i="4" l="1"/>
  <c r="N87" i="4"/>
  <c r="E89" i="4"/>
  <c r="J88" i="4"/>
  <c r="I88" i="4"/>
  <c r="M88" i="4" s="1"/>
  <c r="K88" i="4"/>
  <c r="N88" i="4" s="1"/>
  <c r="K89" i="4"/>
  <c r="D90" i="4"/>
  <c r="D91" i="4" l="1"/>
  <c r="E90" i="4"/>
  <c r="J89" i="4"/>
  <c r="I89" i="4"/>
  <c r="P88" i="4"/>
  <c r="R88" i="4"/>
  <c r="U88" i="4"/>
  <c r="X88" i="4"/>
  <c r="R87" i="4"/>
  <c r="P87" i="4"/>
  <c r="X87" i="4"/>
  <c r="U87" i="4"/>
  <c r="M89" i="4" l="1"/>
  <c r="N89" i="4" s="1"/>
  <c r="E91" i="4"/>
  <c r="I90" i="4"/>
  <c r="M90" i="4" s="1"/>
  <c r="J90" i="4"/>
  <c r="K90" i="4"/>
  <c r="N90" i="4" s="1"/>
  <c r="D92" i="4"/>
  <c r="K91" i="4"/>
  <c r="P90" i="4" l="1"/>
  <c r="R90" i="4"/>
  <c r="X90" i="4"/>
  <c r="U90" i="4"/>
  <c r="D93" i="4"/>
  <c r="J91" i="4"/>
  <c r="E92" i="4"/>
  <c r="K92" i="4" s="1"/>
  <c r="I91" i="4"/>
  <c r="P89" i="4"/>
  <c r="X89" i="4"/>
  <c r="R89" i="4"/>
  <c r="U89" i="4"/>
  <c r="J92" i="4" l="1"/>
  <c r="E93" i="4"/>
  <c r="I92" i="4"/>
  <c r="M92" i="4" s="1"/>
  <c r="N92" i="4" s="1"/>
  <c r="D94" i="4"/>
  <c r="K93" i="4"/>
  <c r="M91" i="4"/>
  <c r="N91" i="4" s="1"/>
  <c r="P92" i="4" l="1"/>
  <c r="U92" i="4"/>
  <c r="R92" i="4"/>
  <c r="X92" i="4"/>
  <c r="N93" i="4"/>
  <c r="D95" i="4"/>
  <c r="E94" i="4"/>
  <c r="K94" i="4" s="1"/>
  <c r="J93" i="4"/>
  <c r="I93" i="4"/>
  <c r="M93" i="4" s="1"/>
  <c r="R91" i="4"/>
  <c r="P91" i="4"/>
  <c r="U91" i="4"/>
  <c r="X91" i="4"/>
  <c r="D96" i="4" l="1"/>
  <c r="E95" i="4"/>
  <c r="J94" i="4"/>
  <c r="I94" i="4"/>
  <c r="M94" i="4" s="1"/>
  <c r="N94" i="4" s="1"/>
  <c r="P93" i="4"/>
  <c r="U93" i="4"/>
  <c r="R93" i="4"/>
  <c r="X93" i="4"/>
  <c r="P94" i="4" l="1"/>
  <c r="U94" i="4"/>
  <c r="R94" i="4"/>
  <c r="X94" i="4"/>
  <c r="E96" i="4"/>
  <c r="I95" i="4"/>
  <c r="J95" i="4"/>
  <c r="K95" i="4"/>
  <c r="D97" i="4"/>
  <c r="M95" i="4" l="1"/>
  <c r="N95" i="4" s="1"/>
  <c r="J96" i="4"/>
  <c r="E97" i="4"/>
  <c r="I96" i="4"/>
  <c r="M96" i="4" s="1"/>
  <c r="K96" i="4"/>
  <c r="N96" i="4" s="1"/>
  <c r="K97" i="4"/>
  <c r="D98" i="4"/>
  <c r="P95" i="4" l="1"/>
  <c r="U95" i="4"/>
  <c r="R95" i="4"/>
  <c r="X95" i="4"/>
  <c r="D99" i="4"/>
  <c r="P96" i="4"/>
  <c r="R96" i="4"/>
  <c r="U96" i="4"/>
  <c r="X96" i="4"/>
  <c r="J97" i="4"/>
  <c r="E98" i="4"/>
  <c r="I97" i="4"/>
  <c r="M97" i="4" s="1"/>
  <c r="N97" i="4" s="1"/>
  <c r="P97" i="4" l="1"/>
  <c r="R97" i="4"/>
  <c r="U97" i="4"/>
  <c r="X97" i="4"/>
  <c r="I98" i="4"/>
  <c r="M98" i="4" s="1"/>
  <c r="J98" i="4"/>
  <c r="E99" i="4"/>
  <c r="K98" i="4"/>
  <c r="N98" i="4" s="1"/>
  <c r="D100" i="4"/>
  <c r="K99" i="4"/>
  <c r="D101" i="4" l="1"/>
  <c r="P98" i="4"/>
  <c r="R98" i="4"/>
  <c r="X98" i="4"/>
  <c r="U98" i="4"/>
  <c r="I99" i="4"/>
  <c r="M99" i="4" s="1"/>
  <c r="N99" i="4" s="1"/>
  <c r="J99" i="4"/>
  <c r="E100" i="4"/>
  <c r="K100" i="4" s="1"/>
  <c r="P99" i="4" l="1"/>
  <c r="U99" i="4"/>
  <c r="R99" i="4"/>
  <c r="X99" i="4"/>
  <c r="I100" i="4"/>
  <c r="E101" i="4"/>
  <c r="J100" i="4"/>
  <c r="D102" i="4"/>
  <c r="K101" i="4"/>
  <c r="J101" i="4" l="1"/>
  <c r="I101" i="4"/>
  <c r="M101" i="4" s="1"/>
  <c r="E102" i="4"/>
  <c r="M100" i="4"/>
  <c r="N100" i="4" s="1"/>
  <c r="N101" i="4"/>
  <c r="D103" i="4"/>
  <c r="K102" i="4"/>
  <c r="D104" i="4" l="1"/>
  <c r="P101" i="4"/>
  <c r="R101" i="4"/>
  <c r="U101" i="4"/>
  <c r="X101" i="4"/>
  <c r="P100" i="4"/>
  <c r="R100" i="4"/>
  <c r="X100" i="4"/>
  <c r="U100" i="4"/>
  <c r="J102" i="4"/>
  <c r="E103" i="4"/>
  <c r="I102" i="4"/>
  <c r="M102" i="4" s="1"/>
  <c r="N102" i="4" s="1"/>
  <c r="P102" i="4" l="1"/>
  <c r="X102" i="4"/>
  <c r="U102" i="4"/>
  <c r="R102" i="4"/>
  <c r="J103" i="4"/>
  <c r="I103" i="4"/>
  <c r="M103" i="4" s="1"/>
  <c r="E104" i="4"/>
  <c r="K103" i="4"/>
  <c r="N103" i="4" s="1"/>
  <c r="D105" i="4"/>
  <c r="P103" i="4" l="1"/>
  <c r="R103" i="4"/>
  <c r="U103" i="4"/>
  <c r="X103" i="4"/>
  <c r="J104" i="4"/>
  <c r="E105" i="4"/>
  <c r="I104" i="4"/>
  <c r="M104" i="4" s="1"/>
  <c r="K105" i="4"/>
  <c r="D106" i="4"/>
  <c r="K104" i="4"/>
  <c r="J105" i="4" l="1"/>
  <c r="E106" i="4"/>
  <c r="I105" i="4"/>
  <c r="M105" i="4" s="1"/>
  <c r="N105" i="4" s="1"/>
  <c r="N104" i="4"/>
  <c r="K106" i="4"/>
  <c r="D107" i="4"/>
  <c r="P105" i="4" l="1"/>
  <c r="U105" i="4"/>
  <c r="R105" i="4"/>
  <c r="X105" i="4"/>
  <c r="D108" i="4"/>
  <c r="K107" i="4"/>
  <c r="P104" i="4"/>
  <c r="R104" i="4"/>
  <c r="U104" i="4"/>
  <c r="X104" i="4"/>
  <c r="I106" i="4"/>
  <c r="E107" i="4"/>
  <c r="J106" i="4"/>
  <c r="M106" i="4" l="1"/>
  <c r="N106" i="4" s="1"/>
  <c r="E108" i="4"/>
  <c r="J107" i="4"/>
  <c r="I107" i="4"/>
  <c r="M107" i="4" s="1"/>
  <c r="N107" i="4" s="1"/>
  <c r="K108" i="4"/>
  <c r="D109" i="4"/>
  <c r="P107" i="4" l="1"/>
  <c r="U107" i="4"/>
  <c r="R107" i="4"/>
  <c r="X107" i="4"/>
  <c r="J108" i="4"/>
  <c r="I108" i="4"/>
  <c r="M108" i="4" s="1"/>
  <c r="N108" i="4" s="1"/>
  <c r="E109" i="4"/>
  <c r="D110" i="4"/>
  <c r="P106" i="4"/>
  <c r="U106" i="4"/>
  <c r="R106" i="4"/>
  <c r="X106" i="4"/>
  <c r="P108" i="4" l="1"/>
  <c r="U108" i="4"/>
  <c r="R108" i="4"/>
  <c r="X108" i="4"/>
  <c r="J109" i="4"/>
  <c r="E110" i="4"/>
  <c r="I109" i="4"/>
  <c r="M109" i="4" s="1"/>
  <c r="K110" i="4"/>
  <c r="D111" i="4"/>
  <c r="K109" i="4"/>
  <c r="J110" i="4" l="1"/>
  <c r="I110" i="4"/>
  <c r="E111" i="4"/>
  <c r="N109" i="4"/>
  <c r="D112" i="4"/>
  <c r="K111" i="4"/>
  <c r="D113" i="4" l="1"/>
  <c r="K112" i="4"/>
  <c r="M110" i="4"/>
  <c r="N110" i="4" s="1"/>
  <c r="P109" i="4"/>
  <c r="U109" i="4"/>
  <c r="R109" i="4"/>
  <c r="X109" i="4"/>
  <c r="E112" i="4"/>
  <c r="I111" i="4"/>
  <c r="J111" i="4"/>
  <c r="P110" i="4" l="1"/>
  <c r="U110" i="4"/>
  <c r="X110" i="4"/>
  <c r="R110" i="4"/>
  <c r="M111" i="4"/>
  <c r="N111" i="4" s="1"/>
  <c r="D114" i="4"/>
  <c r="K113" i="4"/>
  <c r="E113" i="4"/>
  <c r="I112" i="4"/>
  <c r="J112" i="4"/>
  <c r="D115" i="4" l="1"/>
  <c r="K114" i="4"/>
  <c r="P111" i="4"/>
  <c r="U111" i="4"/>
  <c r="R111" i="4"/>
  <c r="X111" i="4"/>
  <c r="M112" i="4"/>
  <c r="N112" i="4" s="1"/>
  <c r="J113" i="4"/>
  <c r="I113" i="4"/>
  <c r="M113" i="4" s="1"/>
  <c r="N113" i="4" s="1"/>
  <c r="E114" i="4"/>
  <c r="R113" i="4" l="1"/>
  <c r="P113" i="4"/>
  <c r="U113" i="4"/>
  <c r="X113" i="4"/>
  <c r="P112" i="4"/>
  <c r="U112" i="4"/>
  <c r="R112" i="4"/>
  <c r="X112" i="4"/>
  <c r="J114" i="4"/>
  <c r="I114" i="4"/>
  <c r="E115" i="4"/>
  <c r="D116" i="4"/>
  <c r="K115" i="4"/>
  <c r="D117" i="4" l="1"/>
  <c r="E116" i="4"/>
  <c r="K116" i="4" s="1"/>
  <c r="J115" i="4"/>
  <c r="I115" i="4"/>
  <c r="M115" i="4" s="1"/>
  <c r="N115" i="4" s="1"/>
  <c r="M114" i="4"/>
  <c r="N114" i="4" s="1"/>
  <c r="P115" i="4" l="1"/>
  <c r="R115" i="4"/>
  <c r="U115" i="4"/>
  <c r="X115" i="4"/>
  <c r="P114" i="4"/>
  <c r="X114" i="4"/>
  <c r="R114" i="4"/>
  <c r="U114" i="4"/>
  <c r="D118" i="4"/>
  <c r="E117" i="4"/>
  <c r="J116" i="4"/>
  <c r="I116" i="4"/>
  <c r="M116" i="4" s="1"/>
  <c r="N116" i="4" s="1"/>
  <c r="P116" i="4" l="1"/>
  <c r="U116" i="4"/>
  <c r="R116" i="4"/>
  <c r="X116" i="4"/>
  <c r="D119" i="4"/>
  <c r="K118" i="4"/>
  <c r="J117" i="4"/>
  <c r="E118" i="4"/>
  <c r="I117" i="4"/>
  <c r="K117" i="4"/>
  <c r="E119" i="4" l="1"/>
  <c r="J118" i="4"/>
  <c r="I118" i="4"/>
  <c r="M118" i="4" s="1"/>
  <c r="D120" i="4"/>
  <c r="K119" i="4"/>
  <c r="N118" i="4"/>
  <c r="M117" i="4"/>
  <c r="N117" i="4" s="1"/>
  <c r="P117" i="4" l="1"/>
  <c r="R117" i="4"/>
  <c r="U117" i="4"/>
  <c r="X117" i="4"/>
  <c r="P118" i="4"/>
  <c r="X118" i="4"/>
  <c r="U118" i="4"/>
  <c r="R118" i="4"/>
  <c r="D121" i="4"/>
  <c r="E120" i="4"/>
  <c r="J119" i="4"/>
  <c r="I119" i="4"/>
  <c r="M119" i="4" s="1"/>
  <c r="N119" i="4" s="1"/>
  <c r="P119" i="4" l="1"/>
  <c r="R119" i="4"/>
  <c r="X119" i="4"/>
  <c r="U119" i="4"/>
  <c r="E121" i="4"/>
  <c r="J120" i="4"/>
  <c r="I120" i="4"/>
  <c r="M120" i="4" s="1"/>
  <c r="K120" i="4"/>
  <c r="D122" i="4"/>
  <c r="N120" i="4" l="1"/>
  <c r="J121" i="4"/>
  <c r="E122" i="4"/>
  <c r="I121" i="4"/>
  <c r="M121" i="4" s="1"/>
  <c r="D123" i="4"/>
  <c r="K122" i="4"/>
  <c r="K121" i="4"/>
  <c r="N121" i="4" s="1"/>
  <c r="P121" i="4" l="1"/>
  <c r="R121" i="4"/>
  <c r="U121" i="4"/>
  <c r="X121" i="4"/>
  <c r="D124" i="4"/>
  <c r="E123" i="4"/>
  <c r="J122" i="4"/>
  <c r="I122" i="4"/>
  <c r="M122" i="4" s="1"/>
  <c r="N122" i="4" s="1"/>
  <c r="P120" i="4"/>
  <c r="R120" i="4"/>
  <c r="U120" i="4"/>
  <c r="X120" i="4"/>
  <c r="P122" i="4" l="1"/>
  <c r="X122" i="4"/>
  <c r="R122" i="4"/>
  <c r="U122" i="4"/>
  <c r="E124" i="4"/>
  <c r="J123" i="4"/>
  <c r="I123" i="4"/>
  <c r="M123" i="4" s="1"/>
  <c r="K123" i="4"/>
  <c r="D125" i="4"/>
  <c r="K124" i="4"/>
  <c r="N123" i="4" l="1"/>
  <c r="J124" i="4"/>
  <c r="E125" i="4"/>
  <c r="I124" i="4"/>
  <c r="M124" i="4" s="1"/>
  <c r="N124" i="4" s="1"/>
  <c r="D126" i="4"/>
  <c r="K125" i="4"/>
  <c r="P124" i="4" l="1"/>
  <c r="R124" i="4"/>
  <c r="U124" i="4"/>
  <c r="X124" i="4"/>
  <c r="D127" i="4"/>
  <c r="K126" i="4"/>
  <c r="J125" i="4"/>
  <c r="E126" i="4"/>
  <c r="I125" i="4"/>
  <c r="P123" i="4"/>
  <c r="R123" i="4"/>
  <c r="X123" i="4"/>
  <c r="U123" i="4"/>
  <c r="M125" i="4" l="1"/>
  <c r="N125" i="4" s="1"/>
  <c r="D128" i="4"/>
  <c r="J126" i="4"/>
  <c r="I126" i="4"/>
  <c r="M126" i="4" s="1"/>
  <c r="N126" i="4" s="1"/>
  <c r="E127" i="4"/>
  <c r="K127" i="4" s="1"/>
  <c r="U126" i="4" l="1"/>
  <c r="P126" i="4"/>
  <c r="X126" i="4"/>
  <c r="R126" i="4"/>
  <c r="E128" i="4"/>
  <c r="I127" i="4"/>
  <c r="J127" i="4"/>
  <c r="P125" i="4"/>
  <c r="R125" i="4"/>
  <c r="U125" i="4"/>
  <c r="X125" i="4"/>
  <c r="D129" i="4"/>
  <c r="D130" i="4" l="1"/>
  <c r="E129" i="4"/>
  <c r="J128" i="4"/>
  <c r="I128" i="4"/>
  <c r="M128" i="4" s="1"/>
  <c r="M127" i="4"/>
  <c r="N127" i="4" s="1"/>
  <c r="K128" i="4"/>
  <c r="N128" i="4" s="1"/>
  <c r="P128" i="4" l="1"/>
  <c r="U128" i="4"/>
  <c r="X128" i="4"/>
  <c r="R128" i="4"/>
  <c r="P127" i="4"/>
  <c r="U127" i="4"/>
  <c r="R127" i="4"/>
  <c r="X127" i="4"/>
  <c r="J129" i="4"/>
  <c r="I129" i="4"/>
  <c r="E130" i="4"/>
  <c r="K130" i="4"/>
  <c r="D131" i="4"/>
  <c r="K129" i="4"/>
  <c r="D132" i="4" l="1"/>
  <c r="M129" i="4"/>
  <c r="N129" i="4" s="1"/>
  <c r="I130" i="4"/>
  <c r="E131" i="4"/>
  <c r="K131" i="4" s="1"/>
  <c r="J130" i="4"/>
  <c r="P129" i="4" l="1"/>
  <c r="X129" i="4"/>
  <c r="R129" i="4"/>
  <c r="U129" i="4"/>
  <c r="M130" i="4"/>
  <c r="N130" i="4" s="1"/>
  <c r="K132" i="4"/>
  <c r="I131" i="4"/>
  <c r="M131" i="4" s="1"/>
  <c r="N131" i="4" s="1"/>
  <c r="J131" i="4"/>
  <c r="E132" i="4"/>
  <c r="P131" i="4" l="1"/>
  <c r="R131" i="4"/>
  <c r="X131" i="4"/>
  <c r="U131" i="4"/>
  <c r="P130" i="4"/>
  <c r="U130" i="4"/>
  <c r="X130" i="4"/>
  <c r="R130" i="4"/>
  <c r="I132" i="4"/>
  <c r="J132" i="4"/>
  <c r="M132" i="4" l="1"/>
  <c r="N132" i="4" s="1"/>
  <c r="P132" i="4" l="1"/>
  <c r="X132" i="4"/>
  <c r="R132" i="4"/>
  <c r="U132" i="4"/>
  <c r="N1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41" authorId="0" shapeId="0" xr:uid="{00000000-0006-0000-0000-000006000000}">
      <text>
        <r>
          <rPr>
            <sz val="12"/>
            <color theme="1"/>
            <rFont val="Aptos Narrow"/>
            <scheme val="minor"/>
          </rPr>
          <t>======
ID#AAABlWzzpC8
Commercial    (2022-05-22 02:06:18)
ICI 14 Apr</t>
        </r>
      </text>
    </comment>
    <comment ref="B548" authorId="0" shapeId="0" xr:uid="{00000000-0006-0000-0000-000003000000}">
      <text>
        <r>
          <rPr>
            <sz val="12"/>
            <color theme="1"/>
            <rFont val="Aptos Narrow"/>
            <scheme val="minor"/>
          </rPr>
          <t>======
ID#AAABlWzzpDA
Commercial    (2022-06-13 08:16:30)
published on June 1</t>
        </r>
      </text>
    </comment>
    <comment ref="C548" authorId="0" shapeId="0" xr:uid="{00000000-0006-0000-0000-000001000000}">
      <text>
        <r>
          <rPr>
            <sz val="12"/>
            <color theme="1"/>
            <rFont val="Aptos Narrow"/>
            <scheme val="minor"/>
          </rPr>
          <t>======
ID#AAABlWzzpDI
Commercial    (2022-06-13 08:16:30)
published on June 1</t>
        </r>
      </text>
    </comment>
    <comment ref="D548" authorId="0" shapeId="0" xr:uid="{00000000-0006-0000-0000-000002000000}">
      <text>
        <r>
          <rPr>
            <sz val="12"/>
            <color theme="1"/>
            <rFont val="Aptos Narrow"/>
            <scheme val="minor"/>
          </rPr>
          <t>======
ID#AAABlWzzpDM
Commercial    (2022-06-13 08:16:30)
published on June 1</t>
        </r>
      </text>
    </comment>
    <comment ref="E548" authorId="0" shapeId="0" xr:uid="{00000000-0006-0000-0000-000005000000}">
      <text>
        <r>
          <rPr>
            <sz val="12"/>
            <color theme="1"/>
            <rFont val="Aptos Narrow"/>
            <scheme val="minor"/>
          </rPr>
          <t>======
ID#AAABlWzzpC4
Commercial    (2022-06-13 08:16:30)
published on June 1</t>
        </r>
      </text>
    </comment>
    <comment ref="F548" authorId="0" shapeId="0" xr:uid="{00000000-0006-0000-0000-000004000000}">
      <text>
        <r>
          <rPr>
            <sz val="12"/>
            <color theme="1"/>
            <rFont val="Aptos Narrow"/>
            <scheme val="minor"/>
          </rPr>
          <t>======
ID#AAABlWzzpDE
Commercial    (2022-06-13 08:16:30)
published on June 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szENBfMEcky0H2Fsd01PHMqvRg=="/>
    </ext>
  </extLst>
</comments>
</file>

<file path=xl/sharedStrings.xml><?xml version="1.0" encoding="utf-8"?>
<sst xmlns="http://schemas.openxmlformats.org/spreadsheetml/2006/main" count="1010" uniqueCount="275">
  <si>
    <t>Date</t>
  </si>
  <si>
    <t>ICI 1</t>
  </si>
  <si>
    <t>ICI 2</t>
  </si>
  <si>
    <t>ICI 3</t>
  </si>
  <si>
    <t>ICI 4</t>
  </si>
  <si>
    <t>ICI 5</t>
  </si>
  <si>
    <t>NEWCASTLE</t>
  </si>
  <si>
    <t>CHANGE EVERY WEEK</t>
  </si>
  <si>
    <t>AVERAGE MONTHLY</t>
  </si>
  <si>
    <t>AVERAGE 2 WEEKS</t>
  </si>
  <si>
    <t>AVERAGE 4 WEEKS</t>
  </si>
  <si>
    <t>CALCULATION</t>
  </si>
  <si>
    <t xml:space="preserve">SOURCE PRICING </t>
  </si>
  <si>
    <t>BME</t>
  </si>
  <si>
    <t>PTBA</t>
  </si>
  <si>
    <t>ANZAWARA</t>
  </si>
  <si>
    <t>MME</t>
  </si>
  <si>
    <t>TRIOP FOBMV</t>
  </si>
  <si>
    <t>AJE FOBMV</t>
  </si>
  <si>
    <t>TRIOP</t>
  </si>
  <si>
    <t>BAU</t>
  </si>
  <si>
    <t>NEWC</t>
  </si>
  <si>
    <t>ICI 1+2</t>
  </si>
  <si>
    <t>ICI 2+3</t>
  </si>
  <si>
    <t>ICI 3+4</t>
  </si>
  <si>
    <t>ICI 4+5</t>
  </si>
  <si>
    <t>SERELO</t>
  </si>
  <si>
    <t>KUNGKILAN</t>
  </si>
  <si>
    <t>5000 GAR</t>
  </si>
  <si>
    <t>48 MIND ID</t>
  </si>
  <si>
    <t>EXP FOB B</t>
  </si>
  <si>
    <t>DMO</t>
  </si>
  <si>
    <t>S. SUM</t>
  </si>
  <si>
    <t>4200 GAR</t>
  </si>
  <si>
    <t>4100 GAR</t>
  </si>
  <si>
    <t>50 MIND ID</t>
  </si>
  <si>
    <t xml:space="preserve"> </t>
  </si>
  <si>
    <t>AVERAGE</t>
  </si>
  <si>
    <t>ICI Price</t>
  </si>
  <si>
    <t>Newcastle</t>
  </si>
  <si>
    <t>HD
ICI Price</t>
  </si>
  <si>
    <t>Disc (0.977)</t>
  </si>
  <si>
    <t>HD
Newcastle</t>
  </si>
  <si>
    <t>Disc (0.707)</t>
  </si>
  <si>
    <t>HD Price 
50/50</t>
  </si>
  <si>
    <t>50% ICI 
50% Newc</t>
  </si>
  <si>
    <t>Harga BA Nov</t>
  </si>
  <si>
    <t>Harga MIT Nov</t>
  </si>
  <si>
    <t>ICI 3 Prorate</t>
  </si>
  <si>
    <t xml:space="preserve">Selisih </t>
  </si>
  <si>
    <t>Average 3 wks</t>
  </si>
  <si>
    <t>Opsi 1</t>
  </si>
  <si>
    <t>Harga Penawaran</t>
  </si>
  <si>
    <t>Opsi 2</t>
  </si>
  <si>
    <t>ICI 2 ( 3 Oct)</t>
  </si>
  <si>
    <t>ICI 3 ( 3 Oct)</t>
  </si>
  <si>
    <t xml:space="preserve">((ICI2 + ICI3)/2) - $6.50 </t>
  </si>
  <si>
    <t>BAC MV. MU XI</t>
  </si>
  <si>
    <t>BL MV : 02 JAN</t>
  </si>
  <si>
    <t>New Formula for coal price from Indonesian Government</t>
  </si>
  <si>
    <t>The price is minimum price from MINER</t>
  </si>
  <si>
    <t>HBA Formula (in 1st)</t>
  </si>
  <si>
    <t>HBA = (0.7*x1) + (0.3*x2) {US$/ton)</t>
  </si>
  <si>
    <t>X1</t>
  </si>
  <si>
    <t>70% derived from the weighted average FOB vessel sales price from the fourth week two months prior to the first week of the previous month</t>
  </si>
  <si>
    <t>X2</t>
  </si>
  <si>
    <t>30% from the weighted average FOB vessel sales price during the second and third weeks of two months prior.</t>
  </si>
  <si>
    <t>HBA Formula (in 15th)</t>
  </si>
  <si>
    <t>70% based on the weighted average FOB
vessel sales price during the second and third weeks of the previous month.</t>
  </si>
  <si>
    <t>30% from the fourth week two months prior to
the first week of the previous month.</t>
  </si>
  <si>
    <t>Spec</t>
  </si>
  <si>
    <t>GAR</t>
  </si>
  <si>
    <t>TM</t>
  </si>
  <si>
    <t>TS</t>
  </si>
  <si>
    <t>ASH</t>
  </si>
  <si>
    <t>Details</t>
  </si>
  <si>
    <t>HBA 0</t>
  </si>
  <si>
    <t>&gt; 6000 GAR</t>
  </si>
  <si>
    <t>HBA I</t>
  </si>
  <si>
    <t>&gt; 5300 GAR - &lt;6000 GAR</t>
  </si>
  <si>
    <t>HBA II</t>
  </si>
  <si>
    <t>&gt; 4100 GAR - &lt;5,300 GAR</t>
  </si>
  <si>
    <t>&lt; 4100 GAR - &gt;3400 GAR</t>
  </si>
  <si>
    <t>HBA III</t>
  </si>
  <si>
    <t>&lt;3400 GAR</t>
  </si>
  <si>
    <t>HBA 90</t>
  </si>
  <si>
    <t xml:space="preserve">Domestic </t>
  </si>
  <si>
    <t xml:space="preserve">HBA Price </t>
  </si>
  <si>
    <t>Month</t>
  </si>
  <si>
    <t>Selisih HBA 1 - HBA II</t>
  </si>
  <si>
    <t>SOURCE</t>
  </si>
  <si>
    <t xml:space="preserve">KUALITAS </t>
  </si>
  <si>
    <t>ARB</t>
  </si>
  <si>
    <t>HBA</t>
  </si>
  <si>
    <t>HBA*K*TM</t>
  </si>
  <si>
    <t>FKA</t>
  </si>
  <si>
    <t>TS + ASH</t>
  </si>
  <si>
    <t>HPB</t>
  </si>
  <si>
    <t>FAKTOR</t>
  </si>
  <si>
    <t xml:space="preserve">FINAL </t>
  </si>
  <si>
    <t>Royalty</t>
  </si>
  <si>
    <t>Notes</t>
  </si>
  <si>
    <t>Delta</t>
  </si>
  <si>
    <t xml:space="preserve">Proposal </t>
  </si>
  <si>
    <t xml:space="preserve">HPB </t>
  </si>
  <si>
    <t>GAP</t>
  </si>
  <si>
    <t>Kurs BL</t>
  </si>
  <si>
    <t>Harga RP</t>
  </si>
  <si>
    <t>TM (ar, %)</t>
  </si>
  <si>
    <t>IM</t>
  </si>
  <si>
    <t>TS ADB</t>
  </si>
  <si>
    <t>ASH ADB</t>
  </si>
  <si>
    <t xml:space="preserve">TS (%) </t>
  </si>
  <si>
    <t>Ash (%)</t>
  </si>
  <si>
    <t>Category</t>
  </si>
  <si>
    <t>Price</t>
  </si>
  <si>
    <t>Harga Supplier</t>
  </si>
  <si>
    <t>HPB Supplier</t>
  </si>
  <si>
    <t>ICI Vs. HPB</t>
  </si>
  <si>
    <t>Buyer</t>
  </si>
  <si>
    <t>Prev. Month</t>
  </si>
  <si>
    <t>BME Serelo / GAB</t>
  </si>
  <si>
    <t>BME Serelo / GAB (II)</t>
  </si>
  <si>
    <t>BME - SE Marina 01</t>
  </si>
  <si>
    <t>BME - SE Marina 02</t>
  </si>
  <si>
    <t>MBL E.Kal</t>
  </si>
  <si>
    <t xml:space="preserve">MBL E.Kal (II) </t>
  </si>
  <si>
    <t>PTBA 5000</t>
  </si>
  <si>
    <t>MV. YIN NING</t>
  </si>
  <si>
    <t>MV. GOLDEN MARINE+46:51A7346:5046:52A7346:5046:53A7346:5046:54A7346:5046:55A7346:5046:59</t>
  </si>
  <si>
    <t>Khotai Makmur "KMIA"</t>
  </si>
  <si>
    <t>Khotai Makmur "KMIA" Actual</t>
  </si>
  <si>
    <t xml:space="preserve">Mind ID 4800 </t>
  </si>
  <si>
    <t xml:space="preserve">Mind ID 5000 </t>
  </si>
  <si>
    <t>Tri Oetama "Triop"</t>
  </si>
  <si>
    <t>Tri Oetama "Triop" (II)</t>
  </si>
  <si>
    <t>BAC Anzawara</t>
  </si>
  <si>
    <t xml:space="preserve">Mantimin "MCM" </t>
  </si>
  <si>
    <t>BJU E.Kal</t>
  </si>
  <si>
    <t>PBB</t>
  </si>
  <si>
    <t>IKM</t>
  </si>
  <si>
    <t>GAR 46</t>
  </si>
  <si>
    <t>PT Bukit Asam 5000 - JUNE</t>
  </si>
  <si>
    <t>Khotai - JUNE</t>
  </si>
  <si>
    <t>BME 5400 - JUNE</t>
  </si>
  <si>
    <t>Manoor MBL - JUNE</t>
  </si>
  <si>
    <t>IF</t>
  </si>
  <si>
    <t>Triop - JUNE</t>
  </si>
  <si>
    <t>BAC Anzawara - JUNE</t>
  </si>
  <si>
    <t>BME 5400 - JULY</t>
  </si>
  <si>
    <t>KMIA</t>
  </si>
  <si>
    <t>ICI 2+3 Prorated</t>
  </si>
  <si>
    <t>BME 5400</t>
  </si>
  <si>
    <t>BME 5333 (Barge 1)</t>
  </si>
  <si>
    <t>BME 5329 (Barge 2)</t>
  </si>
  <si>
    <t>BME 5275</t>
  </si>
  <si>
    <t>BME 5290</t>
  </si>
  <si>
    <t>MBL</t>
  </si>
  <si>
    <t>TRIOP 4200</t>
  </si>
  <si>
    <t>TRIOP 4050</t>
  </si>
  <si>
    <t>ICI 4 Prorated</t>
  </si>
  <si>
    <t>MIND ID (USING ICI)</t>
  </si>
  <si>
    <t>ICI 3 Prorated</t>
  </si>
  <si>
    <t>PTBA 
(MV. BAO REN LING)</t>
  </si>
  <si>
    <t>BME 5305</t>
  </si>
  <si>
    <t>BME 5300</t>
  </si>
  <si>
    <t>BSR</t>
  </si>
  <si>
    <t>PTBA 
(MV. OMEGA S)</t>
  </si>
  <si>
    <t>BME 5295</t>
  </si>
  <si>
    <t>BME 5305 - REF COA</t>
  </si>
  <si>
    <t>BME 5275 - REV COA</t>
  </si>
  <si>
    <t>BME 5400 - REV CONTRACT</t>
  </si>
  <si>
    <t>BME 5400 - BL 17 OCT</t>
  </si>
  <si>
    <t>BME 5400 - BL 16 OCT</t>
  </si>
  <si>
    <t>BME 5400 - BL 25 OCT</t>
  </si>
  <si>
    <t>BME 5400 - BL 18 OCT</t>
  </si>
  <si>
    <r>
      <rPr>
        <sz val="12"/>
        <color rgb="FFFF0000"/>
        <rFont val="Aptos Narrow"/>
      </rPr>
      <t xml:space="preserve">The price is </t>
    </r>
    <r>
      <rPr>
        <b/>
        <u/>
        <sz val="12"/>
        <color rgb="FFFF0000"/>
        <rFont val="Aptos Narrow"/>
      </rPr>
      <t>minimum</t>
    </r>
    <r>
      <rPr>
        <sz val="12"/>
        <color rgb="FFFF0000"/>
        <rFont val="Aptos Narrow"/>
      </rPr>
      <t xml:space="preserve"> price from </t>
    </r>
    <r>
      <rPr>
        <u/>
        <sz val="12"/>
        <color rgb="FFFF0000"/>
        <rFont val="Aptos Narrow"/>
      </rPr>
      <t>MINER</t>
    </r>
  </si>
  <si>
    <t>ICI</t>
  </si>
  <si>
    <t>HD</t>
  </si>
  <si>
    <t>DELTA</t>
  </si>
  <si>
    <t>HPB SUPPLIER</t>
  </si>
  <si>
    <t>PRX</t>
  </si>
  <si>
    <t>PRX (0.977)</t>
  </si>
  <si>
    <t xml:space="preserve">MBL </t>
  </si>
  <si>
    <t xml:space="preserve">MCM </t>
  </si>
  <si>
    <t>Mind ID 5000 // contract</t>
  </si>
  <si>
    <t>ICI 0.977 (50%)</t>
  </si>
  <si>
    <t>ICI 0.977</t>
  </si>
  <si>
    <t xml:space="preserve">NEWC 0.707 </t>
  </si>
  <si>
    <t>NEWC 0.707 (50%)</t>
  </si>
  <si>
    <t>MONTH</t>
  </si>
  <si>
    <t>PRICE HBA</t>
  </si>
  <si>
    <t>GAP ICI</t>
  </si>
  <si>
    <t>NEWC &amp; DISC</t>
  </si>
  <si>
    <t>GAP NEWC</t>
  </si>
  <si>
    <t>HD PRICE (2)</t>
  </si>
  <si>
    <t>DES PRICE</t>
  </si>
  <si>
    <t>GAP ICI&amp;NEW</t>
  </si>
  <si>
    <t>PRICE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</si>
  <si>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</si>
  <si>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</si>
  <si>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</si>
  <si>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</si>
  <si>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</si>
  <si>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</si>
  <si>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</si>
  <si>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</si>
  <si>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</si>
  <si>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</si>
  <si>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</si>
  <si>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</si>
  <si>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</si>
  <si>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</si>
  <si>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</si>
  <si>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</si>
  <si>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</si>
  <si>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</si>
  <si>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</si>
  <si>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</si>
  <si>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</si>
  <si>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</si>
  <si>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</si>
  <si>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</si>
  <si>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</si>
  <si>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</si>
  <si>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</si>
  <si>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</si>
  <si>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</si>
  <si>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</si>
  <si>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</si>
  <si>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</si>
  <si>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</si>
  <si>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</si>
  <si>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</si>
  <si>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</si>
  <si>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</si>
  <si>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</si>
  <si>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</si>
  <si>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</si>
  <si>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</si>
  <si>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</si>
  <si>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</si>
  <si>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</si>
  <si>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</si>
  <si>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</si>
  <si>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</si>
  <si>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</si>
  <si>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</si>
  <si>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</si>
  <si>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</si>
  <si>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</si>
  <si>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</si>
  <si>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</si>
  <si>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</si>
  <si>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</si>
  <si>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</si>
  <si>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</si>
  <si>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</si>
  <si>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 xml:space="preserve">HBA
CV 6322 Kcal/Kg GAR, TM = 8%, TS = 0.8% AR, Ash = 15% AR </t>
  </si>
  <si>
    <t xml:space="preserve">HBA I
CV 5300 Kcal/Kg GAR, TM = 21.32%, TS = 0.75% AR, Ash = 6.04% AR </t>
  </si>
  <si>
    <t>HBA I Diff. with prev. month</t>
  </si>
  <si>
    <t>MAX. HBA I</t>
  </si>
  <si>
    <t>MIN. HBA I</t>
  </si>
  <si>
    <t xml:space="preserve">HBA II
CV 4100 Kcal/Kg GAR, TM = 35.73%, TS = 0.23% AR, Ash = 3.90% AR </t>
  </si>
  <si>
    <t>HBA II Diff. with prev. month</t>
  </si>
  <si>
    <t>MAX. HBA II</t>
  </si>
  <si>
    <t>MIN. HBA II</t>
  </si>
  <si>
    <t xml:space="preserve">HBA III
CV 3400 Kcal/Kg GAR, TM = 44.30%, TS = 0.24% AR, Ash = 3.88% AR </t>
  </si>
  <si>
    <t>HBA III Diff. with prev. month</t>
  </si>
  <si>
    <t>MAX. HBA III</t>
  </si>
  <si>
    <t>MIN. HBA III</t>
  </si>
  <si>
    <t>RECENT</t>
  </si>
  <si>
    <t>70%, 30% - 1</t>
  </si>
  <si>
    <t xml:space="preserve">Faktor Harga 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</si>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</sst>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$#,##0.00;[Red]\(\$#,##0.00\)"/>
    <numFmt numFmtId="165" formatCode="[$-409]dd\-mmm\-yy"/>
    <numFmt numFmtId="166" formatCode="#,##0\ &quot;GAR&quot;"/>
    <numFmt numFmtId="167" formatCode="#,##0\ &quot;NAR&quot;"/>
    <numFmt numFmtId="168" formatCode="[$-409]d\-mmm\-yy"/>
    <numFmt numFmtId="169" formatCode="[$$-409]#,##0.00_ ;[Red]\-[$$-409]#,##0.00\ "/>
    <numFmt numFmtId="170" formatCode="_(&quot;$&quot;* #,##0.00_);_(&quot;$&quot;* \(#,##0.00\);_(&quot;$&quot;* &quot;-&quot;??_);_(@_)"/>
    <numFmt numFmtId="171" formatCode="[$$-409]#,##0.00_);[Red]\([$$-409]#,##0.00\)"/>
    <numFmt numFmtId="172" formatCode="&quot;Rp&quot;#,##0.00"/>
    <numFmt numFmtId="173" formatCode="[$Rp]#,##0"/>
    <numFmt numFmtId="174" formatCode="[$$-409]#,##0.000000_ ;[Red]\-[$$-409]#,##0.000000\ "/>
    <numFmt numFmtId="175" formatCode="[$$-409]#,##0.000_ ;[Red]\-[$$-409]#,##0.000\ "/>
    <numFmt numFmtId="176" formatCode="0.00;[Red]0.00"/>
    <numFmt numFmtId="177" formatCode="[$-F800]dddd\,\ mmmm\ dd\,\ yyyy"/>
    <numFmt numFmtId="178" formatCode="0.000"/>
    <numFmt numFmtId="179" formatCode="0.0;[Red]0.0"/>
    <numFmt numFmtId="180" formatCode="0.0"/>
    <numFmt numFmtId="181" formatCode="_(* #,##0_);_(* \(#,##0\);_(* &quot;-&quot;_);_(@_)"/>
    <numFmt numFmtId="182" formatCode="[$-409]mmm\-yy"/>
    <numFmt numFmtId="183" formatCode="_([$$-409]* #,##0.00_);_([$$-409]* \(#,##0.00\);_([$$-409]* &quot;-&quot;??_);_(@_)"/>
    <numFmt numFmtId="184" formatCode="[$USD]\ #,##0.00"/>
    <numFmt numFmtId="185" formatCode="[$USD]\ #,##0.00;\-[$USD]\ #,##0.00"/>
    <numFmt numFmtId="186" formatCode="0.0000000000000000"/>
  </numFmts>
  <fonts count="73" x14ac:knownFonts="1">
    <font>
      <sz val="12"/>
      <color theme="1"/>
      <name val="Aptos Narrow"/>
      <scheme val="minor"/>
    </font>
    <font>
      <sz val="14"/>
      <color rgb="FF31859C"/>
      <name val="Arial"/>
    </font>
    <font>
      <sz val="14"/>
      <color theme="1"/>
      <name val="Calibri"/>
    </font>
    <font>
      <sz val="14"/>
      <color theme="1"/>
      <name val="Arial"/>
    </font>
    <font>
      <sz val="14"/>
      <color theme="1"/>
      <name val="Aptos Narrow"/>
    </font>
    <font>
      <b/>
      <sz val="14"/>
      <color theme="0"/>
      <name val="Calibri"/>
    </font>
    <font>
      <sz val="12"/>
      <name val="Aptos Narrow"/>
    </font>
    <font>
      <sz val="14"/>
      <color theme="0"/>
      <name val="Arial"/>
    </font>
    <font>
      <sz val="14"/>
      <color theme="0"/>
      <name val="Calibri"/>
    </font>
    <font>
      <b/>
      <sz val="14"/>
      <color rgb="FFFFFFFF"/>
      <name val="Calibri"/>
    </font>
    <font>
      <sz val="14"/>
      <color rgb="FF333333"/>
      <name val="Calibri"/>
    </font>
    <font>
      <i/>
      <sz val="14"/>
      <color theme="1"/>
      <name val="Calibri"/>
    </font>
    <font>
      <sz val="14"/>
      <color rgb="FF000000"/>
      <name val="Calibri"/>
    </font>
    <font>
      <i/>
      <sz val="14"/>
      <color theme="1"/>
      <name val="Arial"/>
    </font>
    <font>
      <b/>
      <sz val="14"/>
      <color theme="1"/>
      <name val="Arial"/>
    </font>
    <font>
      <b/>
      <sz val="14"/>
      <color theme="1"/>
      <name val="Calibri"/>
    </font>
    <font>
      <b/>
      <sz val="14"/>
      <color rgb="FF0000FF"/>
      <name val="Calibri"/>
    </font>
    <font>
      <b/>
      <i/>
      <sz val="14"/>
      <color theme="1"/>
      <name val="Calibri"/>
    </font>
    <font>
      <sz val="14"/>
      <color rgb="FF6F7885"/>
      <name val="Roboto"/>
    </font>
    <font>
      <b/>
      <u/>
      <sz val="8"/>
      <color rgb="FF0F4861"/>
      <name val="Aptos Narrow"/>
    </font>
    <font>
      <sz val="12"/>
      <color theme="1"/>
      <name val="Aptos Narrow"/>
    </font>
    <font>
      <sz val="12"/>
      <color rgb="FFFF0000"/>
      <name val="Aptos Narrow"/>
    </font>
    <font>
      <b/>
      <u/>
      <sz val="12"/>
      <color theme="1"/>
      <name val="Aptos Narrow"/>
    </font>
    <font>
      <b/>
      <sz val="12"/>
      <color theme="1"/>
      <name val="Aptos Narrow"/>
    </font>
    <font>
      <b/>
      <u/>
      <sz val="12"/>
      <color rgb="FFFFFF00"/>
      <name val="Aptos Narrow"/>
    </font>
    <font>
      <sz val="12"/>
      <color rgb="FFFFFF00"/>
      <name val="Aptos Narrow"/>
    </font>
    <font>
      <b/>
      <sz val="12"/>
      <color rgb="FFFFFF00"/>
      <name val="Aptos Narrow"/>
    </font>
    <font>
      <sz val="12"/>
      <color theme="5"/>
      <name val="Aptos Narrow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u/>
      <sz val="12"/>
      <color rgb="FFFFFFFF"/>
      <name val="Aptos Narrow"/>
    </font>
    <font>
      <sz val="12"/>
      <color rgb="FFFFFFFF"/>
      <name val="Aptos Narrow"/>
    </font>
    <font>
      <strike/>
      <sz val="12"/>
      <color theme="1"/>
      <name val="Aptos Narrow"/>
    </font>
    <font>
      <b/>
      <sz val="12"/>
      <color theme="1"/>
      <name val="Arial"/>
    </font>
    <font>
      <b/>
      <sz val="12"/>
      <color rgb="FFFF0000"/>
      <name val="Aptos Narrow"/>
    </font>
    <font>
      <b/>
      <sz val="12"/>
      <color rgb="FF00B0F0"/>
      <name val="Aptos Narrow"/>
    </font>
    <font>
      <b/>
      <sz val="11"/>
      <color rgb="FF000000"/>
      <name val="Aptos Narrow"/>
    </font>
    <font>
      <b/>
      <i/>
      <sz val="11"/>
      <color rgb="FF000000"/>
      <name val="Aptos Narrow"/>
    </font>
    <font>
      <sz val="11"/>
      <color rgb="FF000000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4"/>
      <name val="Aptos Narrow"/>
    </font>
    <font>
      <b/>
      <sz val="11"/>
      <color rgb="FFFF0000"/>
      <name val="Aptos Narrow"/>
    </font>
    <font>
      <b/>
      <sz val="12"/>
      <color rgb="FF0070C0"/>
      <name val="Arial"/>
    </font>
    <font>
      <b/>
      <sz val="12"/>
      <color rgb="FF0070C0"/>
      <name val="Aptos Narrow"/>
    </font>
    <font>
      <b/>
      <i/>
      <sz val="12"/>
      <color theme="1"/>
      <name val="Aptos Narrow"/>
    </font>
    <font>
      <sz val="12"/>
      <color theme="1"/>
      <name val="Arial"/>
    </font>
    <font>
      <i/>
      <sz val="11"/>
      <color theme="1"/>
      <name val="Aptos Narrow"/>
    </font>
    <font>
      <b/>
      <i/>
      <sz val="12"/>
      <color rgb="FFBF4F14"/>
      <name val="Aptos Narrow"/>
    </font>
    <font>
      <b/>
      <sz val="11"/>
      <color theme="1"/>
      <name val="Arial"/>
    </font>
    <font>
      <sz val="12"/>
      <color rgb="FFFF0000"/>
      <name val="Arial"/>
    </font>
    <font>
      <sz val="11"/>
      <color rgb="FF000000"/>
      <name val="Arial"/>
    </font>
    <font>
      <b/>
      <u/>
      <sz val="14"/>
      <color rgb="FF0F4861"/>
      <name val="Aptos Narrow"/>
    </font>
    <font>
      <u/>
      <sz val="12"/>
      <color theme="1"/>
      <name val="Aptos Narrow"/>
    </font>
    <font>
      <u/>
      <sz val="12"/>
      <color rgb="FF595959"/>
      <name val="Aptos Narrow"/>
    </font>
    <font>
      <sz val="12"/>
      <color rgb="FF595959"/>
      <name val="Aptos Narrow"/>
    </font>
    <font>
      <b/>
      <u/>
      <sz val="12"/>
      <color rgb="FFFFFF00"/>
      <name val="Aptos Narrow"/>
    </font>
    <font>
      <b/>
      <sz val="11"/>
      <color rgb="FF00B050"/>
      <name val="Aptos Narrow"/>
    </font>
    <font>
      <b/>
      <u/>
      <sz val="11"/>
      <color rgb="FF78206E"/>
      <name val="Aptos Narrow"/>
    </font>
    <font>
      <b/>
      <u/>
      <sz val="11"/>
      <color rgb="FF45B0E1"/>
      <name val="Aptos Narrow"/>
    </font>
    <font>
      <sz val="11"/>
      <color rgb="FF333333"/>
      <name val="Aptos Narrow"/>
    </font>
    <font>
      <b/>
      <sz val="18"/>
      <color theme="1"/>
      <name val="Calibri"/>
    </font>
    <font>
      <b/>
      <sz val="10"/>
      <color theme="1"/>
      <name val="Calibri"/>
    </font>
    <font>
      <sz val="11"/>
      <color theme="1"/>
      <name val="Arial Narrow"/>
    </font>
    <font>
      <sz val="10"/>
      <color rgb="FF333333"/>
      <name val="Calibri"/>
    </font>
    <font>
      <sz val="10"/>
      <color theme="1"/>
      <name val="Calibri"/>
    </font>
    <font>
      <sz val="11"/>
      <color theme="1"/>
      <name val="Arial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u/>
      <sz val="12"/>
      <color rgb="FF595959"/>
      <name val="Aptos Narrow"/>
    </font>
    <font>
      <b/>
      <sz val="11"/>
      <color rgb="FF000000"/>
      <name val="Arial"/>
    </font>
    <font>
      <b/>
      <u/>
      <sz val="12"/>
      <color rgb="FFFF0000"/>
      <name val="Aptos Narrow"/>
    </font>
    <font>
      <u/>
      <sz val="12"/>
      <color rgb="FFFF0000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244061"/>
        <bgColor rgb="FF244061"/>
      </patternFill>
    </fill>
    <fill>
      <patternFill patternType="solid">
        <fgColor theme="5"/>
        <bgColor theme="5"/>
      </patternFill>
    </fill>
    <fill>
      <patternFill patternType="solid">
        <fgColor rgb="FF002060"/>
        <bgColor rgb="FF002060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theme="4"/>
        <bgColor theme="4"/>
      </patternFill>
    </fill>
    <fill>
      <patternFill patternType="solid">
        <fgColor rgb="FFFCFF98"/>
        <bgColor rgb="FFFCFF98"/>
      </patternFill>
    </fill>
    <fill>
      <patternFill patternType="solid">
        <fgColor rgb="FFC1E4F5"/>
        <bgColor rgb="FFC1E4F5"/>
      </patternFill>
    </fill>
    <fill>
      <patternFill patternType="solid">
        <fgColor rgb="FF45B0E1"/>
        <bgColor rgb="FF45B0E1"/>
      </patternFill>
    </fill>
    <fill>
      <patternFill patternType="solid">
        <fgColor rgb="FFE49EDD"/>
        <bgColor rgb="FFE49EDD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1CEEE"/>
        <bgColor rgb="FFF1CEEE"/>
      </patternFill>
    </fill>
    <fill>
      <patternFill patternType="solid">
        <fgColor rgb="FFF6C6AC"/>
        <bgColor rgb="FFF6C6AC"/>
      </patternFill>
    </fill>
    <fill>
      <patternFill patternType="solid">
        <fgColor rgb="FFD8D8D8"/>
        <bgColor rgb="FFD8D8D8"/>
      </patternFill>
    </fill>
    <fill>
      <patternFill patternType="solid">
        <fgColor rgb="FFC1F0C8"/>
        <bgColor rgb="FFC1F0C8"/>
      </patternFill>
    </fill>
    <fill>
      <patternFill patternType="solid">
        <fgColor rgb="FFF1A983"/>
        <bgColor rgb="FFF1A983"/>
      </patternFill>
    </fill>
    <fill>
      <patternFill patternType="solid">
        <fgColor rgb="FF0E2841"/>
        <bgColor rgb="FF0E2841"/>
      </patternFill>
    </fill>
    <fill>
      <patternFill patternType="solid">
        <fgColor rgb="FFCAEDFB"/>
        <bgColor rgb="FFCAEDFB"/>
      </patternFill>
    </fill>
    <fill>
      <patternFill patternType="solid">
        <fgColor rgb="FF47D45A"/>
        <bgColor rgb="FF47D45A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FABF8F"/>
        <bgColor rgb="FFFABF8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6">
    <xf numFmtId="0" fontId="0" fillId="0" borderId="0" xfId="0"/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65" fontId="5" fillId="2" borderId="2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/>
    </xf>
    <xf numFmtId="165" fontId="5" fillId="2" borderId="13" xfId="0" applyNumberFormat="1" applyFont="1" applyFill="1" applyBorder="1" applyAlignment="1">
      <alignment horizontal="center" vertical="center" wrapText="1"/>
    </xf>
    <xf numFmtId="166" fontId="5" fillId="2" borderId="14" xfId="0" applyNumberFormat="1" applyFont="1" applyFill="1" applyBorder="1" applyAlignment="1">
      <alignment horizontal="center" vertical="center"/>
    </xf>
    <xf numFmtId="166" fontId="5" fillId="2" borderId="15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165" fontId="5" fillId="2" borderId="22" xfId="0" applyNumberFormat="1" applyFont="1" applyFill="1" applyBorder="1" applyAlignment="1">
      <alignment horizontal="center" vertical="center" wrapText="1"/>
    </xf>
    <xf numFmtId="167" fontId="5" fillId="2" borderId="22" xfId="0" applyNumberFormat="1" applyFont="1" applyFill="1" applyBorder="1" applyAlignment="1">
      <alignment horizontal="center" vertical="center"/>
    </xf>
    <xf numFmtId="167" fontId="9" fillId="2" borderId="22" xfId="0" applyNumberFormat="1" applyFont="1" applyFill="1" applyBorder="1" applyAlignment="1">
      <alignment horizontal="center" vertical="center"/>
    </xf>
    <xf numFmtId="166" fontId="5" fillId="2" borderId="23" xfId="0" applyNumberFormat="1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 wrapText="1"/>
    </xf>
    <xf numFmtId="164" fontId="5" fillId="2" borderId="22" xfId="0" applyNumberFormat="1" applyFont="1" applyFill="1" applyBorder="1" applyAlignment="1">
      <alignment horizontal="center" vertical="center" wrapText="1"/>
    </xf>
    <xf numFmtId="164" fontId="5" fillId="2" borderId="24" xfId="0" applyNumberFormat="1" applyFont="1" applyFill="1" applyBorder="1" applyAlignment="1">
      <alignment horizontal="center" vertical="center" wrapText="1"/>
    </xf>
    <xf numFmtId="164" fontId="5" fillId="4" borderId="25" xfId="0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vertical="center"/>
    </xf>
    <xf numFmtId="168" fontId="10" fillId="0" borderId="16" xfId="0" applyNumberFormat="1" applyFont="1" applyBorder="1" applyAlignment="1">
      <alignment horizontal="center" vertical="center"/>
    </xf>
    <xf numFmtId="169" fontId="10" fillId="0" borderId="16" xfId="0" applyNumberFormat="1" applyFont="1" applyBorder="1" applyAlignment="1">
      <alignment horizontal="center" vertical="center"/>
    </xf>
    <xf numFmtId="169" fontId="10" fillId="0" borderId="20" xfId="0" applyNumberFormat="1" applyFont="1" applyBorder="1" applyAlignment="1">
      <alignment horizontal="center" vertical="center"/>
    </xf>
    <xf numFmtId="169" fontId="2" fillId="0" borderId="28" xfId="0" applyNumberFormat="1" applyFont="1" applyBorder="1" applyAlignment="1">
      <alignment horizontal="center" vertical="center"/>
    </xf>
    <xf numFmtId="169" fontId="2" fillId="0" borderId="0" xfId="0" applyNumberFormat="1" applyFont="1" applyAlignment="1">
      <alignment vertical="center"/>
    </xf>
    <xf numFmtId="169" fontId="2" fillId="0" borderId="29" xfId="0" applyNumberFormat="1" applyFont="1" applyBorder="1" applyAlignment="1">
      <alignment vertical="center"/>
    </xf>
    <xf numFmtId="169" fontId="3" fillId="0" borderId="0" xfId="0" applyNumberFormat="1" applyFont="1" applyAlignment="1">
      <alignment vertical="center"/>
    </xf>
    <xf numFmtId="169" fontId="3" fillId="0" borderId="28" xfId="0" applyNumberFormat="1" applyFont="1" applyBorder="1" applyAlignment="1">
      <alignment vertical="center"/>
    </xf>
    <xf numFmtId="169" fontId="11" fillId="0" borderId="15" xfId="0" applyNumberFormat="1" applyFont="1" applyBorder="1" applyAlignment="1">
      <alignment horizontal="center" vertical="center"/>
    </xf>
    <xf numFmtId="168" fontId="10" fillId="0" borderId="15" xfId="0" applyNumberFormat="1" applyFont="1" applyBorder="1" applyAlignment="1">
      <alignment horizontal="center" vertical="center"/>
    </xf>
    <xf numFmtId="169" fontId="10" fillId="0" borderId="15" xfId="0" applyNumberFormat="1" applyFont="1" applyBorder="1" applyAlignment="1">
      <alignment horizontal="center" vertical="center"/>
    </xf>
    <xf numFmtId="169" fontId="10" fillId="0" borderId="9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 vertical="center"/>
    </xf>
    <xf numFmtId="169" fontId="3" fillId="0" borderId="29" xfId="0" applyNumberFormat="1" applyFont="1" applyBorder="1" applyAlignment="1">
      <alignment vertical="center"/>
    </xf>
    <xf numFmtId="169" fontId="2" fillId="0" borderId="30" xfId="0" applyNumberFormat="1" applyFont="1" applyBorder="1" applyAlignment="1">
      <alignment horizontal="center" vertical="center"/>
    </xf>
    <xf numFmtId="168" fontId="10" fillId="0" borderId="15" xfId="0" applyNumberFormat="1" applyFont="1" applyBorder="1" applyAlignment="1">
      <alignment horizontal="right" vertical="center"/>
    </xf>
    <xf numFmtId="168" fontId="2" fillId="0" borderId="15" xfId="0" applyNumberFormat="1" applyFont="1" applyBorder="1" applyAlignment="1">
      <alignment horizontal="center" vertical="center"/>
    </xf>
    <xf numFmtId="169" fontId="2" fillId="0" borderId="15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8" fontId="2" fillId="0" borderId="15" xfId="0" applyNumberFormat="1" applyFont="1" applyBorder="1" applyAlignment="1">
      <alignment vertical="center"/>
    </xf>
    <xf numFmtId="170" fontId="2" fillId="0" borderId="9" xfId="0" applyNumberFormat="1" applyFont="1" applyBorder="1" applyAlignment="1">
      <alignment vertical="center"/>
    </xf>
    <xf numFmtId="168" fontId="2" fillId="0" borderId="15" xfId="0" applyNumberFormat="1" applyFont="1" applyBorder="1" applyAlignment="1">
      <alignment horizontal="right" vertical="center"/>
    </xf>
    <xf numFmtId="169" fontId="2" fillId="6" borderId="1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8" fontId="12" fillId="0" borderId="15" xfId="0" applyNumberFormat="1" applyFont="1" applyBorder="1" applyAlignment="1">
      <alignment horizontal="right" vertical="center"/>
    </xf>
    <xf numFmtId="168" fontId="2" fillId="0" borderId="5" xfId="0" applyNumberFormat="1" applyFont="1" applyBorder="1" applyAlignment="1">
      <alignment horizontal="right" vertical="center"/>
    </xf>
    <xf numFmtId="168" fontId="2" fillId="0" borderId="16" xfId="0" applyNumberFormat="1" applyFont="1" applyBorder="1" applyAlignment="1">
      <alignment horizontal="right" vertical="center"/>
    </xf>
    <xf numFmtId="169" fontId="2" fillId="0" borderId="15" xfId="0" applyNumberFormat="1" applyFont="1" applyBorder="1" applyAlignment="1">
      <alignment vertical="center"/>
    </xf>
    <xf numFmtId="168" fontId="2" fillId="0" borderId="5" xfId="0" applyNumberFormat="1" applyFont="1" applyBorder="1" applyAlignment="1">
      <alignment vertical="center"/>
    </xf>
    <xf numFmtId="168" fontId="2" fillId="0" borderId="6" xfId="0" applyNumberFormat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71" fontId="13" fillId="0" borderId="15" xfId="0" applyNumberFormat="1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169" fontId="12" fillId="0" borderId="15" xfId="0" applyNumberFormat="1" applyFont="1" applyBorder="1" applyAlignment="1">
      <alignment horizontal="center" vertical="center"/>
    </xf>
    <xf numFmtId="169" fontId="2" fillId="7" borderId="15" xfId="0" applyNumberFormat="1" applyFont="1" applyFill="1" applyBorder="1" applyAlignment="1">
      <alignment horizontal="center" vertical="center"/>
    </xf>
    <xf numFmtId="169" fontId="2" fillId="8" borderId="15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68" fontId="2" fillId="7" borderId="15" xfId="0" applyNumberFormat="1" applyFont="1" applyFill="1" applyBorder="1" applyAlignment="1">
      <alignment horizontal="right" vertical="center"/>
    </xf>
    <xf numFmtId="169" fontId="2" fillId="7" borderId="2" xfId="0" applyNumberFormat="1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vertical="center"/>
    </xf>
    <xf numFmtId="0" fontId="3" fillId="7" borderId="32" xfId="0" applyFont="1" applyFill="1" applyBorder="1" applyAlignment="1">
      <alignment vertical="center"/>
    </xf>
    <xf numFmtId="172" fontId="3" fillId="0" borderId="15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169" fontId="15" fillId="8" borderId="15" xfId="0" applyNumberFormat="1" applyFont="1" applyFill="1" applyBorder="1" applyAlignment="1">
      <alignment horizontal="center" vertical="center"/>
    </xf>
    <xf numFmtId="169" fontId="2" fillId="7" borderId="3" xfId="0" applyNumberFormat="1" applyFont="1" applyFill="1" applyBorder="1" applyAlignment="1">
      <alignment horizontal="center" vertical="center"/>
    </xf>
    <xf numFmtId="169" fontId="2" fillId="9" borderId="15" xfId="0" applyNumberFormat="1" applyFont="1" applyFill="1" applyBorder="1" applyAlignment="1">
      <alignment horizontal="center" vertical="center"/>
    </xf>
    <xf numFmtId="172" fontId="3" fillId="7" borderId="15" xfId="0" applyNumberFormat="1" applyFont="1" applyFill="1" applyBorder="1" applyAlignment="1">
      <alignment vertical="center"/>
    </xf>
    <xf numFmtId="0" fontId="14" fillId="0" borderId="0" xfId="0" applyFont="1"/>
    <xf numFmtId="169" fontId="2" fillId="0" borderId="11" xfId="0" applyNumberFormat="1" applyFont="1" applyBorder="1" applyAlignment="1">
      <alignment horizontal="center" vertical="center"/>
    </xf>
    <xf numFmtId="169" fontId="2" fillId="7" borderId="33" xfId="0" applyNumberFormat="1" applyFont="1" applyFill="1" applyBorder="1" applyAlignment="1">
      <alignment horizontal="center" vertical="center"/>
    </xf>
    <xf numFmtId="169" fontId="11" fillId="7" borderId="15" xfId="0" applyNumberFormat="1" applyFont="1" applyFill="1" applyBorder="1" applyAlignment="1">
      <alignment horizontal="center" vertical="center"/>
    </xf>
    <xf numFmtId="172" fontId="14" fillId="7" borderId="15" xfId="0" applyNumberFormat="1" applyFont="1" applyFill="1" applyBorder="1" applyAlignment="1">
      <alignment vertical="center"/>
    </xf>
    <xf numFmtId="172" fontId="3" fillId="0" borderId="0" xfId="0" applyNumberFormat="1" applyFont="1" applyAlignment="1">
      <alignment vertical="center"/>
    </xf>
    <xf numFmtId="0" fontId="3" fillId="7" borderId="12" xfId="0" applyFont="1" applyFill="1" applyBorder="1" applyAlignment="1">
      <alignment vertical="center"/>
    </xf>
    <xf numFmtId="172" fontId="3" fillId="7" borderId="12" xfId="0" applyNumberFormat="1" applyFont="1" applyFill="1" applyBorder="1" applyAlignment="1">
      <alignment vertical="center"/>
    </xf>
    <xf numFmtId="169" fontId="2" fillId="9" borderId="15" xfId="0" applyNumberFormat="1" applyFont="1" applyFill="1" applyBorder="1" applyAlignment="1">
      <alignment horizontal="center" vertical="top"/>
    </xf>
    <xf numFmtId="168" fontId="15" fillId="10" borderId="15" xfId="0" applyNumberFormat="1" applyFont="1" applyFill="1" applyBorder="1" applyAlignment="1">
      <alignment horizontal="right" vertical="center"/>
    </xf>
    <xf numFmtId="169" fontId="15" fillId="10" borderId="15" xfId="0" applyNumberFormat="1" applyFont="1" applyFill="1" applyBorder="1" applyAlignment="1">
      <alignment horizontal="center" vertical="center"/>
    </xf>
    <xf numFmtId="169" fontId="15" fillId="10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172" fontId="14" fillId="0" borderId="0" xfId="0" applyNumberFormat="1" applyFont="1" applyAlignment="1">
      <alignment vertical="center"/>
    </xf>
    <xf numFmtId="168" fontId="15" fillId="0" borderId="0" xfId="0" applyNumberFormat="1" applyFont="1" applyAlignment="1">
      <alignment horizontal="center" vertical="center"/>
    </xf>
    <xf numFmtId="173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left" vertical="center"/>
    </xf>
    <xf numFmtId="169" fontId="16" fillId="11" borderId="12" xfId="0" applyNumberFormat="1" applyFont="1" applyFill="1" applyBorder="1" applyAlignment="1">
      <alignment horizontal="center" vertical="center"/>
    </xf>
    <xf numFmtId="169" fontId="16" fillId="11" borderId="12" xfId="0" applyNumberFormat="1" applyFont="1" applyFill="1" applyBorder="1" applyAlignment="1">
      <alignment horizontal="left" vertical="center"/>
    </xf>
    <xf numFmtId="169" fontId="15" fillId="12" borderId="12" xfId="0" applyNumberFormat="1" applyFont="1" applyFill="1" applyBorder="1" applyAlignment="1">
      <alignment horizontal="center" vertical="center"/>
    </xf>
    <xf numFmtId="16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71" fontId="3" fillId="0" borderId="0" xfId="0" applyNumberFormat="1" applyFont="1" applyAlignment="1">
      <alignment horizontal="center" vertical="top"/>
    </xf>
    <xf numFmtId="169" fontId="2" fillId="0" borderId="0" xfId="0" applyNumberFormat="1" applyFont="1" applyAlignment="1">
      <alignment horizontal="center" vertical="center"/>
    </xf>
    <xf numFmtId="169" fontId="3" fillId="12" borderId="12" xfId="0" applyNumberFormat="1" applyFont="1" applyFill="1" applyBorder="1" applyAlignment="1">
      <alignment vertical="center"/>
    </xf>
    <xf numFmtId="174" fontId="3" fillId="0" borderId="0" xfId="0" applyNumberFormat="1" applyFont="1" applyAlignment="1">
      <alignment vertical="center"/>
    </xf>
    <xf numFmtId="175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left" vertical="center"/>
    </xf>
    <xf numFmtId="171" fontId="3" fillId="0" borderId="0" xfId="0" applyNumberFormat="1" applyFont="1" applyAlignment="1">
      <alignment horizontal="left" vertical="center"/>
    </xf>
    <xf numFmtId="0" fontId="18" fillId="0" borderId="0" xfId="0" applyFont="1"/>
    <xf numFmtId="0" fontId="3" fillId="0" borderId="0" xfId="0" applyFont="1" applyAlignment="1">
      <alignment horizontal="left" vertical="center"/>
    </xf>
    <xf numFmtId="168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left" vertical="center"/>
    </xf>
    <xf numFmtId="169" fontId="2" fillId="13" borderId="32" xfId="0" applyNumberFormat="1" applyFont="1" applyFill="1" applyBorder="1" applyAlignment="1">
      <alignment horizontal="center" vertical="center"/>
    </xf>
    <xf numFmtId="0" fontId="19" fillId="12" borderId="12" xfId="0" applyFont="1" applyFill="1" applyBorder="1"/>
    <xf numFmtId="0" fontId="20" fillId="12" borderId="12" xfId="0" applyFont="1" applyFill="1" applyBorder="1"/>
    <xf numFmtId="0" fontId="20" fillId="0" borderId="0" xfId="0" applyFont="1"/>
    <xf numFmtId="0" fontId="21" fillId="12" borderId="12" xfId="0" applyFont="1" applyFill="1" applyBorder="1"/>
    <xf numFmtId="0" fontId="22" fillId="0" borderId="0" xfId="0" applyFont="1"/>
    <xf numFmtId="0" fontId="23" fillId="0" borderId="0" xfId="0" applyFont="1"/>
    <xf numFmtId="0" fontId="20" fillId="0" borderId="0" xfId="0" applyFont="1" applyAlignment="1">
      <alignment horizontal="right"/>
    </xf>
    <xf numFmtId="0" fontId="24" fillId="14" borderId="12" xfId="0" applyFont="1" applyFill="1" applyBorder="1" applyAlignment="1">
      <alignment horizontal="left"/>
    </xf>
    <xf numFmtId="0" fontId="25" fillId="14" borderId="12" xfId="0" applyFont="1" applyFill="1" applyBorder="1"/>
    <xf numFmtId="0" fontId="25" fillId="14" borderId="12" xfId="0" applyFont="1" applyFill="1" applyBorder="1" applyAlignment="1">
      <alignment horizontal="left"/>
    </xf>
    <xf numFmtId="0" fontId="26" fillId="14" borderId="12" xfId="0" applyFont="1" applyFill="1" applyBorder="1"/>
    <xf numFmtId="0" fontId="27" fillId="14" borderId="12" xfId="0" applyFont="1" applyFill="1" applyBorder="1"/>
    <xf numFmtId="0" fontId="27" fillId="0" borderId="0" xfId="0" applyFont="1"/>
    <xf numFmtId="0" fontId="28" fillId="15" borderId="12" xfId="0" applyFont="1" applyFill="1" applyBorder="1" applyAlignment="1">
      <alignment horizontal="center"/>
    </xf>
    <xf numFmtId="0" fontId="29" fillId="15" borderId="12" xfId="0" applyFont="1" applyFill="1" applyBorder="1" applyAlignment="1">
      <alignment horizontal="right"/>
    </xf>
    <xf numFmtId="0" fontId="30" fillId="0" borderId="0" xfId="0" applyFont="1" applyAlignment="1">
      <alignment horizontal="left"/>
    </xf>
    <xf numFmtId="0" fontId="31" fillId="0" borderId="0" xfId="0" applyFont="1"/>
    <xf numFmtId="17" fontId="20" fillId="15" borderId="12" xfId="0" applyNumberFormat="1" applyFont="1" applyFill="1" applyBorder="1" applyAlignment="1">
      <alignment horizontal="center"/>
    </xf>
    <xf numFmtId="0" fontId="20" fillId="15" borderId="12" xfId="0" applyFont="1" applyFill="1" applyBorder="1"/>
    <xf numFmtId="0" fontId="21" fillId="15" borderId="12" xfId="0" applyFont="1" applyFill="1" applyBorder="1"/>
    <xf numFmtId="15" fontId="20" fillId="15" borderId="12" xfId="0" applyNumberFormat="1" applyFont="1" applyFill="1" applyBorder="1" applyAlignment="1">
      <alignment horizontal="center"/>
    </xf>
    <xf numFmtId="2" fontId="20" fillId="15" borderId="12" xfId="0" applyNumberFormat="1" applyFont="1" applyFill="1" applyBorder="1"/>
    <xf numFmtId="2" fontId="31" fillId="0" borderId="0" xfId="0" applyNumberFormat="1" applyFont="1"/>
    <xf numFmtId="0" fontId="32" fillId="0" borderId="0" xfId="0" applyFont="1"/>
    <xf numFmtId="176" fontId="20" fillId="0" borderId="0" xfId="0" applyNumberFormat="1" applyFont="1"/>
    <xf numFmtId="2" fontId="20" fillId="0" borderId="0" xfId="0" applyNumberFormat="1" applyFont="1"/>
    <xf numFmtId="2" fontId="21" fillId="15" borderId="12" xfId="0" applyNumberFormat="1" applyFont="1" applyFill="1" applyBorder="1"/>
    <xf numFmtId="15" fontId="33" fillId="12" borderId="12" xfId="0" applyNumberFormat="1" applyFont="1" applyFill="1" applyBorder="1" applyAlignment="1">
      <alignment horizontal="center"/>
    </xf>
    <xf numFmtId="0" fontId="34" fillId="12" borderId="12" xfId="0" applyFont="1" applyFill="1" applyBorder="1"/>
    <xf numFmtId="2" fontId="34" fillId="12" borderId="12" xfId="0" applyNumberFormat="1" applyFont="1" applyFill="1" applyBorder="1"/>
    <xf numFmtId="2" fontId="23" fillId="12" borderId="12" xfId="0" applyNumberFormat="1" applyFont="1" applyFill="1" applyBorder="1"/>
    <xf numFmtId="0" fontId="36" fillId="16" borderId="34" xfId="0" applyFont="1" applyFill="1" applyBorder="1" applyAlignment="1">
      <alignment horizontal="center" vertical="center"/>
    </xf>
    <xf numFmtId="0" fontId="36" fillId="16" borderId="2" xfId="0" applyFont="1" applyFill="1" applyBorder="1" applyAlignment="1">
      <alignment horizontal="center" vertical="center"/>
    </xf>
    <xf numFmtId="0" fontId="36" fillId="17" borderId="34" xfId="0" applyFont="1" applyFill="1" applyBorder="1" applyAlignment="1">
      <alignment horizontal="center" vertical="center"/>
    </xf>
    <xf numFmtId="0" fontId="36" fillId="18" borderId="34" xfId="0" applyFont="1" applyFill="1" applyBorder="1" applyAlignment="1">
      <alignment horizontal="center" vertical="center"/>
    </xf>
    <xf numFmtId="0" fontId="36" fillId="19" borderId="34" xfId="0" applyFont="1" applyFill="1" applyBorder="1" applyAlignment="1">
      <alignment horizontal="center" vertical="center"/>
    </xf>
    <xf numFmtId="0" fontId="36" fillId="4" borderId="12" xfId="0" applyFont="1" applyFill="1" applyBorder="1" applyAlignment="1">
      <alignment horizontal="center" vertical="center"/>
    </xf>
    <xf numFmtId="0" fontId="36" fillId="20" borderId="34" xfId="0" applyFont="1" applyFill="1" applyBorder="1" applyAlignment="1">
      <alignment horizontal="center" vertical="center"/>
    </xf>
    <xf numFmtId="0" fontId="36" fillId="20" borderId="31" xfId="0" applyFont="1" applyFill="1" applyBorder="1" applyAlignment="1">
      <alignment horizontal="center" vertical="center"/>
    </xf>
    <xf numFmtId="0" fontId="36" fillId="16" borderId="23" xfId="0" applyFont="1" applyFill="1" applyBorder="1" applyAlignment="1">
      <alignment horizontal="center" vertical="center"/>
    </xf>
    <xf numFmtId="176" fontId="36" fillId="16" borderId="23" xfId="0" applyNumberFormat="1" applyFont="1" applyFill="1" applyBorder="1" applyAlignment="1">
      <alignment horizontal="center" vertical="center"/>
    </xf>
    <xf numFmtId="0" fontId="36" fillId="16" borderId="22" xfId="0" applyFont="1" applyFill="1" applyBorder="1" applyAlignment="1">
      <alignment horizontal="center" vertical="center"/>
    </xf>
    <xf numFmtId="0" fontId="36" fillId="17" borderId="25" xfId="0" applyFont="1" applyFill="1" applyBorder="1" applyAlignment="1">
      <alignment horizontal="center" vertical="center"/>
    </xf>
    <xf numFmtId="0" fontId="37" fillId="18" borderId="25" xfId="0" applyFont="1" applyFill="1" applyBorder="1" applyAlignment="1">
      <alignment horizontal="center" vertical="center"/>
    </xf>
    <xf numFmtId="0" fontId="36" fillId="19" borderId="25" xfId="0" applyFont="1" applyFill="1" applyBorder="1" applyAlignment="1">
      <alignment horizontal="center" vertical="center"/>
    </xf>
    <xf numFmtId="0" fontId="36" fillId="4" borderId="27" xfId="0" applyFont="1" applyFill="1" applyBorder="1" applyAlignment="1">
      <alignment horizontal="center" vertical="center"/>
    </xf>
    <xf numFmtId="0" fontId="36" fillId="20" borderId="25" xfId="0" applyFont="1" applyFill="1" applyBorder="1" applyAlignment="1">
      <alignment horizontal="center" vertical="center"/>
    </xf>
    <xf numFmtId="0" fontId="36" fillId="20" borderId="27" xfId="0" applyFont="1" applyFill="1" applyBorder="1" applyAlignment="1">
      <alignment horizontal="center" vertical="center"/>
    </xf>
    <xf numFmtId="0" fontId="20" fillId="0" borderId="38" xfId="0" applyFont="1" applyBorder="1"/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2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76" fontId="38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vertical="center"/>
    </xf>
    <xf numFmtId="2" fontId="39" fillId="0" borderId="16" xfId="0" applyNumberFormat="1" applyFont="1" applyBorder="1" applyAlignment="1">
      <alignment vertical="center"/>
    </xf>
    <xf numFmtId="2" fontId="40" fillId="16" borderId="15" xfId="0" applyNumberFormat="1" applyFont="1" applyFill="1" applyBorder="1" applyAlignment="1">
      <alignment horizontal="center" vertical="center"/>
    </xf>
    <xf numFmtId="2" fontId="40" fillId="0" borderId="16" xfId="0" applyNumberFormat="1" applyFont="1" applyBorder="1" applyAlignment="1">
      <alignment horizontal="center" vertical="center"/>
    </xf>
    <xf numFmtId="2" fontId="40" fillId="21" borderId="14" xfId="0" applyNumberFormat="1" applyFont="1" applyFill="1" applyBorder="1" applyAlignment="1">
      <alignment horizontal="center" vertical="center"/>
    </xf>
    <xf numFmtId="2" fontId="40" fillId="22" borderId="14" xfId="0" applyNumberFormat="1" applyFont="1" applyFill="1" applyBorder="1" applyAlignment="1">
      <alignment horizontal="center" vertical="center"/>
    </xf>
    <xf numFmtId="2" fontId="40" fillId="22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76" fontId="38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2" fontId="39" fillId="0" borderId="15" xfId="0" applyNumberFormat="1" applyFont="1" applyBorder="1" applyAlignment="1">
      <alignment vertical="center"/>
    </xf>
    <xf numFmtId="2" fontId="40" fillId="0" borderId="15" xfId="0" applyNumberFormat="1" applyFont="1" applyBorder="1" applyAlignment="1">
      <alignment horizontal="center" vertical="center"/>
    </xf>
    <xf numFmtId="2" fontId="40" fillId="21" borderId="15" xfId="0" applyNumberFormat="1" applyFont="1" applyFill="1" applyBorder="1" applyAlignment="1">
      <alignment horizontal="center" vertical="center"/>
    </xf>
    <xf numFmtId="178" fontId="39" fillId="0" borderId="15" xfId="0" applyNumberFormat="1" applyFont="1" applyBorder="1" applyAlignment="1">
      <alignment horizontal="right" vertical="center"/>
    </xf>
    <xf numFmtId="0" fontId="23" fillId="21" borderId="15" xfId="0" applyFont="1" applyFill="1" applyBorder="1" applyAlignment="1">
      <alignment horizontal="center" vertical="center"/>
    </xf>
    <xf numFmtId="179" fontId="41" fillId="0" borderId="15" xfId="0" applyNumberFormat="1" applyFont="1" applyBorder="1" applyAlignment="1">
      <alignment horizontal="center" vertical="center"/>
    </xf>
    <xf numFmtId="2" fontId="23" fillId="21" borderId="15" xfId="0" applyNumberFormat="1" applyFont="1" applyFill="1" applyBorder="1" applyAlignment="1">
      <alignment horizontal="center" vertical="center"/>
    </xf>
    <xf numFmtId="179" fontId="38" fillId="0" borderId="15" xfId="0" applyNumberFormat="1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/>
    </xf>
    <xf numFmtId="2" fontId="20" fillId="22" borderId="15" xfId="0" applyNumberFormat="1" applyFont="1" applyFill="1" applyBorder="1" applyAlignment="1">
      <alignment horizontal="center" vertical="center"/>
    </xf>
    <xf numFmtId="2" fontId="20" fillId="22" borderId="12" xfId="0" applyNumberFormat="1" applyFont="1" applyFill="1" applyBorder="1" applyAlignment="1">
      <alignment horizontal="center" vertical="center"/>
    </xf>
    <xf numFmtId="176" fontId="36" fillId="0" borderId="16" xfId="0" applyNumberFormat="1" applyFont="1" applyBorder="1" applyAlignment="1">
      <alignment horizontal="center" vertical="center"/>
    </xf>
    <xf numFmtId="176" fontId="36" fillId="0" borderId="15" xfId="0" applyNumberFormat="1" applyFont="1" applyBorder="1" applyAlignment="1">
      <alignment horizontal="center" vertical="center"/>
    </xf>
    <xf numFmtId="178" fontId="40" fillId="0" borderId="15" xfId="0" applyNumberFormat="1" applyFont="1" applyBorder="1" applyAlignment="1">
      <alignment horizontal="right" vertical="center"/>
    </xf>
    <xf numFmtId="2" fontId="40" fillId="0" borderId="15" xfId="0" applyNumberFormat="1" applyFont="1" applyBorder="1" applyAlignment="1">
      <alignment vertical="center"/>
    </xf>
    <xf numFmtId="2" fontId="39" fillId="0" borderId="15" xfId="0" applyNumberFormat="1" applyFont="1" applyBorder="1" applyAlignment="1">
      <alignment horizontal="right" vertical="center"/>
    </xf>
    <xf numFmtId="2" fontId="42" fillId="22" borderId="12" xfId="0" applyNumberFormat="1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43" fillId="0" borderId="11" xfId="0" applyFont="1" applyBorder="1" applyAlignment="1">
      <alignment horizontal="center" vertical="center"/>
    </xf>
    <xf numFmtId="2" fontId="39" fillId="19" borderId="15" xfId="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2" fontId="20" fillId="19" borderId="15" xfId="0" applyNumberFormat="1" applyFont="1" applyFill="1" applyBorder="1" applyAlignment="1">
      <alignment horizontal="center" vertical="center"/>
    </xf>
    <xf numFmtId="0" fontId="45" fillId="0" borderId="21" xfId="0" applyFont="1" applyBorder="1" applyAlignment="1">
      <alignment horizontal="right" vertical="center"/>
    </xf>
    <xf numFmtId="180" fontId="20" fillId="0" borderId="15" xfId="0" applyNumberFormat="1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33" fillId="0" borderId="20" xfId="0" applyFont="1" applyBorder="1" applyAlignment="1">
      <alignment vertical="center"/>
    </xf>
    <xf numFmtId="0" fontId="46" fillId="0" borderId="15" xfId="0" applyFont="1" applyBorder="1" applyAlignment="1">
      <alignment horizontal="center" vertical="center"/>
    </xf>
    <xf numFmtId="2" fontId="39" fillId="19" borderId="2" xfId="0" applyNumberFormat="1" applyFont="1" applyFill="1" applyBorder="1" applyAlignment="1">
      <alignment horizontal="center" vertical="center"/>
    </xf>
    <xf numFmtId="15" fontId="20" fillId="0" borderId="20" xfId="0" applyNumberFormat="1" applyFont="1" applyBorder="1" applyAlignment="1">
      <alignment horizontal="left" vertical="center"/>
    </xf>
    <xf numFmtId="0" fontId="23" fillId="0" borderId="21" xfId="0" applyFont="1" applyBorder="1" applyAlignment="1">
      <alignment vertical="center"/>
    </xf>
    <xf numFmtId="179" fontId="39" fillId="9" borderId="15" xfId="0" applyNumberFormat="1" applyFont="1" applyFill="1" applyBorder="1" applyAlignment="1">
      <alignment horizontal="center" vertical="center"/>
    </xf>
    <xf numFmtId="2" fontId="40" fillId="22" borderId="4" xfId="0" applyNumberFormat="1" applyFont="1" applyFill="1" applyBorder="1" applyAlignment="1">
      <alignment horizontal="center" vertical="center"/>
    </xf>
    <xf numFmtId="2" fontId="47" fillId="19" borderId="15" xfId="0" applyNumberFormat="1" applyFont="1" applyFill="1" applyBorder="1" applyAlignment="1">
      <alignment horizontal="left" vertical="center"/>
    </xf>
    <xf numFmtId="2" fontId="42" fillId="19" borderId="3" xfId="0" applyNumberFormat="1" applyFont="1" applyFill="1" applyBorder="1" applyAlignment="1">
      <alignment horizontal="left" vertical="center"/>
    </xf>
    <xf numFmtId="2" fontId="40" fillId="23" borderId="39" xfId="0" applyNumberFormat="1" applyFont="1" applyFill="1" applyBorder="1" applyAlignment="1">
      <alignment horizontal="center" vertical="center"/>
    </xf>
    <xf numFmtId="2" fontId="40" fillId="23" borderId="12" xfId="0" applyNumberFormat="1" applyFont="1" applyFill="1" applyBorder="1" applyAlignment="1">
      <alignment horizontal="center" vertical="center"/>
    </xf>
    <xf numFmtId="179" fontId="39" fillId="24" borderId="15" xfId="0" applyNumberFormat="1" applyFont="1" applyFill="1" applyBorder="1" applyAlignment="1">
      <alignment horizontal="center" vertical="center"/>
    </xf>
    <xf numFmtId="2" fontId="20" fillId="22" borderId="3" xfId="0" applyNumberFormat="1" applyFont="1" applyFill="1" applyBorder="1" applyAlignment="1">
      <alignment horizontal="center" vertical="center"/>
    </xf>
    <xf numFmtId="2" fontId="20" fillId="23" borderId="39" xfId="0" applyNumberFormat="1" applyFont="1" applyFill="1" applyBorder="1" applyAlignment="1">
      <alignment horizontal="center" vertical="center"/>
    </xf>
    <xf numFmtId="2" fontId="20" fillId="23" borderId="12" xfId="0" applyNumberFormat="1" applyFont="1" applyFill="1" applyBorder="1" applyAlignment="1">
      <alignment horizontal="center" vertical="center"/>
    </xf>
    <xf numFmtId="2" fontId="39" fillId="23" borderId="12" xfId="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179" fontId="39" fillId="21" borderId="15" xfId="0" applyNumberFormat="1" applyFont="1" applyFill="1" applyBorder="1" applyAlignment="1">
      <alignment horizontal="center" vertical="center"/>
    </xf>
    <xf numFmtId="2" fontId="40" fillId="19" borderId="3" xfId="0" applyNumberFormat="1" applyFont="1" applyFill="1" applyBorder="1" applyAlignment="1">
      <alignment horizontal="left" vertical="center"/>
    </xf>
    <xf numFmtId="15" fontId="20" fillId="0" borderId="35" xfId="0" applyNumberFormat="1" applyFont="1" applyBorder="1" applyAlignment="1">
      <alignment horizontal="left" vertical="center"/>
    </xf>
    <xf numFmtId="0" fontId="45" fillId="0" borderId="36" xfId="0" applyFont="1" applyBorder="1" applyAlignment="1">
      <alignment vertical="center"/>
    </xf>
    <xf numFmtId="0" fontId="20" fillId="0" borderId="4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76" fontId="38" fillId="0" borderId="23" xfId="0" applyNumberFormat="1" applyFont="1" applyBorder="1" applyAlignment="1">
      <alignment horizontal="center" vertical="center"/>
    </xf>
    <xf numFmtId="179" fontId="38" fillId="0" borderId="23" xfId="0" applyNumberFormat="1" applyFont="1" applyBorder="1" applyAlignment="1">
      <alignment horizontal="center" vertical="center"/>
    </xf>
    <xf numFmtId="179" fontId="39" fillId="9" borderId="23" xfId="0" applyNumberFormat="1" applyFont="1" applyFill="1" applyBorder="1" applyAlignment="1">
      <alignment horizontal="center" vertical="center"/>
    </xf>
    <xf numFmtId="176" fontId="38" fillId="0" borderId="37" xfId="0" applyNumberFormat="1" applyFont="1" applyBorder="1" applyAlignment="1">
      <alignment horizontal="center" vertical="center"/>
    </xf>
    <xf numFmtId="178" fontId="39" fillId="0" borderId="23" xfId="0" applyNumberFormat="1" applyFont="1" applyBorder="1" applyAlignment="1">
      <alignment horizontal="right" vertical="center"/>
    </xf>
    <xf numFmtId="2" fontId="39" fillId="0" borderId="23" xfId="0" applyNumberFormat="1" applyFont="1" applyBorder="1" applyAlignment="1">
      <alignment vertical="center"/>
    </xf>
    <xf numFmtId="2" fontId="40" fillId="16" borderId="23" xfId="0" applyNumberFormat="1" applyFont="1" applyFill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2" fontId="23" fillId="21" borderId="23" xfId="0" applyNumberFormat="1" applyFont="1" applyFill="1" applyBorder="1" applyAlignment="1">
      <alignment horizontal="center" vertical="center"/>
    </xf>
    <xf numFmtId="2" fontId="40" fillId="0" borderId="23" xfId="0" applyNumberFormat="1" applyFont="1" applyBorder="1" applyAlignment="1">
      <alignment horizontal="center" vertical="center"/>
    </xf>
    <xf numFmtId="2" fontId="40" fillId="22" borderId="24" xfId="0" applyNumberFormat="1" applyFont="1" applyFill="1" applyBorder="1" applyAlignment="1">
      <alignment horizontal="center" vertical="center"/>
    </xf>
    <xf numFmtId="2" fontId="47" fillId="19" borderId="23" xfId="0" applyNumberFormat="1" applyFont="1" applyFill="1" applyBorder="1" applyAlignment="1">
      <alignment horizontal="left" vertical="center"/>
    </xf>
    <xf numFmtId="2" fontId="42" fillId="19" borderId="26" xfId="0" applyNumberFormat="1" applyFont="1" applyFill="1" applyBorder="1" applyAlignment="1">
      <alignment horizontal="left" vertical="center"/>
    </xf>
    <xf numFmtId="2" fontId="40" fillId="23" borderId="24" xfId="0" applyNumberFormat="1" applyFont="1" applyFill="1" applyBorder="1" applyAlignment="1">
      <alignment horizontal="center" vertical="center"/>
    </xf>
    <xf numFmtId="2" fontId="40" fillId="23" borderId="27" xfId="0" applyNumberFormat="1" applyFont="1" applyFill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179" fontId="39" fillId="9" borderId="14" xfId="0" applyNumberFormat="1" applyFont="1" applyFill="1" applyBorder="1" applyAlignment="1">
      <alignment horizontal="center" vertical="center"/>
    </xf>
    <xf numFmtId="178" fontId="39" fillId="0" borderId="16" xfId="0" applyNumberFormat="1" applyFont="1" applyBorder="1" applyAlignment="1">
      <alignment horizontal="right" vertical="center"/>
    </xf>
    <xf numFmtId="2" fontId="40" fillId="16" borderId="14" xfId="0" applyNumberFormat="1" applyFont="1" applyFill="1" applyBorder="1" applyAlignment="1">
      <alignment horizontal="center" vertical="center"/>
    </xf>
    <xf numFmtId="2" fontId="23" fillId="21" borderId="14" xfId="0" applyNumberFormat="1" applyFont="1" applyFill="1" applyBorder="1" applyAlignment="1">
      <alignment horizontal="center" vertical="center"/>
    </xf>
    <xf numFmtId="2" fontId="47" fillId="19" borderId="14" xfId="0" applyNumberFormat="1" applyFont="1" applyFill="1" applyBorder="1" applyAlignment="1">
      <alignment horizontal="left" vertical="center"/>
    </xf>
    <xf numFmtId="0" fontId="23" fillId="0" borderId="21" xfId="0" applyFont="1" applyBorder="1" applyAlignment="1">
      <alignment vertical="center" wrapText="1"/>
    </xf>
    <xf numFmtId="0" fontId="45" fillId="0" borderId="21" xfId="0" applyFont="1" applyBorder="1" applyAlignment="1">
      <alignment vertical="center"/>
    </xf>
    <xf numFmtId="181" fontId="40" fillId="0" borderId="15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181" fontId="40" fillId="0" borderId="23" xfId="0" applyNumberFormat="1" applyFont="1" applyBorder="1" applyAlignment="1">
      <alignment horizontal="center" vertical="center"/>
    </xf>
    <xf numFmtId="2" fontId="40" fillId="19" borderId="23" xfId="0" applyNumberFormat="1" applyFont="1" applyFill="1" applyBorder="1" applyAlignment="1">
      <alignment horizontal="left" vertical="center"/>
    </xf>
    <xf numFmtId="2" fontId="40" fillId="19" borderId="4" xfId="0" applyNumberFormat="1" applyFont="1" applyFill="1" applyBorder="1" applyAlignment="1">
      <alignment horizontal="left" vertical="center"/>
    </xf>
    <xf numFmtId="15" fontId="20" fillId="0" borderId="30" xfId="0" applyNumberFormat="1" applyFont="1" applyBorder="1" applyAlignment="1">
      <alignment horizontal="left" vertical="center"/>
    </xf>
    <xf numFmtId="0" fontId="45" fillId="0" borderId="40" xfId="0" applyFont="1" applyBorder="1" applyAlignment="1">
      <alignment vertical="center"/>
    </xf>
    <xf numFmtId="2" fontId="40" fillId="22" borderId="26" xfId="0" applyNumberFormat="1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179" fontId="38" fillId="0" borderId="37" xfId="0" applyNumberFormat="1" applyFont="1" applyBorder="1" applyAlignment="1">
      <alignment horizontal="center" vertical="center"/>
    </xf>
    <xf numFmtId="179" fontId="39" fillId="9" borderId="22" xfId="0" applyNumberFormat="1" applyFont="1" applyFill="1" applyBorder="1" applyAlignment="1">
      <alignment horizontal="center" vertical="center"/>
    </xf>
    <xf numFmtId="178" fontId="39" fillId="0" borderId="37" xfId="0" applyNumberFormat="1" applyFont="1" applyBorder="1" applyAlignment="1">
      <alignment horizontal="right" vertical="center"/>
    </xf>
    <xf numFmtId="2" fontId="39" fillId="0" borderId="37" xfId="0" applyNumberFormat="1" applyFont="1" applyBorder="1" applyAlignment="1">
      <alignment vertical="center"/>
    </xf>
    <xf numFmtId="2" fontId="40" fillId="16" borderId="22" xfId="0" applyNumberFormat="1" applyFont="1" applyFill="1" applyBorder="1" applyAlignment="1">
      <alignment horizontal="center" vertical="center"/>
    </xf>
    <xf numFmtId="2" fontId="20" fillId="0" borderId="37" xfId="0" applyNumberFormat="1" applyFont="1" applyBorder="1" applyAlignment="1">
      <alignment horizontal="center" vertical="center"/>
    </xf>
    <xf numFmtId="2" fontId="23" fillId="21" borderId="22" xfId="0" applyNumberFormat="1" applyFont="1" applyFill="1" applyBorder="1" applyAlignment="1">
      <alignment horizontal="center" vertical="center"/>
    </xf>
    <xf numFmtId="181" fontId="40" fillId="0" borderId="37" xfId="0" applyNumberFormat="1" applyFont="1" applyBorder="1" applyAlignment="1">
      <alignment horizontal="center" vertical="center"/>
    </xf>
    <xf numFmtId="2" fontId="47" fillId="19" borderId="22" xfId="0" applyNumberFormat="1" applyFont="1" applyFill="1" applyBorder="1" applyAlignment="1">
      <alignment horizontal="left" vertical="center"/>
    </xf>
    <xf numFmtId="2" fontId="40" fillId="19" borderId="22" xfId="0" applyNumberFormat="1" applyFont="1" applyFill="1" applyBorder="1" applyAlignment="1">
      <alignment horizontal="left" vertical="center"/>
    </xf>
    <xf numFmtId="179" fontId="38" fillId="0" borderId="16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181" fontId="40" fillId="0" borderId="16" xfId="0" applyNumberFormat="1" applyFont="1" applyBorder="1" applyAlignment="1">
      <alignment horizontal="center" vertical="center"/>
    </xf>
    <xf numFmtId="0" fontId="23" fillId="0" borderId="40" xfId="0" applyFont="1" applyBorder="1" applyAlignment="1">
      <alignment vertical="center"/>
    </xf>
    <xf numFmtId="0" fontId="46" fillId="0" borderId="40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179" fontId="39" fillId="24" borderId="23" xfId="0" applyNumberFormat="1" applyFont="1" applyFill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2" fontId="40" fillId="21" borderId="23" xfId="0" applyNumberFormat="1" applyFont="1" applyFill="1" applyBorder="1" applyAlignment="1">
      <alignment horizontal="center" vertical="center"/>
    </xf>
    <xf numFmtId="2" fontId="42" fillId="19" borderId="23" xfId="0" applyNumberFormat="1" applyFont="1" applyFill="1" applyBorder="1" applyAlignment="1">
      <alignment horizontal="left" vertical="center"/>
    </xf>
    <xf numFmtId="0" fontId="33" fillId="0" borderId="21" xfId="0" applyFont="1" applyBorder="1" applyAlignment="1">
      <alignment vertical="center"/>
    </xf>
    <xf numFmtId="2" fontId="49" fillId="0" borderId="15" xfId="0" applyNumberFormat="1" applyFont="1" applyBorder="1" applyAlignment="1">
      <alignment horizontal="center" vertical="center"/>
    </xf>
    <xf numFmtId="15" fontId="20" fillId="0" borderId="28" xfId="0" applyNumberFormat="1" applyFont="1" applyBorder="1" applyAlignment="1">
      <alignment horizontal="left" vertical="center"/>
    </xf>
    <xf numFmtId="0" fontId="33" fillId="0" borderId="29" xfId="0" applyFont="1" applyBorder="1" applyAlignment="1">
      <alignment vertical="center"/>
    </xf>
    <xf numFmtId="0" fontId="50" fillId="0" borderId="8" xfId="0" applyFont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176" fontId="38" fillId="0" borderId="5" xfId="0" applyNumberFormat="1" applyFont="1" applyBorder="1" applyAlignment="1">
      <alignment horizontal="center" vertical="center"/>
    </xf>
    <xf numFmtId="179" fontId="39" fillId="24" borderId="2" xfId="0" applyNumberFormat="1" applyFont="1" applyFill="1" applyBorder="1" applyAlignment="1">
      <alignment horizontal="center" vertical="center"/>
    </xf>
    <xf numFmtId="176" fontId="38" fillId="0" borderId="41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2" fontId="39" fillId="0" borderId="5" xfId="0" applyNumberFormat="1" applyFont="1" applyBorder="1" applyAlignment="1">
      <alignment vertical="center"/>
    </xf>
    <xf numFmtId="2" fontId="40" fillId="16" borderId="2" xfId="0" applyNumberFormat="1" applyFont="1" applyFill="1" applyBorder="1" applyAlignment="1">
      <alignment horizontal="center" vertical="center"/>
    </xf>
    <xf numFmtId="2" fontId="49" fillId="0" borderId="5" xfId="0" applyNumberFormat="1" applyFont="1" applyBorder="1" applyAlignment="1">
      <alignment horizontal="center" vertical="center"/>
    </xf>
    <xf numFmtId="2" fontId="40" fillId="21" borderId="2" xfId="0" applyNumberFormat="1" applyFont="1" applyFill="1" applyBorder="1" applyAlignment="1">
      <alignment horizontal="center" vertical="center"/>
    </xf>
    <xf numFmtId="2" fontId="40" fillId="0" borderId="41" xfId="0" applyNumberFormat="1" applyFont="1" applyBorder="1" applyAlignment="1">
      <alignment horizontal="center" vertical="center"/>
    </xf>
    <xf numFmtId="2" fontId="40" fillId="22" borderId="39" xfId="0" applyNumberFormat="1" applyFont="1" applyFill="1" applyBorder="1" applyAlignment="1">
      <alignment horizontal="center" vertical="center"/>
    </xf>
    <xf numFmtId="2" fontId="47" fillId="19" borderId="2" xfId="0" applyNumberFormat="1" applyFont="1" applyFill="1" applyBorder="1" applyAlignment="1">
      <alignment horizontal="left" vertical="center"/>
    </xf>
    <xf numFmtId="2" fontId="42" fillId="19" borderId="42" xfId="0" applyNumberFormat="1" applyFont="1" applyFill="1" applyBorder="1" applyAlignment="1">
      <alignment horizontal="left" vertical="center"/>
    </xf>
    <xf numFmtId="15" fontId="20" fillId="0" borderId="43" xfId="0" applyNumberFormat="1" applyFont="1" applyBorder="1" applyAlignment="1">
      <alignment horizontal="left" vertical="center"/>
    </xf>
    <xf numFmtId="0" fontId="23" fillId="0" borderId="44" xfId="0" applyFont="1" applyBorder="1" applyAlignment="1">
      <alignment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76" fontId="38" fillId="0" borderId="45" xfId="0" applyNumberFormat="1" applyFont="1" applyBorder="1" applyAlignment="1">
      <alignment horizontal="center" vertical="center"/>
    </xf>
    <xf numFmtId="179" fontId="39" fillId="9" borderId="45" xfId="0" applyNumberFormat="1" applyFont="1" applyFill="1" applyBorder="1" applyAlignment="1">
      <alignment horizontal="center" vertical="center"/>
    </xf>
    <xf numFmtId="178" fontId="39" fillId="0" borderId="45" xfId="0" applyNumberFormat="1" applyFont="1" applyBorder="1" applyAlignment="1">
      <alignment horizontal="right" vertical="center"/>
    </xf>
    <xf numFmtId="2" fontId="39" fillId="0" borderId="45" xfId="0" applyNumberFormat="1" applyFont="1" applyBorder="1" applyAlignment="1">
      <alignment vertical="center"/>
    </xf>
    <xf numFmtId="2" fontId="40" fillId="16" borderId="45" xfId="0" applyNumberFormat="1" applyFont="1" applyFill="1" applyBorder="1" applyAlignment="1">
      <alignment horizontal="center" vertical="center"/>
    </xf>
    <xf numFmtId="2" fontId="23" fillId="21" borderId="45" xfId="0" applyNumberFormat="1" applyFont="1" applyFill="1" applyBorder="1" applyAlignment="1">
      <alignment horizontal="center" vertical="center"/>
    </xf>
    <xf numFmtId="2" fontId="40" fillId="0" borderId="45" xfId="0" applyNumberFormat="1" applyFont="1" applyBorder="1" applyAlignment="1">
      <alignment horizontal="center" vertical="center"/>
    </xf>
    <xf numFmtId="2" fontId="40" fillId="22" borderId="46" xfId="0" applyNumberFormat="1" applyFont="1" applyFill="1" applyBorder="1" applyAlignment="1">
      <alignment horizontal="center" vertical="center"/>
    </xf>
    <xf numFmtId="2" fontId="47" fillId="19" borderId="45" xfId="0" applyNumberFormat="1" applyFont="1" applyFill="1" applyBorder="1" applyAlignment="1">
      <alignment horizontal="left" vertical="center"/>
    </xf>
    <xf numFmtId="2" fontId="40" fillId="19" borderId="45" xfId="0" applyNumberFormat="1" applyFont="1" applyFill="1" applyBorder="1" applyAlignment="1">
      <alignment horizontal="left" vertical="center"/>
    </xf>
    <xf numFmtId="0" fontId="50" fillId="0" borderId="11" xfId="0" applyFont="1" applyBorder="1" applyAlignment="1">
      <alignment horizontal="center" vertical="center"/>
    </xf>
    <xf numFmtId="172" fontId="20" fillId="0" borderId="15" xfId="0" applyNumberFormat="1" applyFont="1" applyBorder="1" applyAlignment="1">
      <alignment vertical="center"/>
    </xf>
    <xf numFmtId="0" fontId="46" fillId="0" borderId="44" xfId="0" applyFont="1" applyBorder="1" applyAlignment="1">
      <alignment horizontal="center" vertical="center"/>
    </xf>
    <xf numFmtId="176" fontId="51" fillId="0" borderId="16" xfId="0" applyNumberFormat="1" applyFont="1" applyBorder="1" applyAlignment="1">
      <alignment horizontal="center" vertical="center"/>
    </xf>
    <xf numFmtId="0" fontId="52" fillId="12" borderId="12" xfId="0" applyFont="1" applyFill="1" applyBorder="1"/>
    <xf numFmtId="0" fontId="53" fillId="12" borderId="12" xfId="0" applyFont="1" applyFill="1" applyBorder="1" applyAlignment="1">
      <alignment horizontal="center"/>
    </xf>
    <xf numFmtId="0" fontId="54" fillId="12" borderId="12" xfId="0" applyFont="1" applyFill="1" applyBorder="1" applyAlignment="1">
      <alignment horizontal="center"/>
    </xf>
    <xf numFmtId="17" fontId="20" fillId="12" borderId="12" xfId="0" applyNumberFormat="1" applyFont="1" applyFill="1" applyBorder="1" applyAlignment="1">
      <alignment horizontal="center"/>
    </xf>
    <xf numFmtId="0" fontId="55" fillId="12" borderId="12" xfId="0" applyFont="1" applyFill="1" applyBorder="1"/>
    <xf numFmtId="15" fontId="20" fillId="12" borderId="12" xfId="0" applyNumberFormat="1" applyFont="1" applyFill="1" applyBorder="1" applyAlignment="1">
      <alignment horizontal="center"/>
    </xf>
    <xf numFmtId="2" fontId="20" fillId="12" borderId="12" xfId="0" applyNumberFormat="1" applyFont="1" applyFill="1" applyBorder="1"/>
    <xf numFmtId="0" fontId="36" fillId="25" borderId="34" xfId="0" applyFont="1" applyFill="1" applyBorder="1" applyAlignment="1">
      <alignment horizontal="center" vertical="center"/>
    </xf>
    <xf numFmtId="0" fontId="36" fillId="16" borderId="15" xfId="0" applyFont="1" applyFill="1" applyBorder="1" applyAlignment="1">
      <alignment horizontal="center" vertical="center"/>
    </xf>
    <xf numFmtId="176" fontId="36" fillId="16" borderId="15" xfId="0" applyNumberFormat="1" applyFont="1" applyFill="1" applyBorder="1" applyAlignment="1">
      <alignment horizontal="center" vertical="center"/>
    </xf>
    <xf numFmtId="0" fontId="36" fillId="16" borderId="14" xfId="0" applyFont="1" applyFill="1" applyBorder="1" applyAlignment="1">
      <alignment horizontal="center" vertical="center"/>
    </xf>
    <xf numFmtId="0" fontId="36" fillId="17" borderId="47" xfId="0" applyFont="1" applyFill="1" applyBorder="1" applyAlignment="1">
      <alignment horizontal="center" vertical="center"/>
    </xf>
    <xf numFmtId="0" fontId="36" fillId="25" borderId="47" xfId="0" applyFont="1" applyFill="1" applyBorder="1" applyAlignment="1">
      <alignment horizontal="center" vertical="center"/>
    </xf>
    <xf numFmtId="0" fontId="20" fillId="0" borderId="9" xfId="0" applyFont="1" applyBorder="1"/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76" fontId="38" fillId="0" borderId="15" xfId="0" applyNumberFormat="1" applyFont="1" applyBorder="1" applyAlignment="1">
      <alignment horizontal="center"/>
    </xf>
    <xf numFmtId="178" fontId="39" fillId="0" borderId="15" xfId="0" applyNumberFormat="1" applyFont="1" applyBorder="1" applyAlignment="1">
      <alignment horizontal="right"/>
    </xf>
    <xf numFmtId="0" fontId="20" fillId="0" borderId="15" xfId="0" applyFont="1" applyBorder="1"/>
    <xf numFmtId="2" fontId="39" fillId="0" borderId="15" xfId="0" applyNumberFormat="1" applyFont="1" applyBorder="1"/>
    <xf numFmtId="2" fontId="40" fillId="16" borderId="15" xfId="0" applyNumberFormat="1" applyFont="1" applyFill="1" applyBorder="1"/>
    <xf numFmtId="2" fontId="40" fillId="9" borderId="15" xfId="0" applyNumberFormat="1" applyFont="1" applyFill="1" applyBorder="1"/>
    <xf numFmtId="2" fontId="42" fillId="9" borderId="15" xfId="0" applyNumberFormat="1" applyFont="1" applyFill="1" applyBorder="1"/>
    <xf numFmtId="0" fontId="20" fillId="0" borderId="20" xfId="0" applyFont="1" applyBorder="1"/>
    <xf numFmtId="0" fontId="20" fillId="0" borderId="21" xfId="0" applyFont="1" applyBorder="1"/>
    <xf numFmtId="0" fontId="20" fillId="16" borderId="15" xfId="0" applyFont="1" applyFill="1" applyBorder="1"/>
    <xf numFmtId="0" fontId="20" fillId="9" borderId="15" xfId="0" applyFont="1" applyFill="1" applyBorder="1"/>
    <xf numFmtId="179" fontId="38" fillId="0" borderId="15" xfId="0" applyNumberFormat="1" applyFont="1" applyBorder="1" applyAlignment="1">
      <alignment horizontal="center"/>
    </xf>
    <xf numFmtId="0" fontId="56" fillId="26" borderId="12" xfId="0" applyFont="1" applyFill="1" applyBorder="1" applyAlignment="1">
      <alignment horizontal="left"/>
    </xf>
    <xf numFmtId="0" fontId="25" fillId="26" borderId="12" xfId="0" applyFont="1" applyFill="1" applyBorder="1"/>
    <xf numFmtId="0" fontId="39" fillId="26" borderId="12" xfId="0" applyFont="1" applyFill="1" applyBorder="1"/>
    <xf numFmtId="0" fontId="39" fillId="0" borderId="0" xfId="0" applyFont="1"/>
    <xf numFmtId="0" fontId="25" fillId="26" borderId="12" xfId="0" applyFont="1" applyFill="1" applyBorder="1" applyAlignment="1">
      <alignment horizontal="left"/>
    </xf>
    <xf numFmtId="0" fontId="57" fillId="0" borderId="0" xfId="0" applyFont="1"/>
    <xf numFmtId="0" fontId="58" fillId="0" borderId="0" xfId="0" applyFont="1"/>
    <xf numFmtId="0" fontId="59" fillId="0" borderId="0" xfId="0" applyFont="1"/>
    <xf numFmtId="0" fontId="36" fillId="0" borderId="9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22" borderId="34" xfId="0" applyFont="1" applyFill="1" applyBorder="1" applyAlignment="1">
      <alignment horizontal="center" vertical="center"/>
    </xf>
    <xf numFmtId="0" fontId="36" fillId="21" borderId="34" xfId="0" applyFont="1" applyFill="1" applyBorder="1" applyAlignment="1">
      <alignment horizontal="center" vertical="center"/>
    </xf>
    <xf numFmtId="0" fontId="36" fillId="27" borderId="34" xfId="0" applyFont="1" applyFill="1" applyBorder="1" applyAlignment="1">
      <alignment horizontal="center" vertical="center"/>
    </xf>
    <xf numFmtId="0" fontId="36" fillId="28" borderId="15" xfId="0" applyFont="1" applyFill="1" applyBorder="1" applyAlignment="1">
      <alignment horizontal="center" vertical="center"/>
    </xf>
    <xf numFmtId="0" fontId="36" fillId="12" borderId="34" xfId="0" applyFont="1" applyFill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22" borderId="47" xfId="0" applyFont="1" applyFill="1" applyBorder="1" applyAlignment="1">
      <alignment horizontal="center" vertical="center"/>
    </xf>
    <xf numFmtId="0" fontId="36" fillId="21" borderId="47" xfId="0" applyFont="1" applyFill="1" applyBorder="1" applyAlignment="1">
      <alignment horizontal="center" vertical="center"/>
    </xf>
    <xf numFmtId="0" fontId="36" fillId="16" borderId="47" xfId="0" applyFont="1" applyFill="1" applyBorder="1" applyAlignment="1">
      <alignment horizontal="center" vertical="center"/>
    </xf>
    <xf numFmtId="0" fontId="36" fillId="27" borderId="47" xfId="0" applyFont="1" applyFill="1" applyBorder="1" applyAlignment="1">
      <alignment horizontal="center" vertical="center"/>
    </xf>
    <xf numFmtId="0" fontId="36" fillId="12" borderId="47" xfId="0" applyFont="1" applyFill="1" applyBorder="1" applyAlignment="1">
      <alignment horizontal="center" vertical="center"/>
    </xf>
    <xf numFmtId="182" fontId="60" fillId="0" borderId="15" xfId="0" quotePrefix="1" applyNumberFormat="1" applyFont="1" applyBorder="1" applyAlignment="1">
      <alignment horizontal="center" vertical="center" wrapText="1"/>
    </xf>
    <xf numFmtId="183" fontId="60" fillId="0" borderId="15" xfId="0" applyNumberFormat="1" applyFont="1" applyBorder="1" applyAlignment="1">
      <alignment horizontal="center" vertical="center"/>
    </xf>
    <xf numFmtId="183" fontId="60" fillId="0" borderId="9" xfId="0" applyNumberFormat="1" applyFont="1" applyBorder="1" applyAlignment="1">
      <alignment horizontal="center" vertical="center"/>
    </xf>
    <xf numFmtId="0" fontId="39" fillId="0" borderId="15" xfId="0" applyFont="1" applyBorder="1"/>
    <xf numFmtId="2" fontId="40" fillId="0" borderId="15" xfId="0" applyNumberFormat="1" applyFont="1" applyBorder="1"/>
    <xf numFmtId="183" fontId="40" fillId="22" borderId="15" xfId="0" applyNumberFormat="1" applyFont="1" applyFill="1" applyBorder="1" applyAlignment="1">
      <alignment horizontal="center"/>
    </xf>
    <xf numFmtId="2" fontId="40" fillId="21" borderId="15" xfId="0" applyNumberFormat="1" applyFont="1" applyFill="1" applyBorder="1"/>
    <xf numFmtId="183" fontId="40" fillId="21" borderId="15" xfId="0" applyNumberFormat="1" applyFont="1" applyFill="1" applyBorder="1" applyAlignment="1">
      <alignment horizontal="center"/>
    </xf>
    <xf numFmtId="183" fontId="39" fillId="0" borderId="15" xfId="0" applyNumberFormat="1" applyFont="1" applyBorder="1"/>
    <xf numFmtId="183" fontId="40" fillId="27" borderId="15" xfId="0" applyNumberFormat="1" applyFont="1" applyFill="1" applyBorder="1" applyAlignment="1">
      <alignment horizontal="center"/>
    </xf>
    <xf numFmtId="183" fontId="40" fillId="12" borderId="15" xfId="0" applyNumberFormat="1" applyFont="1" applyFill="1" applyBorder="1" applyAlignment="1">
      <alignment horizontal="center"/>
    </xf>
    <xf numFmtId="182" fontId="39" fillId="0" borderId="15" xfId="0" quotePrefix="1" applyNumberFormat="1" applyFont="1" applyBorder="1" applyAlignment="1">
      <alignment horizontal="center"/>
    </xf>
    <xf numFmtId="182" fontId="60" fillId="0" borderId="15" xfId="0" applyNumberFormat="1" applyFont="1" applyBorder="1" applyAlignment="1">
      <alignment horizontal="center" vertical="center" wrapText="1"/>
    </xf>
    <xf numFmtId="182" fontId="39" fillId="0" borderId="15" xfId="0" applyNumberFormat="1" applyFont="1" applyBorder="1" applyAlignment="1">
      <alignment horizontal="center"/>
    </xf>
    <xf numFmtId="183" fontId="39" fillId="0" borderId="15" xfId="0" applyNumberFormat="1" applyFont="1" applyBorder="1" applyAlignment="1">
      <alignment horizontal="center"/>
    </xf>
    <xf numFmtId="182" fontId="60" fillId="29" borderId="15" xfId="0" applyNumberFormat="1" applyFont="1" applyFill="1" applyBorder="1" applyAlignment="1">
      <alignment horizontal="center" vertical="center" wrapText="1"/>
    </xf>
    <xf numFmtId="183" fontId="39" fillId="29" borderId="15" xfId="0" applyNumberFormat="1" applyFont="1" applyFill="1" applyBorder="1" applyAlignment="1">
      <alignment horizontal="center"/>
    </xf>
    <xf numFmtId="0" fontId="20" fillId="29" borderId="15" xfId="0" applyFont="1" applyFill="1" applyBorder="1" applyAlignment="1">
      <alignment horizontal="center"/>
    </xf>
    <xf numFmtId="176" fontId="38" fillId="29" borderId="15" xfId="0" applyNumberFormat="1" applyFont="1" applyFill="1" applyBorder="1" applyAlignment="1">
      <alignment horizontal="center"/>
    </xf>
    <xf numFmtId="178" fontId="39" fillId="29" borderId="15" xfId="0" applyNumberFormat="1" applyFont="1" applyFill="1" applyBorder="1" applyAlignment="1">
      <alignment horizontal="right"/>
    </xf>
    <xf numFmtId="0" fontId="39" fillId="29" borderId="15" xfId="0" applyFont="1" applyFill="1" applyBorder="1"/>
    <xf numFmtId="2" fontId="39" fillId="29" borderId="15" xfId="0" applyNumberFormat="1" applyFont="1" applyFill="1" applyBorder="1"/>
    <xf numFmtId="2" fontId="40" fillId="12" borderId="12" xfId="0" applyNumberFormat="1" applyFont="1" applyFill="1" applyBorder="1"/>
    <xf numFmtId="0" fontId="40" fillId="12" borderId="12" xfId="0" applyFont="1" applyFill="1" applyBorder="1"/>
    <xf numFmtId="0" fontId="61" fillId="0" borderId="0" xfId="0" applyFont="1"/>
    <xf numFmtId="165" fontId="62" fillId="30" borderId="15" xfId="0" applyNumberFormat="1" applyFont="1" applyFill="1" applyBorder="1" applyAlignment="1">
      <alignment horizontal="center" vertical="center"/>
    </xf>
    <xf numFmtId="184" fontId="62" fillId="30" borderId="15" xfId="0" applyNumberFormat="1" applyFont="1" applyFill="1" applyBorder="1" applyAlignment="1">
      <alignment horizontal="center" vertical="center" wrapText="1"/>
    </xf>
    <xf numFmtId="164" fontId="62" fillId="31" borderId="15" xfId="0" applyNumberFormat="1" applyFont="1" applyFill="1" applyBorder="1" applyAlignment="1">
      <alignment horizontal="center" vertical="center" wrapText="1"/>
    </xf>
    <xf numFmtId="170" fontId="62" fillId="30" borderId="15" xfId="0" applyNumberFormat="1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/>
    </xf>
    <xf numFmtId="182" fontId="64" fillId="32" borderId="15" xfId="0" quotePrefix="1" applyNumberFormat="1" applyFont="1" applyFill="1" applyBorder="1" applyAlignment="1">
      <alignment horizontal="center" vertical="center" wrapText="1"/>
    </xf>
    <xf numFmtId="170" fontId="64" fillId="32" borderId="15" xfId="0" applyNumberFormat="1" applyFont="1" applyFill="1" applyBorder="1" applyAlignment="1">
      <alignment horizontal="center" vertical="center"/>
    </xf>
    <xf numFmtId="170" fontId="65" fillId="32" borderId="15" xfId="0" applyNumberFormat="1" applyFont="1" applyFill="1" applyBorder="1"/>
    <xf numFmtId="0" fontId="63" fillId="0" borderId="0" xfId="0" applyFont="1"/>
    <xf numFmtId="0" fontId="65" fillId="32" borderId="15" xfId="0" applyFont="1" applyFill="1" applyBorder="1"/>
    <xf numFmtId="182" fontId="64" fillId="33" borderId="15" xfId="0" quotePrefix="1" applyNumberFormat="1" applyFont="1" applyFill="1" applyBorder="1" applyAlignment="1">
      <alignment horizontal="center" vertical="center" wrapText="1"/>
    </xf>
    <xf numFmtId="170" fontId="64" fillId="33" borderId="15" xfId="0" applyNumberFormat="1" applyFont="1" applyFill="1" applyBorder="1" applyAlignment="1">
      <alignment horizontal="center" vertical="center"/>
    </xf>
    <xf numFmtId="170" fontId="65" fillId="33" borderId="15" xfId="0" applyNumberFormat="1" applyFont="1" applyFill="1" applyBorder="1"/>
    <xf numFmtId="0" fontId="65" fillId="33" borderId="15" xfId="0" applyFont="1" applyFill="1" applyBorder="1"/>
    <xf numFmtId="182" fontId="64" fillId="34" borderId="15" xfId="0" quotePrefix="1" applyNumberFormat="1" applyFont="1" applyFill="1" applyBorder="1" applyAlignment="1">
      <alignment horizontal="center" vertical="center" wrapText="1"/>
    </xf>
    <xf numFmtId="170" fontId="64" fillId="34" borderId="15" xfId="0" applyNumberFormat="1" applyFont="1" applyFill="1" applyBorder="1" applyAlignment="1">
      <alignment horizontal="center" vertical="center"/>
    </xf>
    <xf numFmtId="170" fontId="65" fillId="34" borderId="15" xfId="0" applyNumberFormat="1" applyFont="1" applyFill="1" applyBorder="1"/>
    <xf numFmtId="0" fontId="65" fillId="34" borderId="15" xfId="0" applyFont="1" applyFill="1" applyBorder="1"/>
    <xf numFmtId="182" fontId="65" fillId="0" borderId="15" xfId="0" quotePrefix="1" applyNumberFormat="1" applyFont="1" applyBorder="1" applyAlignment="1">
      <alignment horizontal="center"/>
    </xf>
    <xf numFmtId="170" fontId="65" fillId="0" borderId="15" xfId="0" applyNumberFormat="1" applyFont="1" applyBorder="1"/>
    <xf numFmtId="170" fontId="65" fillId="0" borderId="15" xfId="0" applyNumberFormat="1" applyFont="1" applyBorder="1" applyAlignment="1">
      <alignment horizontal="center" vertical="center"/>
    </xf>
    <xf numFmtId="182" fontId="64" fillId="0" borderId="15" xfId="0" quotePrefix="1" applyNumberFormat="1" applyFont="1" applyBorder="1" applyAlignment="1">
      <alignment horizontal="center" vertical="center" wrapText="1"/>
    </xf>
    <xf numFmtId="0" fontId="65" fillId="0" borderId="15" xfId="0" applyFont="1" applyBorder="1"/>
    <xf numFmtId="182" fontId="64" fillId="0" borderId="15" xfId="0" applyNumberFormat="1" applyFont="1" applyBorder="1" applyAlignment="1">
      <alignment horizontal="center" vertical="center" wrapText="1"/>
    </xf>
    <xf numFmtId="182" fontId="65" fillId="0" borderId="15" xfId="0" applyNumberFormat="1" applyFont="1" applyBorder="1" applyAlignment="1">
      <alignment horizontal="center"/>
    </xf>
    <xf numFmtId="184" fontId="65" fillId="0" borderId="15" xfId="0" applyNumberFormat="1" applyFont="1" applyBorder="1" applyAlignment="1">
      <alignment horizontal="center"/>
    </xf>
    <xf numFmtId="185" fontId="65" fillId="0" borderId="15" xfId="0" applyNumberFormat="1" applyFont="1" applyBorder="1" applyAlignment="1">
      <alignment horizontal="center" vertical="center"/>
    </xf>
    <xf numFmtId="184" fontId="65" fillId="35" borderId="15" xfId="0" applyNumberFormat="1" applyFont="1" applyFill="1" applyBorder="1" applyAlignment="1">
      <alignment horizontal="center"/>
    </xf>
    <xf numFmtId="185" fontId="65" fillId="35" borderId="15" xfId="0" applyNumberFormat="1" applyFont="1" applyFill="1" applyBorder="1" applyAlignment="1">
      <alignment horizontal="center" vertical="center"/>
    </xf>
    <xf numFmtId="0" fontId="66" fillId="0" borderId="15" xfId="0" applyFont="1" applyBorder="1"/>
    <xf numFmtId="184" fontId="65" fillId="36" borderId="15" xfId="0" applyNumberFormat="1" applyFont="1" applyFill="1" applyBorder="1" applyAlignment="1">
      <alignment horizontal="center"/>
    </xf>
    <xf numFmtId="184" fontId="65" fillId="0" borderId="21" xfId="0" applyNumberFormat="1" applyFont="1" applyBorder="1" applyAlignment="1">
      <alignment horizontal="center"/>
    </xf>
    <xf numFmtId="184" fontId="65" fillId="0" borderId="10" xfId="0" applyNumberFormat="1" applyFont="1" applyBorder="1" applyAlignment="1">
      <alignment horizontal="center"/>
    </xf>
    <xf numFmtId="184" fontId="65" fillId="0" borderId="11" xfId="0" applyNumberFormat="1" applyFont="1" applyBorder="1" applyAlignment="1">
      <alignment horizontal="center"/>
    </xf>
    <xf numFmtId="185" fontId="65" fillId="0" borderId="15" xfId="0" applyNumberFormat="1" applyFont="1" applyBorder="1" applyAlignment="1">
      <alignment horizontal="center" vertical="top"/>
    </xf>
    <xf numFmtId="184" fontId="65" fillId="0" borderId="5" xfId="0" applyNumberFormat="1" applyFont="1" applyBorder="1" applyAlignment="1">
      <alignment horizontal="center"/>
    </xf>
    <xf numFmtId="185" fontId="65" fillId="0" borderId="5" xfId="0" applyNumberFormat="1" applyFont="1" applyBorder="1" applyAlignment="1">
      <alignment horizontal="center" vertical="top"/>
    </xf>
    <xf numFmtId="0" fontId="63" fillId="0" borderId="5" xfId="0" applyFont="1" applyBorder="1"/>
    <xf numFmtId="184" fontId="65" fillId="0" borderId="9" xfId="0" applyNumberFormat="1" applyFont="1" applyBorder="1" applyAlignment="1">
      <alignment horizontal="center"/>
    </xf>
    <xf numFmtId="0" fontId="63" fillId="0" borderId="15" xfId="0" applyFont="1" applyBorder="1"/>
    <xf numFmtId="182" fontId="63" fillId="0" borderId="0" xfId="0" applyNumberFormat="1" applyFont="1"/>
    <xf numFmtId="184" fontId="63" fillId="0" borderId="0" xfId="0" applyNumberFormat="1" applyFont="1"/>
    <xf numFmtId="0" fontId="67" fillId="12" borderId="12" xfId="0" applyFont="1" applyFill="1" applyBorder="1" applyAlignment="1">
      <alignment horizontal="center"/>
    </xf>
    <xf numFmtId="0" fontId="68" fillId="12" borderId="12" xfId="0" applyFont="1" applyFill="1" applyBorder="1" applyAlignment="1">
      <alignment horizontal="right"/>
    </xf>
    <xf numFmtId="0" fontId="69" fillId="0" borderId="0" xfId="0" applyFont="1" applyAlignment="1">
      <alignment horizontal="center"/>
    </xf>
    <xf numFmtId="17" fontId="46" fillId="12" borderId="12" xfId="0" applyNumberFormat="1" applyFont="1" applyFill="1" applyBorder="1" applyAlignment="1">
      <alignment horizontal="right"/>
    </xf>
    <xf numFmtId="0" fontId="55" fillId="0" borderId="0" xfId="0" applyFont="1"/>
    <xf numFmtId="15" fontId="20" fillId="12" borderId="12" xfId="0" applyNumberFormat="1" applyFont="1" applyFill="1" applyBorder="1" applyAlignment="1">
      <alignment horizontal="right"/>
    </xf>
    <xf numFmtId="0" fontId="46" fillId="12" borderId="12" xfId="0" applyFont="1" applyFill="1" applyBorder="1"/>
    <xf numFmtId="15" fontId="23" fillId="12" borderId="12" xfId="0" applyNumberFormat="1" applyFont="1" applyFill="1" applyBorder="1" applyAlignment="1">
      <alignment horizontal="right"/>
    </xf>
    <xf numFmtId="0" fontId="33" fillId="12" borderId="12" xfId="0" applyFont="1" applyFill="1" applyBorder="1"/>
    <xf numFmtId="0" fontId="23" fillId="12" borderId="12" xfId="0" applyFont="1" applyFill="1" applyBorder="1"/>
    <xf numFmtId="0" fontId="70" fillId="16" borderId="34" xfId="0" applyFont="1" applyFill="1" applyBorder="1" applyAlignment="1">
      <alignment horizontal="center" vertical="center"/>
    </xf>
    <xf numFmtId="0" fontId="36" fillId="4" borderId="34" xfId="0" applyFont="1" applyFill="1" applyBorder="1" applyAlignment="1">
      <alignment horizontal="center" vertical="center"/>
    </xf>
    <xf numFmtId="0" fontId="70" fillId="16" borderId="22" xfId="0" applyFont="1" applyFill="1" applyBorder="1" applyAlignment="1">
      <alignment horizontal="center" vertical="center"/>
    </xf>
    <xf numFmtId="0" fontId="70" fillId="17" borderId="25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186" fontId="20" fillId="0" borderId="16" xfId="0" applyNumberFormat="1" applyFont="1" applyBorder="1" applyAlignment="1">
      <alignment vertical="center"/>
    </xf>
    <xf numFmtId="186" fontId="20" fillId="0" borderId="15" xfId="0" applyNumberFormat="1" applyFont="1" applyBorder="1" applyAlignme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6" fillId="0" borderId="20" xfId="0" applyFont="1" applyBorder="1"/>
    <xf numFmtId="0" fontId="6" fillId="0" borderId="1" xfId="0" applyFont="1" applyBorder="1"/>
    <xf numFmtId="0" fontId="6" fillId="0" borderId="21" xfId="0" applyFont="1" applyBorder="1"/>
    <xf numFmtId="0" fontId="5" fillId="2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40" fontId="5" fillId="2" borderId="5" xfId="0" applyNumberFormat="1" applyFont="1" applyFill="1" applyBorder="1" applyAlignment="1">
      <alignment horizontal="center" vertical="center" wrapText="1"/>
    </xf>
    <xf numFmtId="0" fontId="6" fillId="0" borderId="16" xfId="0" applyFont="1" applyBorder="1"/>
    <xf numFmtId="0" fontId="5" fillId="3" borderId="6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5" fillId="2" borderId="6" xfId="0" applyFont="1" applyFill="1" applyBorder="1" applyAlignment="1">
      <alignment horizontal="center" vertical="center" wrapText="1"/>
    </xf>
    <xf numFmtId="177" fontId="35" fillId="0" borderId="1" xfId="0" applyNumberFormat="1" applyFont="1" applyBorder="1" applyAlignment="1">
      <alignment horizontal="left"/>
    </xf>
    <xf numFmtId="0" fontId="36" fillId="16" borderId="6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36" fillId="16" borderId="9" xfId="0" applyFont="1" applyFill="1" applyBorder="1" applyAlignment="1">
      <alignment horizontal="center" vertical="center"/>
    </xf>
    <xf numFmtId="0" fontId="23" fillId="12" borderId="5" xfId="0" applyFont="1" applyFill="1" applyBorder="1" applyAlignment="1">
      <alignment horizontal="center" vertical="top"/>
    </xf>
    <xf numFmtId="0" fontId="6" fillId="0" borderId="37" xfId="0" applyFont="1" applyBorder="1"/>
    <xf numFmtId="0" fontId="40" fillId="0" borderId="0" xfId="0" applyFont="1" applyAlignment="1">
      <alignment horizontal="center" vertical="center"/>
    </xf>
    <xf numFmtId="0" fontId="3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81300" cy="3619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390775" cy="3619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09750" cy="3619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09750" cy="3619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09750" cy="36195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19225" cy="361950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19225" cy="361950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19225" cy="3619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62050" cy="36195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62050" cy="361950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62050" cy="361950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0</xdr:rowOff>
    </xdr:from>
    <xdr:ext cx="1266825" cy="361950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0" name="image2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2" name="image2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4" name="image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657475" cy="361950"/>
    <xdr:pic>
      <xdr:nvPicPr>
        <xdr:cNvPr id="35" name="image6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657475" cy="361950"/>
    <xdr:pic>
      <xdr:nvPicPr>
        <xdr:cNvPr id="36" name="image6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1" name="image6.png">
          <a:extLst>
            <a:ext uri="{FF2B5EF4-FFF2-40B4-BE49-F238E27FC236}">
              <a16:creationId xmlns:a16="http://schemas.microsoft.com/office/drawing/2014/main" id="{E1BF6692-1F86-619C-0C89-37F0013F9C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9218B11B-6F17-BB46-FCB2-268D518DD9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F9F6E45D-86B1-C88B-0956-C495A9795B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4" name="image6.png">
          <a:extLst>
            <a:ext uri="{FF2B5EF4-FFF2-40B4-BE49-F238E27FC236}">
              <a16:creationId xmlns:a16="http://schemas.microsoft.com/office/drawing/2014/main" id="{1D6EB966-7C4F-6F6E-C421-D5DC3FDA4C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00"/>
    <pageSetUpPr fitToPage="1"/>
  </sheetPr>
  <dimension ref="A1:BM857"/>
  <sheetViews>
    <sheetView showGridLines="0" tabSelected="1" zoomScale="68" zoomScaleNormal="68" workbookViewId="0">
      <pane xSplit="1" ySplit="4" topLeftCell="B742" activePane="bottomRight" state="frozen"/>
      <selection pane="topRight" activeCell="B1" sqref="B1"/>
      <selection pane="bottomLeft" activeCell="A5" sqref="A5"/>
      <selection pane="bottomRight" activeCell="AF747" sqref="A1:AF747"/>
    </sheetView>
  </sheetViews>
  <sheetFormatPr defaultColWidth="11.25" defaultRowHeight="15" customHeight="1" x14ac:dyDescent="0.4"/>
  <cols>
    <col min="1" max="1" width="11.4140625" customWidth="1"/>
    <col min="2" max="6" width="16.75" customWidth="1"/>
    <col min="7" max="7" width="15.4140625" customWidth="1"/>
    <col min="8" max="13" width="9.08203125" customWidth="1"/>
    <col min="14" max="14" width="10.6640625" customWidth="1"/>
    <col min="15" max="16" width="9.75" customWidth="1"/>
    <col min="17" max="17" width="9.08203125" customWidth="1"/>
    <col min="18" max="18" width="9.4140625" customWidth="1"/>
    <col min="19" max="19" width="10.4140625" customWidth="1"/>
    <col min="20" max="22" width="9.75" customWidth="1"/>
    <col min="23" max="23" width="9.08203125" customWidth="1"/>
    <col min="24" max="28" width="10.4140625" customWidth="1"/>
    <col min="29" max="32" width="10.6640625" customWidth="1"/>
    <col min="33" max="38" width="11.6640625" customWidth="1"/>
    <col min="39" max="39" width="11.6640625" hidden="1" customWidth="1"/>
    <col min="40" max="41" width="11.6640625" customWidth="1"/>
    <col min="42" max="42" width="11.6640625" hidden="1" customWidth="1"/>
    <col min="43" max="44" width="11.6640625" customWidth="1"/>
    <col min="45" max="45" width="12.33203125" customWidth="1"/>
    <col min="46" max="46" width="22.08203125" customWidth="1"/>
    <col min="47" max="61" width="12.33203125" customWidth="1"/>
    <col min="62" max="62" width="12.6640625" customWidth="1"/>
    <col min="63" max="65" width="11.08203125" customWidth="1"/>
  </cols>
  <sheetData>
    <row r="1" spans="1:65" ht="28.5" customHeight="1" x14ac:dyDescent="0.45">
      <c r="A1" s="1"/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  <c r="AN1" s="7"/>
      <c r="AO1" s="7"/>
      <c r="AP1" s="7"/>
      <c r="AQ1" s="4"/>
      <c r="AR1" s="4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8"/>
      <c r="BK1" s="8"/>
      <c r="BL1" s="8"/>
      <c r="BM1" s="8"/>
    </row>
    <row r="2" spans="1:65" ht="15" customHeight="1" x14ac:dyDescent="0.45">
      <c r="A2" s="9" t="s">
        <v>0</v>
      </c>
      <c r="B2" s="10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470" t="s">
        <v>6</v>
      </c>
      <c r="H2" s="472" t="s">
        <v>7</v>
      </c>
      <c r="I2" s="462"/>
      <c r="J2" s="462"/>
      <c r="K2" s="462"/>
      <c r="L2" s="462"/>
      <c r="M2" s="463"/>
      <c r="N2" s="476" t="s">
        <v>8</v>
      </c>
      <c r="O2" s="462"/>
      <c r="P2" s="462"/>
      <c r="Q2" s="462"/>
      <c r="R2" s="463"/>
      <c r="S2" s="472" t="s">
        <v>9</v>
      </c>
      <c r="T2" s="462"/>
      <c r="U2" s="462"/>
      <c r="V2" s="462"/>
      <c r="W2" s="463"/>
      <c r="X2" s="476" t="s">
        <v>10</v>
      </c>
      <c r="Y2" s="462"/>
      <c r="Z2" s="462"/>
      <c r="AA2" s="462"/>
      <c r="AB2" s="463"/>
      <c r="AC2" s="461" t="s">
        <v>11</v>
      </c>
      <c r="AD2" s="462"/>
      <c r="AE2" s="462"/>
      <c r="AF2" s="463"/>
      <c r="AG2" s="467" t="s">
        <v>12</v>
      </c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9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8"/>
      <c r="BK2" s="8"/>
      <c r="BL2" s="8"/>
      <c r="BM2" s="8"/>
    </row>
    <row r="3" spans="1:65" ht="15" customHeight="1" x14ac:dyDescent="0.45">
      <c r="A3" s="13"/>
      <c r="B3" s="14">
        <v>6500</v>
      </c>
      <c r="C3" s="15">
        <v>5800</v>
      </c>
      <c r="D3" s="15">
        <v>5000</v>
      </c>
      <c r="E3" s="15">
        <v>4200</v>
      </c>
      <c r="F3" s="15">
        <v>3400</v>
      </c>
      <c r="G3" s="471"/>
      <c r="H3" s="473"/>
      <c r="I3" s="474"/>
      <c r="J3" s="474"/>
      <c r="K3" s="474"/>
      <c r="L3" s="474"/>
      <c r="M3" s="475"/>
      <c r="N3" s="473"/>
      <c r="O3" s="474"/>
      <c r="P3" s="474"/>
      <c r="Q3" s="474"/>
      <c r="R3" s="475"/>
      <c r="S3" s="464"/>
      <c r="T3" s="465"/>
      <c r="U3" s="465"/>
      <c r="V3" s="465"/>
      <c r="W3" s="466"/>
      <c r="X3" s="464"/>
      <c r="Y3" s="465"/>
      <c r="Z3" s="465"/>
      <c r="AA3" s="465"/>
      <c r="AB3" s="466"/>
      <c r="AC3" s="464"/>
      <c r="AD3" s="465"/>
      <c r="AE3" s="465"/>
      <c r="AF3" s="466"/>
      <c r="AG3" s="16" t="s">
        <v>13</v>
      </c>
      <c r="AH3" s="16" t="s">
        <v>13</v>
      </c>
      <c r="AI3" s="16" t="s">
        <v>14</v>
      </c>
      <c r="AJ3" s="16" t="s">
        <v>14</v>
      </c>
      <c r="AK3" s="17" t="s">
        <v>15</v>
      </c>
      <c r="AL3" s="16" t="s">
        <v>15</v>
      </c>
      <c r="AM3" s="16" t="s">
        <v>16</v>
      </c>
      <c r="AN3" s="18" t="s">
        <v>17</v>
      </c>
      <c r="AO3" s="16" t="s">
        <v>18</v>
      </c>
      <c r="AP3" s="19" t="s">
        <v>19</v>
      </c>
      <c r="AQ3" s="16" t="s">
        <v>14</v>
      </c>
      <c r="AR3" s="16" t="s">
        <v>20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8"/>
      <c r="BK3" s="8"/>
      <c r="BL3" s="8"/>
      <c r="BM3" s="8"/>
    </row>
    <row r="4" spans="1:65" ht="18.5" x14ac:dyDescent="0.45">
      <c r="A4" s="20"/>
      <c r="B4" s="21">
        <v>6200</v>
      </c>
      <c r="C4" s="21">
        <v>5500</v>
      </c>
      <c r="D4" s="21">
        <v>4600</v>
      </c>
      <c r="E4" s="21">
        <v>3800</v>
      </c>
      <c r="F4" s="22">
        <v>3000</v>
      </c>
      <c r="G4" s="23">
        <v>6322</v>
      </c>
      <c r="H4" s="24" t="s">
        <v>1</v>
      </c>
      <c r="I4" s="24" t="s">
        <v>2</v>
      </c>
      <c r="J4" s="24" t="s">
        <v>3</v>
      </c>
      <c r="K4" s="24" t="s">
        <v>4</v>
      </c>
      <c r="L4" s="24" t="s">
        <v>5</v>
      </c>
      <c r="M4" s="24" t="s">
        <v>21</v>
      </c>
      <c r="N4" s="24" t="s">
        <v>1</v>
      </c>
      <c r="O4" s="24" t="s">
        <v>2</v>
      </c>
      <c r="P4" s="24" t="s">
        <v>3</v>
      </c>
      <c r="Q4" s="24" t="s">
        <v>4</v>
      </c>
      <c r="R4" s="24" t="s">
        <v>5</v>
      </c>
      <c r="S4" s="25" t="s">
        <v>1</v>
      </c>
      <c r="T4" s="25" t="s">
        <v>2</v>
      </c>
      <c r="U4" s="25" t="s">
        <v>3</v>
      </c>
      <c r="V4" s="25" t="s">
        <v>4</v>
      </c>
      <c r="W4" s="26" t="s">
        <v>5</v>
      </c>
      <c r="X4" s="25" t="s">
        <v>1</v>
      </c>
      <c r="Y4" s="25" t="s">
        <v>2</v>
      </c>
      <c r="Z4" s="25" t="s">
        <v>3</v>
      </c>
      <c r="AA4" s="25" t="s">
        <v>4</v>
      </c>
      <c r="AB4" s="25" t="s">
        <v>5</v>
      </c>
      <c r="AC4" s="27" t="s">
        <v>22</v>
      </c>
      <c r="AD4" s="27" t="s">
        <v>23</v>
      </c>
      <c r="AE4" s="27" t="s">
        <v>24</v>
      </c>
      <c r="AF4" s="27" t="s">
        <v>25</v>
      </c>
      <c r="AG4" s="28" t="s">
        <v>26</v>
      </c>
      <c r="AH4" s="28" t="s">
        <v>27</v>
      </c>
      <c r="AI4" s="28" t="s">
        <v>28</v>
      </c>
      <c r="AJ4" s="28" t="s">
        <v>29</v>
      </c>
      <c r="AK4" s="29" t="s">
        <v>30</v>
      </c>
      <c r="AL4" s="28" t="s">
        <v>31</v>
      </c>
      <c r="AM4" s="30" t="s">
        <v>32</v>
      </c>
      <c r="AN4" s="31" t="s">
        <v>33</v>
      </c>
      <c r="AO4" s="30" t="s">
        <v>34</v>
      </c>
      <c r="AP4" s="32" t="s">
        <v>33</v>
      </c>
      <c r="AQ4" s="28" t="s">
        <v>35</v>
      </c>
      <c r="AR4" s="28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8"/>
      <c r="BK4" s="8"/>
      <c r="BL4" s="8"/>
      <c r="BM4" s="8"/>
    </row>
    <row r="5" spans="1:65" ht="15.75" hidden="1" customHeight="1" x14ac:dyDescent="0.45">
      <c r="A5" s="34">
        <v>40914</v>
      </c>
      <c r="B5" s="35">
        <v>114.24</v>
      </c>
      <c r="C5" s="35">
        <v>94.32</v>
      </c>
      <c r="D5" s="35">
        <v>75.2</v>
      </c>
      <c r="E5" s="35">
        <v>47.13</v>
      </c>
      <c r="F5" s="35">
        <v>36.15</v>
      </c>
      <c r="G5" s="36">
        <v>114.3</v>
      </c>
      <c r="H5" s="37"/>
      <c r="I5" s="38"/>
      <c r="J5" s="38"/>
      <c r="K5" s="38"/>
      <c r="L5" s="39"/>
      <c r="M5" s="38"/>
      <c r="N5" s="40"/>
      <c r="O5" s="40"/>
      <c r="P5" s="40"/>
      <c r="Q5" s="40"/>
      <c r="R5" s="40"/>
      <c r="S5" s="40">
        <f t="shared" ref="S5:W5" si="0">(0+B5)/2</f>
        <v>57.12</v>
      </c>
      <c r="T5" s="40">
        <f t="shared" si="0"/>
        <v>47.16</v>
      </c>
      <c r="U5" s="40">
        <f t="shared" si="0"/>
        <v>37.6</v>
      </c>
      <c r="V5" s="40">
        <f t="shared" si="0"/>
        <v>23.565000000000001</v>
      </c>
      <c r="W5" s="40">
        <f t="shared" si="0"/>
        <v>18.074999999999999</v>
      </c>
      <c r="X5" s="41">
        <f t="shared" ref="X5:AB5" si="1">(0+0+0+0)/4</f>
        <v>0</v>
      </c>
      <c r="Y5" s="40">
        <f t="shared" si="1"/>
        <v>0</v>
      </c>
      <c r="Z5" s="40">
        <f t="shared" si="1"/>
        <v>0</v>
      </c>
      <c r="AA5" s="40">
        <f t="shared" si="1"/>
        <v>0</v>
      </c>
      <c r="AB5" s="40">
        <f t="shared" si="1"/>
        <v>0</v>
      </c>
      <c r="AC5" s="42">
        <f t="shared" ref="AC5:AF5" si="2">(B5+C5)/2</f>
        <v>104.28</v>
      </c>
      <c r="AD5" s="42">
        <f t="shared" si="2"/>
        <v>84.759999999999991</v>
      </c>
      <c r="AE5" s="42">
        <f t="shared" si="2"/>
        <v>61.165000000000006</v>
      </c>
      <c r="AF5" s="42">
        <f t="shared" si="2"/>
        <v>41.64</v>
      </c>
      <c r="AG5" s="7"/>
      <c r="AH5" s="7"/>
      <c r="AI5" s="7"/>
      <c r="AJ5" s="7"/>
      <c r="AK5" s="7"/>
      <c r="AL5" s="7"/>
      <c r="AM5" s="7"/>
      <c r="AN5" s="3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  <c r="BK5" s="8"/>
      <c r="BL5" s="8"/>
      <c r="BM5" s="8"/>
    </row>
    <row r="6" spans="1:65" ht="15.75" hidden="1" customHeight="1" x14ac:dyDescent="0.45">
      <c r="A6" s="43">
        <f t="shared" ref="A6:A260" si="3">A5+7</f>
        <v>40921</v>
      </c>
      <c r="B6" s="44">
        <v>115.39</v>
      </c>
      <c r="C6" s="44">
        <v>94.29</v>
      </c>
      <c r="D6" s="44">
        <v>74.89</v>
      </c>
      <c r="E6" s="44">
        <v>46.77</v>
      </c>
      <c r="F6" s="44">
        <v>36.19</v>
      </c>
      <c r="G6" s="45">
        <v>116.19</v>
      </c>
      <c r="H6" s="37">
        <f t="shared" ref="H6:L6" si="4">B6-B5</f>
        <v>1.1500000000000057</v>
      </c>
      <c r="I6" s="38">
        <f t="shared" si="4"/>
        <v>-2.9999999999986926E-2</v>
      </c>
      <c r="J6" s="38">
        <f t="shared" si="4"/>
        <v>-0.31000000000000227</v>
      </c>
      <c r="K6" s="38">
        <f t="shared" si="4"/>
        <v>-0.35999999999999943</v>
      </c>
      <c r="L6" s="39">
        <f t="shared" si="4"/>
        <v>3.9999999999999147E-2</v>
      </c>
      <c r="M6" s="38"/>
      <c r="N6" s="40"/>
      <c r="O6" s="40"/>
      <c r="P6" s="40"/>
      <c r="Q6" s="40"/>
      <c r="R6" s="40"/>
      <c r="S6" s="40">
        <f t="shared" ref="S6:T6" si="5">(B5+B6)/2</f>
        <v>114.815</v>
      </c>
      <c r="T6" s="40">
        <f t="shared" si="5"/>
        <v>94.305000000000007</v>
      </c>
      <c r="U6" s="40">
        <f t="shared" ref="U6:U260" si="6">(D6+D5)/2</f>
        <v>75.045000000000002</v>
      </c>
      <c r="V6" s="40">
        <f t="shared" ref="V6:W6" si="7">(E5+E6)/2</f>
        <v>46.95</v>
      </c>
      <c r="W6" s="40">
        <f t="shared" si="7"/>
        <v>36.17</v>
      </c>
      <c r="X6" s="41">
        <f t="shared" ref="X6:AB6" si="8">(0+0+0+0)/4</f>
        <v>0</v>
      </c>
      <c r="Y6" s="40">
        <f t="shared" si="8"/>
        <v>0</v>
      </c>
      <c r="Z6" s="40">
        <f t="shared" si="8"/>
        <v>0</v>
      </c>
      <c r="AA6" s="40">
        <f t="shared" si="8"/>
        <v>0</v>
      </c>
      <c r="AB6" s="40">
        <f t="shared" si="8"/>
        <v>0</v>
      </c>
      <c r="AC6" s="42">
        <f t="shared" ref="AC6:AF6" si="9">(B6+C6)/2</f>
        <v>104.84</v>
      </c>
      <c r="AD6" s="42">
        <f t="shared" si="9"/>
        <v>84.59</v>
      </c>
      <c r="AE6" s="42">
        <f t="shared" si="9"/>
        <v>60.83</v>
      </c>
      <c r="AF6" s="42">
        <f t="shared" si="9"/>
        <v>41.480000000000004</v>
      </c>
      <c r="AG6" s="7"/>
      <c r="AH6" s="7"/>
      <c r="AI6" s="7"/>
      <c r="AJ6" s="7"/>
      <c r="AK6" s="7"/>
      <c r="AL6" s="7"/>
      <c r="AM6" s="7"/>
      <c r="AN6" s="46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  <c r="BK6" s="8"/>
      <c r="BL6" s="8"/>
      <c r="BM6" s="8"/>
    </row>
    <row r="7" spans="1:65" ht="15.75" hidden="1" customHeight="1" x14ac:dyDescent="0.45">
      <c r="A7" s="43">
        <f t="shared" si="3"/>
        <v>40928</v>
      </c>
      <c r="B7" s="44">
        <v>115.38</v>
      </c>
      <c r="C7" s="44">
        <v>94.07</v>
      </c>
      <c r="D7" s="44">
        <v>74.27</v>
      </c>
      <c r="E7" s="44">
        <v>46.72</v>
      </c>
      <c r="F7" s="44">
        <v>36.29</v>
      </c>
      <c r="G7" s="45">
        <v>116.53</v>
      </c>
      <c r="H7" s="37">
        <f t="shared" ref="H7:L7" si="10">B7-B6</f>
        <v>-1.0000000000005116E-2</v>
      </c>
      <c r="I7" s="38">
        <f t="shared" si="10"/>
        <v>-0.22000000000001307</v>
      </c>
      <c r="J7" s="38">
        <f t="shared" si="10"/>
        <v>-0.62000000000000455</v>
      </c>
      <c r="K7" s="38">
        <f t="shared" si="10"/>
        <v>-5.0000000000004263E-2</v>
      </c>
      <c r="L7" s="39">
        <f t="shared" si="10"/>
        <v>0.10000000000000142</v>
      </c>
      <c r="M7" s="38"/>
      <c r="N7" s="40"/>
      <c r="O7" s="40"/>
      <c r="P7" s="40"/>
      <c r="Q7" s="40"/>
      <c r="R7" s="40"/>
      <c r="S7" s="40">
        <f t="shared" ref="S7:T7" si="11">(B6+B7)/2</f>
        <v>115.38499999999999</v>
      </c>
      <c r="T7" s="40">
        <f t="shared" si="11"/>
        <v>94.18</v>
      </c>
      <c r="U7" s="40">
        <f t="shared" si="6"/>
        <v>74.58</v>
      </c>
      <c r="V7" s="40">
        <f t="shared" ref="V7:W7" si="12">(E6+E7)/2</f>
        <v>46.745000000000005</v>
      </c>
      <c r="W7" s="40">
        <f t="shared" si="12"/>
        <v>36.239999999999995</v>
      </c>
      <c r="X7" s="41">
        <f t="shared" ref="X7:AB7" si="13">(0+0+0+0)/4</f>
        <v>0</v>
      </c>
      <c r="Y7" s="40">
        <f t="shared" si="13"/>
        <v>0</v>
      </c>
      <c r="Z7" s="40">
        <f t="shared" si="13"/>
        <v>0</v>
      </c>
      <c r="AA7" s="40">
        <f t="shared" si="13"/>
        <v>0</v>
      </c>
      <c r="AB7" s="40">
        <f t="shared" si="13"/>
        <v>0</v>
      </c>
      <c r="AC7" s="42">
        <f t="shared" ref="AC7:AF7" si="14">(B7+C7)/2</f>
        <v>104.72499999999999</v>
      </c>
      <c r="AD7" s="42">
        <f t="shared" si="14"/>
        <v>84.169999999999987</v>
      </c>
      <c r="AE7" s="42">
        <f t="shared" si="14"/>
        <v>60.494999999999997</v>
      </c>
      <c r="AF7" s="42">
        <f t="shared" si="14"/>
        <v>41.504999999999995</v>
      </c>
      <c r="AG7" s="7"/>
      <c r="AH7" s="7"/>
      <c r="AI7" s="7"/>
      <c r="AJ7" s="7"/>
      <c r="AK7" s="7"/>
      <c r="AL7" s="7"/>
      <c r="AM7" s="7"/>
      <c r="AN7" s="46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8"/>
      <c r="BK7" s="8"/>
      <c r="BL7" s="8"/>
      <c r="BM7" s="8"/>
    </row>
    <row r="8" spans="1:65" ht="15.75" hidden="1" customHeight="1" x14ac:dyDescent="0.45">
      <c r="A8" s="43">
        <f t="shared" si="3"/>
        <v>40935</v>
      </c>
      <c r="B8" s="44">
        <v>117.54</v>
      </c>
      <c r="C8" s="44">
        <v>94.64</v>
      </c>
      <c r="D8" s="44">
        <v>75.14</v>
      </c>
      <c r="E8" s="44">
        <v>46.68</v>
      </c>
      <c r="F8" s="44">
        <v>36.19</v>
      </c>
      <c r="G8" s="45">
        <v>122.16</v>
      </c>
      <c r="H8" s="37">
        <f t="shared" ref="H8:L8" si="15">B8-B7</f>
        <v>2.1600000000000108</v>
      </c>
      <c r="I8" s="38">
        <f t="shared" si="15"/>
        <v>0.57000000000000739</v>
      </c>
      <c r="J8" s="38">
        <f t="shared" si="15"/>
        <v>0.87000000000000455</v>
      </c>
      <c r="K8" s="38">
        <f t="shared" si="15"/>
        <v>-3.9999999999999147E-2</v>
      </c>
      <c r="L8" s="39">
        <f t="shared" si="15"/>
        <v>-0.10000000000000142</v>
      </c>
      <c r="M8" s="38"/>
      <c r="N8" s="40"/>
      <c r="O8" s="40"/>
      <c r="P8" s="40"/>
      <c r="Q8" s="40"/>
      <c r="R8" s="40"/>
      <c r="S8" s="40">
        <f t="shared" ref="S8:T8" si="16">(B7+B8)/2</f>
        <v>116.46000000000001</v>
      </c>
      <c r="T8" s="40">
        <f t="shared" si="16"/>
        <v>94.35499999999999</v>
      </c>
      <c r="U8" s="40">
        <f t="shared" si="6"/>
        <v>74.704999999999998</v>
      </c>
      <c r="V8" s="40">
        <f t="shared" ref="V8:W8" si="17">(E7+E8)/2</f>
        <v>46.7</v>
      </c>
      <c r="W8" s="40">
        <f t="shared" si="17"/>
        <v>36.239999999999995</v>
      </c>
      <c r="X8" s="41">
        <f t="shared" ref="X8:AB8" si="18">(SUM(B5:B8))/4</f>
        <v>115.6375</v>
      </c>
      <c r="Y8" s="40">
        <f t="shared" si="18"/>
        <v>94.33</v>
      </c>
      <c r="Z8" s="40">
        <f t="shared" si="18"/>
        <v>74.875</v>
      </c>
      <c r="AA8" s="40">
        <f t="shared" si="18"/>
        <v>46.825000000000003</v>
      </c>
      <c r="AB8" s="47">
        <f t="shared" si="18"/>
        <v>36.204999999999998</v>
      </c>
      <c r="AC8" s="42">
        <f t="shared" ref="AC8:AF8" si="19">(B8+C8)/2</f>
        <v>106.09</v>
      </c>
      <c r="AD8" s="42">
        <f t="shared" si="19"/>
        <v>84.89</v>
      </c>
      <c r="AE8" s="42">
        <f t="shared" si="19"/>
        <v>60.91</v>
      </c>
      <c r="AF8" s="42">
        <f t="shared" si="19"/>
        <v>41.435000000000002</v>
      </c>
      <c r="AG8" s="7"/>
      <c r="AH8" s="7"/>
      <c r="AI8" s="7"/>
      <c r="AJ8" s="7"/>
      <c r="AK8" s="7"/>
      <c r="AL8" s="7"/>
      <c r="AM8" s="7"/>
      <c r="AN8" s="48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8"/>
      <c r="BK8" s="8"/>
      <c r="BL8" s="8"/>
      <c r="BM8" s="8"/>
    </row>
    <row r="9" spans="1:65" ht="15.75" hidden="1" customHeight="1" x14ac:dyDescent="0.45">
      <c r="A9" s="43">
        <f t="shared" si="3"/>
        <v>40942</v>
      </c>
      <c r="B9" s="44">
        <v>117.46</v>
      </c>
      <c r="C9" s="44">
        <v>94.72</v>
      </c>
      <c r="D9" s="44">
        <v>75.27</v>
      </c>
      <c r="E9" s="44">
        <v>46.63</v>
      </c>
      <c r="F9" s="44">
        <v>36.270000000000003</v>
      </c>
      <c r="G9" s="45">
        <v>118.78</v>
      </c>
      <c r="H9" s="37">
        <f t="shared" ref="H9:L9" si="20">B9-B8</f>
        <v>-8.0000000000012506E-2</v>
      </c>
      <c r="I9" s="38">
        <f t="shared" si="20"/>
        <v>7.9999999999998295E-2</v>
      </c>
      <c r="J9" s="38">
        <f t="shared" si="20"/>
        <v>0.12999999999999545</v>
      </c>
      <c r="K9" s="38">
        <f t="shared" si="20"/>
        <v>-4.9999999999997158E-2</v>
      </c>
      <c r="L9" s="39">
        <f t="shared" si="20"/>
        <v>8.00000000000054E-2</v>
      </c>
      <c r="M9" s="38"/>
      <c r="N9" s="40"/>
      <c r="O9" s="40"/>
      <c r="P9" s="40"/>
      <c r="Q9" s="40"/>
      <c r="R9" s="40"/>
      <c r="S9" s="40">
        <f t="shared" ref="S9:T9" si="21">(B8+B9)/2</f>
        <v>117.5</v>
      </c>
      <c r="T9" s="40">
        <f t="shared" si="21"/>
        <v>94.68</v>
      </c>
      <c r="U9" s="40">
        <f t="shared" si="6"/>
        <v>75.204999999999998</v>
      </c>
      <c r="V9" s="40">
        <f t="shared" ref="V9:W9" si="22">(E8+E9)/2</f>
        <v>46.655000000000001</v>
      </c>
      <c r="W9" s="40">
        <f t="shared" si="22"/>
        <v>36.230000000000004</v>
      </c>
      <c r="X9" s="41">
        <f t="shared" ref="X9:AB9" si="23">(SUM(B6:B9))/4</f>
        <v>116.4425</v>
      </c>
      <c r="Y9" s="40">
        <f t="shared" si="23"/>
        <v>94.43</v>
      </c>
      <c r="Z9" s="40">
        <f t="shared" si="23"/>
        <v>74.892499999999998</v>
      </c>
      <c r="AA9" s="40">
        <f t="shared" si="23"/>
        <v>46.7</v>
      </c>
      <c r="AB9" s="47">
        <f t="shared" si="23"/>
        <v>36.234999999999999</v>
      </c>
      <c r="AC9" s="42">
        <f t="shared" ref="AC9:AF9" si="24">(B9+C9)/2</f>
        <v>106.09</v>
      </c>
      <c r="AD9" s="42">
        <f t="shared" si="24"/>
        <v>84.995000000000005</v>
      </c>
      <c r="AE9" s="42">
        <f t="shared" si="24"/>
        <v>60.95</v>
      </c>
      <c r="AF9" s="42">
        <f t="shared" si="24"/>
        <v>41.45</v>
      </c>
      <c r="AG9" s="7"/>
      <c r="AH9" s="7"/>
      <c r="AI9" s="7"/>
      <c r="AJ9" s="7"/>
      <c r="AK9" s="7"/>
      <c r="AL9" s="7"/>
      <c r="AM9" s="7"/>
      <c r="AN9" s="3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8"/>
      <c r="BK9" s="8"/>
      <c r="BL9" s="8"/>
      <c r="BM9" s="8"/>
    </row>
    <row r="10" spans="1:65" ht="15.75" hidden="1" customHeight="1" x14ac:dyDescent="0.45">
      <c r="A10" s="43">
        <f t="shared" si="3"/>
        <v>40949</v>
      </c>
      <c r="B10" s="44">
        <v>116.31</v>
      </c>
      <c r="C10" s="44">
        <v>95.72</v>
      </c>
      <c r="D10" s="44">
        <v>75.63</v>
      </c>
      <c r="E10" s="44">
        <v>47.2</v>
      </c>
      <c r="F10" s="44">
        <v>36.78</v>
      </c>
      <c r="G10" s="45">
        <v>117.32</v>
      </c>
      <c r="H10" s="37">
        <f t="shared" ref="H10:L10" si="25">B10-B9</f>
        <v>-1.1499999999999915</v>
      </c>
      <c r="I10" s="38">
        <f t="shared" si="25"/>
        <v>1</v>
      </c>
      <c r="J10" s="38">
        <f t="shared" si="25"/>
        <v>0.35999999999999943</v>
      </c>
      <c r="K10" s="38">
        <f t="shared" si="25"/>
        <v>0.57000000000000028</v>
      </c>
      <c r="L10" s="39">
        <f t="shared" si="25"/>
        <v>0.50999999999999801</v>
      </c>
      <c r="M10" s="38"/>
      <c r="N10" s="40"/>
      <c r="O10" s="40"/>
      <c r="P10" s="40"/>
      <c r="Q10" s="40"/>
      <c r="R10" s="40"/>
      <c r="S10" s="40">
        <f t="shared" ref="S10:T10" si="26">(B9+B10)/2</f>
        <v>116.88499999999999</v>
      </c>
      <c r="T10" s="40">
        <f t="shared" si="26"/>
        <v>95.22</v>
      </c>
      <c r="U10" s="40">
        <f t="shared" si="6"/>
        <v>75.449999999999989</v>
      </c>
      <c r="V10" s="40">
        <f t="shared" ref="V10:W10" si="27">(E9+E10)/2</f>
        <v>46.915000000000006</v>
      </c>
      <c r="W10" s="40">
        <f t="shared" si="27"/>
        <v>36.525000000000006</v>
      </c>
      <c r="X10" s="41">
        <f t="shared" ref="X10:AB10" si="28">(SUM(B7:B10))/4</f>
        <v>116.6725</v>
      </c>
      <c r="Y10" s="40">
        <f t="shared" si="28"/>
        <v>94.787499999999994</v>
      </c>
      <c r="Z10" s="40">
        <f t="shared" si="28"/>
        <v>75.077500000000001</v>
      </c>
      <c r="AA10" s="40">
        <f t="shared" si="28"/>
        <v>46.807500000000005</v>
      </c>
      <c r="AB10" s="47">
        <f t="shared" si="28"/>
        <v>36.3825</v>
      </c>
      <c r="AC10" s="42">
        <f t="shared" ref="AC10:AF10" si="29">(B10+C10)/2</f>
        <v>106.015</v>
      </c>
      <c r="AD10" s="42">
        <f t="shared" si="29"/>
        <v>85.674999999999997</v>
      </c>
      <c r="AE10" s="42">
        <f t="shared" si="29"/>
        <v>61.414999999999999</v>
      </c>
      <c r="AF10" s="42">
        <f t="shared" si="29"/>
        <v>41.99</v>
      </c>
      <c r="AG10" s="7"/>
      <c r="AH10" s="7"/>
      <c r="AI10" s="7"/>
      <c r="AJ10" s="7"/>
      <c r="AK10" s="7"/>
      <c r="AL10" s="7"/>
      <c r="AM10" s="7"/>
      <c r="AN10" s="46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8"/>
      <c r="BK10" s="8"/>
      <c r="BL10" s="8"/>
      <c r="BM10" s="8"/>
    </row>
    <row r="11" spans="1:65" ht="15.75" hidden="1" customHeight="1" x14ac:dyDescent="0.45">
      <c r="A11" s="43">
        <f t="shared" si="3"/>
        <v>40956</v>
      </c>
      <c r="B11" s="44">
        <v>116.36</v>
      </c>
      <c r="C11" s="44">
        <v>94.51</v>
      </c>
      <c r="D11" s="44">
        <v>74.23</v>
      </c>
      <c r="E11" s="44">
        <v>46.84</v>
      </c>
      <c r="F11" s="44">
        <v>35.78</v>
      </c>
      <c r="G11" s="45">
        <v>118.89</v>
      </c>
      <c r="H11" s="37">
        <f t="shared" ref="H11:L11" si="30">B11-B10</f>
        <v>4.9999999999997158E-2</v>
      </c>
      <c r="I11" s="38">
        <f t="shared" si="30"/>
        <v>-1.2099999999999937</v>
      </c>
      <c r="J11" s="38">
        <f t="shared" si="30"/>
        <v>-1.3999999999999915</v>
      </c>
      <c r="K11" s="38">
        <f t="shared" si="30"/>
        <v>-0.35999999999999943</v>
      </c>
      <c r="L11" s="39">
        <f t="shared" si="30"/>
        <v>-1</v>
      </c>
      <c r="M11" s="38"/>
      <c r="N11" s="40"/>
      <c r="O11" s="40"/>
      <c r="P11" s="40"/>
      <c r="Q11" s="40"/>
      <c r="R11" s="40"/>
      <c r="S11" s="40">
        <f t="shared" ref="S11:T11" si="31">(B10+B11)/2</f>
        <v>116.33500000000001</v>
      </c>
      <c r="T11" s="40">
        <f t="shared" si="31"/>
        <v>95.115000000000009</v>
      </c>
      <c r="U11" s="40">
        <f t="shared" si="6"/>
        <v>74.930000000000007</v>
      </c>
      <c r="V11" s="40">
        <f t="shared" ref="V11:W11" si="32">(E10+E11)/2</f>
        <v>47.02</v>
      </c>
      <c r="W11" s="40">
        <f t="shared" si="32"/>
        <v>36.28</v>
      </c>
      <c r="X11" s="41">
        <f t="shared" ref="X11:AB11" si="33">(SUM(B8:B11))/4</f>
        <v>116.9175</v>
      </c>
      <c r="Y11" s="40">
        <f t="shared" si="33"/>
        <v>94.897500000000008</v>
      </c>
      <c r="Z11" s="40">
        <f t="shared" si="33"/>
        <v>75.067499999999995</v>
      </c>
      <c r="AA11" s="40">
        <f t="shared" si="33"/>
        <v>46.837499999999999</v>
      </c>
      <c r="AB11" s="47">
        <f t="shared" si="33"/>
        <v>36.255000000000003</v>
      </c>
      <c r="AC11" s="42">
        <f t="shared" ref="AC11:AF11" si="34">(B11+C11)/2</f>
        <v>105.435</v>
      </c>
      <c r="AD11" s="42">
        <f t="shared" si="34"/>
        <v>84.37</v>
      </c>
      <c r="AE11" s="42">
        <f t="shared" si="34"/>
        <v>60.535000000000004</v>
      </c>
      <c r="AF11" s="42">
        <f t="shared" si="34"/>
        <v>41.31</v>
      </c>
      <c r="AG11" s="7"/>
      <c r="AH11" s="7"/>
      <c r="AI11" s="7"/>
      <c r="AJ11" s="7"/>
      <c r="AK11" s="7"/>
      <c r="AL11" s="7"/>
      <c r="AM11" s="7"/>
      <c r="AN11" s="46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8"/>
      <c r="BK11" s="8"/>
      <c r="BL11" s="8"/>
      <c r="BM11" s="8"/>
    </row>
    <row r="12" spans="1:65" ht="15.75" hidden="1" customHeight="1" x14ac:dyDescent="0.45">
      <c r="A12" s="43">
        <f t="shared" si="3"/>
        <v>40963</v>
      </c>
      <c r="B12" s="44">
        <v>116.07</v>
      </c>
      <c r="C12" s="44">
        <v>93.67</v>
      </c>
      <c r="D12" s="44">
        <v>73.290000000000006</v>
      </c>
      <c r="E12" s="44">
        <v>46.59</v>
      </c>
      <c r="F12" s="44">
        <v>35.79</v>
      </c>
      <c r="G12" s="45">
        <v>116.55</v>
      </c>
      <c r="H12" s="37">
        <f t="shared" ref="H12:L12" si="35">B12-B11</f>
        <v>-0.29000000000000625</v>
      </c>
      <c r="I12" s="38">
        <f t="shared" si="35"/>
        <v>-0.84000000000000341</v>
      </c>
      <c r="J12" s="38">
        <f t="shared" si="35"/>
        <v>-0.93999999999999773</v>
      </c>
      <c r="K12" s="38">
        <f t="shared" si="35"/>
        <v>-0.25</v>
      </c>
      <c r="L12" s="39">
        <f t="shared" si="35"/>
        <v>9.9999999999980105E-3</v>
      </c>
      <c r="M12" s="38"/>
      <c r="N12" s="40"/>
      <c r="O12" s="40"/>
      <c r="P12" s="40"/>
      <c r="Q12" s="40"/>
      <c r="R12" s="40"/>
      <c r="S12" s="40">
        <f t="shared" ref="S12:T12" si="36">(B11+B12)/2</f>
        <v>116.215</v>
      </c>
      <c r="T12" s="40">
        <f t="shared" si="36"/>
        <v>94.09</v>
      </c>
      <c r="U12" s="40">
        <f t="shared" si="6"/>
        <v>73.760000000000005</v>
      </c>
      <c r="V12" s="40">
        <f t="shared" ref="V12:W12" si="37">(E11+E12)/2</f>
        <v>46.715000000000003</v>
      </c>
      <c r="W12" s="40">
        <f t="shared" si="37"/>
        <v>35.784999999999997</v>
      </c>
      <c r="X12" s="41">
        <f t="shared" ref="X12:AB12" si="38">(SUM(B9:B12))/4</f>
        <v>116.55</v>
      </c>
      <c r="Y12" s="40">
        <f t="shared" si="38"/>
        <v>94.655000000000001</v>
      </c>
      <c r="Z12" s="40">
        <f t="shared" si="38"/>
        <v>74.605000000000004</v>
      </c>
      <c r="AA12" s="40">
        <f t="shared" si="38"/>
        <v>46.815000000000005</v>
      </c>
      <c r="AB12" s="47">
        <f t="shared" si="38"/>
        <v>36.155000000000001</v>
      </c>
      <c r="AC12" s="42">
        <f t="shared" ref="AC12:AF12" si="39">(B12+C12)/2</f>
        <v>104.87</v>
      </c>
      <c r="AD12" s="42">
        <f t="shared" si="39"/>
        <v>83.48</v>
      </c>
      <c r="AE12" s="42">
        <f t="shared" si="39"/>
        <v>59.940000000000005</v>
      </c>
      <c r="AF12" s="42">
        <f t="shared" si="39"/>
        <v>41.19</v>
      </c>
      <c r="AG12" s="7"/>
      <c r="AH12" s="7"/>
      <c r="AI12" s="7"/>
      <c r="AJ12" s="7"/>
      <c r="AK12" s="7"/>
      <c r="AL12" s="7"/>
      <c r="AM12" s="7"/>
      <c r="AN12" s="48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8"/>
      <c r="BK12" s="8"/>
      <c r="BL12" s="8"/>
      <c r="BM12" s="8"/>
    </row>
    <row r="13" spans="1:65" ht="15.75" hidden="1" customHeight="1" x14ac:dyDescent="0.45">
      <c r="A13" s="43">
        <f t="shared" si="3"/>
        <v>40970</v>
      </c>
      <c r="B13" s="44">
        <v>114.23</v>
      </c>
      <c r="C13" s="44">
        <v>92.76</v>
      </c>
      <c r="D13" s="44">
        <v>73.010000000000005</v>
      </c>
      <c r="E13" s="44">
        <v>46.11</v>
      </c>
      <c r="F13" s="44">
        <v>35.54</v>
      </c>
      <c r="G13" s="45">
        <v>111.07</v>
      </c>
      <c r="H13" s="37">
        <f t="shared" ref="H13:L13" si="40">B13-B12</f>
        <v>-1.8399999999999892</v>
      </c>
      <c r="I13" s="38">
        <f t="shared" si="40"/>
        <v>-0.90999999999999659</v>
      </c>
      <c r="J13" s="38">
        <f t="shared" si="40"/>
        <v>-0.28000000000000114</v>
      </c>
      <c r="K13" s="38">
        <f t="shared" si="40"/>
        <v>-0.48000000000000398</v>
      </c>
      <c r="L13" s="39">
        <f t="shared" si="40"/>
        <v>-0.25</v>
      </c>
      <c r="M13" s="38"/>
      <c r="N13" s="40"/>
      <c r="O13" s="40"/>
      <c r="P13" s="40"/>
      <c r="Q13" s="40"/>
      <c r="R13" s="40"/>
      <c r="S13" s="40">
        <f t="shared" ref="S13:T13" si="41">(B12+B13)/2</f>
        <v>115.15</v>
      </c>
      <c r="T13" s="40">
        <f t="shared" si="41"/>
        <v>93.215000000000003</v>
      </c>
      <c r="U13" s="40">
        <f t="shared" si="6"/>
        <v>73.150000000000006</v>
      </c>
      <c r="V13" s="40">
        <f t="shared" ref="V13:W13" si="42">(E12+E13)/2</f>
        <v>46.35</v>
      </c>
      <c r="W13" s="40">
        <f t="shared" si="42"/>
        <v>35.664999999999999</v>
      </c>
      <c r="X13" s="41">
        <f t="shared" ref="X13:AB13" si="43">(SUM(B10:B13))/4</f>
        <v>115.74250000000001</v>
      </c>
      <c r="Y13" s="40">
        <f t="shared" si="43"/>
        <v>94.165000000000006</v>
      </c>
      <c r="Z13" s="40">
        <f t="shared" si="43"/>
        <v>74.040000000000006</v>
      </c>
      <c r="AA13" s="40">
        <f t="shared" si="43"/>
        <v>46.685000000000002</v>
      </c>
      <c r="AB13" s="47">
        <f t="shared" si="43"/>
        <v>35.972499999999997</v>
      </c>
      <c r="AC13" s="42">
        <f t="shared" ref="AC13:AF13" si="44">(B13+C13)/2</f>
        <v>103.495</v>
      </c>
      <c r="AD13" s="42">
        <f t="shared" si="44"/>
        <v>82.885000000000005</v>
      </c>
      <c r="AE13" s="42">
        <f t="shared" si="44"/>
        <v>59.56</v>
      </c>
      <c r="AF13" s="42">
        <f t="shared" si="44"/>
        <v>40.825000000000003</v>
      </c>
      <c r="AG13" s="7"/>
      <c r="AH13" s="7"/>
      <c r="AI13" s="7"/>
      <c r="AJ13" s="7"/>
      <c r="AK13" s="7"/>
      <c r="AL13" s="7"/>
      <c r="AM13" s="7"/>
      <c r="AN13" s="3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8"/>
      <c r="BK13" s="8"/>
      <c r="BL13" s="8"/>
      <c r="BM13" s="8"/>
    </row>
    <row r="14" spans="1:65" ht="15.75" hidden="1" customHeight="1" x14ac:dyDescent="0.45">
      <c r="A14" s="43">
        <f t="shared" si="3"/>
        <v>40977</v>
      </c>
      <c r="B14" s="44">
        <v>111.65</v>
      </c>
      <c r="C14" s="44">
        <v>91.6</v>
      </c>
      <c r="D14" s="44">
        <v>72.209999999999994</v>
      </c>
      <c r="E14" s="44">
        <v>45.46</v>
      </c>
      <c r="F14" s="44">
        <v>35.17</v>
      </c>
      <c r="G14" s="45">
        <v>111.65</v>
      </c>
      <c r="H14" s="37">
        <f t="shared" ref="H14:L14" si="45">B14-B13</f>
        <v>-2.5799999999999983</v>
      </c>
      <c r="I14" s="38">
        <f t="shared" si="45"/>
        <v>-1.1600000000000108</v>
      </c>
      <c r="J14" s="38">
        <f t="shared" si="45"/>
        <v>-0.80000000000001137</v>
      </c>
      <c r="K14" s="38">
        <f t="shared" si="45"/>
        <v>-0.64999999999999858</v>
      </c>
      <c r="L14" s="39">
        <f t="shared" si="45"/>
        <v>-0.36999999999999744</v>
      </c>
      <c r="M14" s="38"/>
      <c r="N14" s="40"/>
      <c r="O14" s="40"/>
      <c r="P14" s="40"/>
      <c r="Q14" s="40"/>
      <c r="R14" s="40"/>
      <c r="S14" s="40">
        <f t="shared" ref="S14:T14" si="46">(B13+B14)/2</f>
        <v>112.94</v>
      </c>
      <c r="T14" s="40">
        <f t="shared" si="46"/>
        <v>92.18</v>
      </c>
      <c r="U14" s="40">
        <f t="shared" si="6"/>
        <v>72.61</v>
      </c>
      <c r="V14" s="40">
        <f t="shared" ref="V14:W14" si="47">(E13+E14)/2</f>
        <v>45.784999999999997</v>
      </c>
      <c r="W14" s="40">
        <f t="shared" si="47"/>
        <v>35.355000000000004</v>
      </c>
      <c r="X14" s="41">
        <f t="shared" ref="X14:AB14" si="48">(SUM(B11:B14))/4</f>
        <v>114.57750000000001</v>
      </c>
      <c r="Y14" s="40">
        <f t="shared" si="48"/>
        <v>93.134999999999991</v>
      </c>
      <c r="Z14" s="40">
        <f t="shared" si="48"/>
        <v>73.185000000000002</v>
      </c>
      <c r="AA14" s="40">
        <f t="shared" si="48"/>
        <v>46.250000000000007</v>
      </c>
      <c r="AB14" s="47">
        <f t="shared" si="48"/>
        <v>35.569999999999993</v>
      </c>
      <c r="AC14" s="42">
        <f t="shared" ref="AC14:AF14" si="49">(B14+C14)/2</f>
        <v>101.625</v>
      </c>
      <c r="AD14" s="42">
        <f t="shared" si="49"/>
        <v>81.905000000000001</v>
      </c>
      <c r="AE14" s="42">
        <f t="shared" si="49"/>
        <v>58.834999999999994</v>
      </c>
      <c r="AF14" s="42">
        <f t="shared" si="49"/>
        <v>40.314999999999998</v>
      </c>
      <c r="AG14" s="7"/>
      <c r="AH14" s="7"/>
      <c r="AI14" s="7"/>
      <c r="AJ14" s="7"/>
      <c r="AK14" s="7"/>
      <c r="AL14" s="7"/>
      <c r="AM14" s="7"/>
      <c r="AN14" s="46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8"/>
      <c r="BK14" s="8"/>
      <c r="BL14" s="8"/>
      <c r="BM14" s="8"/>
    </row>
    <row r="15" spans="1:65" ht="15.75" hidden="1" customHeight="1" x14ac:dyDescent="0.45">
      <c r="A15" s="43">
        <f t="shared" si="3"/>
        <v>40984</v>
      </c>
      <c r="B15" s="44">
        <v>109.76</v>
      </c>
      <c r="C15" s="44">
        <v>91.19</v>
      </c>
      <c r="D15" s="44">
        <v>71.599999999999994</v>
      </c>
      <c r="E15" s="44">
        <v>44.13</v>
      </c>
      <c r="F15" s="44">
        <v>34.99</v>
      </c>
      <c r="G15" s="45">
        <v>105.24</v>
      </c>
      <c r="H15" s="37">
        <f t="shared" ref="H15:L15" si="50">B15-B14</f>
        <v>-1.8900000000000006</v>
      </c>
      <c r="I15" s="38">
        <f t="shared" si="50"/>
        <v>-0.40999999999999659</v>
      </c>
      <c r="J15" s="38">
        <f t="shared" si="50"/>
        <v>-0.60999999999999943</v>
      </c>
      <c r="K15" s="38">
        <f t="shared" si="50"/>
        <v>-1.3299999999999983</v>
      </c>
      <c r="L15" s="39">
        <f t="shared" si="50"/>
        <v>-0.17999999999999972</v>
      </c>
      <c r="M15" s="38"/>
      <c r="N15" s="40"/>
      <c r="O15" s="40"/>
      <c r="P15" s="40"/>
      <c r="Q15" s="40"/>
      <c r="R15" s="40"/>
      <c r="S15" s="40">
        <f t="shared" ref="S15:T15" si="51">(B14+B15)/2</f>
        <v>110.70500000000001</v>
      </c>
      <c r="T15" s="40">
        <f t="shared" si="51"/>
        <v>91.394999999999996</v>
      </c>
      <c r="U15" s="40">
        <f t="shared" si="6"/>
        <v>71.905000000000001</v>
      </c>
      <c r="V15" s="40">
        <f t="shared" ref="V15:W15" si="52">(E14+E15)/2</f>
        <v>44.795000000000002</v>
      </c>
      <c r="W15" s="40">
        <f t="shared" si="52"/>
        <v>35.08</v>
      </c>
      <c r="X15" s="41">
        <f t="shared" ref="X15:AB15" si="53">(SUM(B12:B15))/4</f>
        <v>112.92750000000001</v>
      </c>
      <c r="Y15" s="40">
        <f t="shared" si="53"/>
        <v>92.304999999999993</v>
      </c>
      <c r="Z15" s="40">
        <f t="shared" si="53"/>
        <v>72.527500000000003</v>
      </c>
      <c r="AA15" s="40">
        <f t="shared" si="53"/>
        <v>45.572499999999998</v>
      </c>
      <c r="AB15" s="47">
        <f t="shared" si="53"/>
        <v>35.372500000000002</v>
      </c>
      <c r="AC15" s="42">
        <f t="shared" ref="AC15:AF15" si="54">(B15+C15)/2</f>
        <v>100.47499999999999</v>
      </c>
      <c r="AD15" s="42">
        <f t="shared" si="54"/>
        <v>81.394999999999996</v>
      </c>
      <c r="AE15" s="42">
        <f t="shared" si="54"/>
        <v>57.864999999999995</v>
      </c>
      <c r="AF15" s="42">
        <f t="shared" si="54"/>
        <v>39.56</v>
      </c>
      <c r="AG15" s="7"/>
      <c r="AH15" s="7"/>
      <c r="AI15" s="7"/>
      <c r="AJ15" s="7"/>
      <c r="AK15" s="7"/>
      <c r="AL15" s="7"/>
      <c r="AM15" s="7"/>
      <c r="AN15" s="46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8"/>
      <c r="BK15" s="8"/>
      <c r="BL15" s="8"/>
      <c r="BM15" s="8"/>
    </row>
    <row r="16" spans="1:65" ht="15.75" hidden="1" customHeight="1" x14ac:dyDescent="0.45">
      <c r="A16" s="43">
        <f t="shared" si="3"/>
        <v>40991</v>
      </c>
      <c r="B16" s="44">
        <v>109.78</v>
      </c>
      <c r="C16" s="44">
        <v>90.5</v>
      </c>
      <c r="D16" s="44">
        <v>71.59</v>
      </c>
      <c r="E16" s="44">
        <v>44.6</v>
      </c>
      <c r="F16" s="44">
        <v>34.729999999999997</v>
      </c>
      <c r="G16" s="45">
        <v>105.2</v>
      </c>
      <c r="H16" s="37">
        <f t="shared" ref="H16:L16" si="55">B16-B15</f>
        <v>1.9999999999996021E-2</v>
      </c>
      <c r="I16" s="38">
        <f t="shared" si="55"/>
        <v>-0.68999999999999773</v>
      </c>
      <c r="J16" s="38">
        <f t="shared" si="55"/>
        <v>-9.9999999999909051E-3</v>
      </c>
      <c r="K16" s="38">
        <f t="shared" si="55"/>
        <v>0.46999999999999886</v>
      </c>
      <c r="L16" s="39">
        <f t="shared" si="55"/>
        <v>-0.26000000000000512</v>
      </c>
      <c r="M16" s="38"/>
      <c r="N16" s="40"/>
      <c r="O16" s="40"/>
      <c r="P16" s="40"/>
      <c r="Q16" s="40"/>
      <c r="R16" s="40"/>
      <c r="S16" s="40">
        <f t="shared" ref="S16:T16" si="56">(B15+B16)/2</f>
        <v>109.77000000000001</v>
      </c>
      <c r="T16" s="40">
        <f t="shared" si="56"/>
        <v>90.844999999999999</v>
      </c>
      <c r="U16" s="40">
        <f t="shared" si="6"/>
        <v>71.594999999999999</v>
      </c>
      <c r="V16" s="40">
        <f t="shared" ref="V16:W16" si="57">(E15+E16)/2</f>
        <v>44.365000000000002</v>
      </c>
      <c r="W16" s="40">
        <f t="shared" si="57"/>
        <v>34.86</v>
      </c>
      <c r="X16" s="41">
        <f t="shared" ref="X16:AB16" si="58">(SUM(B13:B16))/4</f>
        <v>111.35499999999999</v>
      </c>
      <c r="Y16" s="40">
        <f t="shared" si="58"/>
        <v>91.512500000000003</v>
      </c>
      <c r="Z16" s="40">
        <f t="shared" si="58"/>
        <v>72.102499999999992</v>
      </c>
      <c r="AA16" s="40">
        <f t="shared" si="58"/>
        <v>45.074999999999996</v>
      </c>
      <c r="AB16" s="47">
        <f t="shared" si="58"/>
        <v>35.107500000000002</v>
      </c>
      <c r="AC16" s="42">
        <f t="shared" ref="AC16:AF16" si="59">(B16+C16)/2</f>
        <v>100.14</v>
      </c>
      <c r="AD16" s="42">
        <f t="shared" si="59"/>
        <v>81.045000000000002</v>
      </c>
      <c r="AE16" s="42">
        <f t="shared" si="59"/>
        <v>58.094999999999999</v>
      </c>
      <c r="AF16" s="42">
        <f t="shared" si="59"/>
        <v>39.664999999999999</v>
      </c>
      <c r="AG16" s="7"/>
      <c r="AH16" s="7"/>
      <c r="AI16" s="7"/>
      <c r="AJ16" s="7"/>
      <c r="AK16" s="7"/>
      <c r="AL16" s="7"/>
      <c r="AM16" s="7"/>
      <c r="AN16" s="46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8"/>
      <c r="BK16" s="8"/>
      <c r="BL16" s="8"/>
      <c r="BM16" s="8"/>
    </row>
    <row r="17" spans="1:65" ht="15.75" hidden="1" customHeight="1" x14ac:dyDescent="0.45">
      <c r="A17" s="43">
        <f t="shared" si="3"/>
        <v>40998</v>
      </c>
      <c r="B17" s="44">
        <v>109.63</v>
      </c>
      <c r="C17" s="44">
        <v>90.82</v>
      </c>
      <c r="D17" s="44">
        <v>71.7</v>
      </c>
      <c r="E17" s="44">
        <v>44.9</v>
      </c>
      <c r="F17" s="44">
        <v>34.71</v>
      </c>
      <c r="G17" s="45">
        <v>107.04</v>
      </c>
      <c r="H17" s="37">
        <f t="shared" ref="H17:L17" si="60">B17-B16</f>
        <v>-0.15000000000000568</v>
      </c>
      <c r="I17" s="38">
        <f t="shared" si="60"/>
        <v>0.31999999999999318</v>
      </c>
      <c r="J17" s="38">
        <f t="shared" si="60"/>
        <v>0.10999999999999943</v>
      </c>
      <c r="K17" s="38">
        <f t="shared" si="60"/>
        <v>0.29999999999999716</v>
      </c>
      <c r="L17" s="39">
        <f t="shared" si="60"/>
        <v>-1.9999999999996021E-2</v>
      </c>
      <c r="M17" s="38"/>
      <c r="N17" s="40"/>
      <c r="O17" s="40"/>
      <c r="P17" s="40"/>
      <c r="Q17" s="40"/>
      <c r="R17" s="40"/>
      <c r="S17" s="40">
        <f t="shared" ref="S17:T17" si="61">(B16+B17)/2</f>
        <v>109.705</v>
      </c>
      <c r="T17" s="40">
        <f t="shared" si="61"/>
        <v>90.66</v>
      </c>
      <c r="U17" s="40">
        <f t="shared" si="6"/>
        <v>71.64500000000001</v>
      </c>
      <c r="V17" s="40">
        <f t="shared" ref="V17:W17" si="62">(E16+E17)/2</f>
        <v>44.75</v>
      </c>
      <c r="W17" s="40">
        <f t="shared" si="62"/>
        <v>34.72</v>
      </c>
      <c r="X17" s="41">
        <f t="shared" ref="X17:AB17" si="63">(SUM(B14:B17))/4</f>
        <v>110.20500000000001</v>
      </c>
      <c r="Y17" s="40">
        <f t="shared" si="63"/>
        <v>91.027499999999989</v>
      </c>
      <c r="Z17" s="40">
        <f t="shared" si="63"/>
        <v>71.775000000000006</v>
      </c>
      <c r="AA17" s="40">
        <f t="shared" si="63"/>
        <v>44.772500000000001</v>
      </c>
      <c r="AB17" s="47">
        <f t="shared" si="63"/>
        <v>34.9</v>
      </c>
      <c r="AC17" s="42">
        <f t="shared" ref="AC17:AF17" si="64">(B17+C17)/2</f>
        <v>100.22499999999999</v>
      </c>
      <c r="AD17" s="42">
        <f t="shared" si="64"/>
        <v>81.259999999999991</v>
      </c>
      <c r="AE17" s="42">
        <f t="shared" si="64"/>
        <v>58.3</v>
      </c>
      <c r="AF17" s="42">
        <f t="shared" si="64"/>
        <v>39.805</v>
      </c>
      <c r="AG17" s="7"/>
      <c r="AH17" s="7"/>
      <c r="AI17" s="7"/>
      <c r="AJ17" s="7"/>
      <c r="AK17" s="7"/>
      <c r="AL17" s="7"/>
      <c r="AM17" s="7"/>
      <c r="AN17" s="48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8"/>
      <c r="BK17" s="8"/>
      <c r="BL17" s="8"/>
      <c r="BM17" s="8"/>
    </row>
    <row r="18" spans="1:65" ht="15.75" hidden="1" customHeight="1" x14ac:dyDescent="0.45">
      <c r="A18" s="43">
        <f t="shared" si="3"/>
        <v>41005</v>
      </c>
      <c r="B18" s="44">
        <v>110.43</v>
      </c>
      <c r="C18" s="44">
        <v>91.22</v>
      </c>
      <c r="D18" s="44">
        <v>71.81</v>
      </c>
      <c r="E18" s="44">
        <v>48.87</v>
      </c>
      <c r="F18" s="44">
        <v>34.81</v>
      </c>
      <c r="G18" s="45">
        <v>107.01</v>
      </c>
      <c r="H18" s="37">
        <f t="shared" ref="H18:L18" si="65">B18-B17</f>
        <v>0.80000000000001137</v>
      </c>
      <c r="I18" s="38">
        <f t="shared" si="65"/>
        <v>0.40000000000000568</v>
      </c>
      <c r="J18" s="38">
        <f t="shared" si="65"/>
        <v>0.10999999999999943</v>
      </c>
      <c r="K18" s="38">
        <f t="shared" si="65"/>
        <v>3.9699999999999989</v>
      </c>
      <c r="L18" s="39">
        <f t="shared" si="65"/>
        <v>0.10000000000000142</v>
      </c>
      <c r="M18" s="38"/>
      <c r="N18" s="40"/>
      <c r="O18" s="40"/>
      <c r="P18" s="40"/>
      <c r="Q18" s="40"/>
      <c r="R18" s="40"/>
      <c r="S18" s="40">
        <f t="shared" ref="S18:T18" si="66">(B17+B18)/2</f>
        <v>110.03</v>
      </c>
      <c r="T18" s="40">
        <f t="shared" si="66"/>
        <v>91.02</v>
      </c>
      <c r="U18" s="40">
        <f t="shared" si="6"/>
        <v>71.754999999999995</v>
      </c>
      <c r="V18" s="40">
        <f t="shared" ref="V18:W18" si="67">(E17+E18)/2</f>
        <v>46.884999999999998</v>
      </c>
      <c r="W18" s="40">
        <f t="shared" si="67"/>
        <v>34.760000000000005</v>
      </c>
      <c r="X18" s="41">
        <f t="shared" ref="X18:AB18" si="68">(SUM(B15:B18))/4</f>
        <v>109.9</v>
      </c>
      <c r="Y18" s="40">
        <f t="shared" si="68"/>
        <v>90.932500000000005</v>
      </c>
      <c r="Z18" s="40">
        <f t="shared" si="68"/>
        <v>71.674999999999997</v>
      </c>
      <c r="AA18" s="40">
        <f t="shared" si="68"/>
        <v>45.625</v>
      </c>
      <c r="AB18" s="47">
        <f t="shared" si="68"/>
        <v>34.81</v>
      </c>
      <c r="AC18" s="42">
        <f t="shared" ref="AC18:AF18" si="69">(B18+C18)/2</f>
        <v>100.825</v>
      </c>
      <c r="AD18" s="42">
        <f t="shared" si="69"/>
        <v>81.515000000000001</v>
      </c>
      <c r="AE18" s="42">
        <f t="shared" si="69"/>
        <v>60.34</v>
      </c>
      <c r="AF18" s="42">
        <f t="shared" si="69"/>
        <v>41.84</v>
      </c>
      <c r="AG18" s="7"/>
      <c r="AH18" s="7"/>
      <c r="AI18" s="7"/>
      <c r="AJ18" s="7"/>
      <c r="AK18" s="7"/>
      <c r="AL18" s="7"/>
      <c r="AM18" s="7"/>
      <c r="AN18" s="3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8"/>
      <c r="BK18" s="8"/>
      <c r="BL18" s="8"/>
      <c r="BM18" s="8"/>
    </row>
    <row r="19" spans="1:65" ht="15.75" hidden="1" customHeight="1" x14ac:dyDescent="0.45">
      <c r="A19" s="43">
        <f t="shared" si="3"/>
        <v>41012</v>
      </c>
      <c r="B19" s="44">
        <v>107.21</v>
      </c>
      <c r="C19" s="44">
        <v>91.45</v>
      </c>
      <c r="D19" s="44">
        <v>72.39</v>
      </c>
      <c r="E19" s="44">
        <v>49.15</v>
      </c>
      <c r="F19" s="44">
        <v>35.28</v>
      </c>
      <c r="G19" s="45">
        <v>102.91</v>
      </c>
      <c r="H19" s="37">
        <f t="shared" ref="H19:L19" si="70">B19-B18</f>
        <v>-3.2200000000000131</v>
      </c>
      <c r="I19" s="38">
        <f t="shared" si="70"/>
        <v>0.23000000000000398</v>
      </c>
      <c r="J19" s="38">
        <f t="shared" si="70"/>
        <v>0.57999999999999829</v>
      </c>
      <c r="K19" s="38">
        <f t="shared" si="70"/>
        <v>0.28000000000000114</v>
      </c>
      <c r="L19" s="39">
        <f t="shared" si="70"/>
        <v>0.46999999999999886</v>
      </c>
      <c r="M19" s="38"/>
      <c r="N19" s="40"/>
      <c r="O19" s="40"/>
      <c r="P19" s="40"/>
      <c r="Q19" s="40"/>
      <c r="R19" s="40"/>
      <c r="S19" s="40">
        <f t="shared" ref="S19:T19" si="71">(B18+B19)/2</f>
        <v>108.82</v>
      </c>
      <c r="T19" s="40">
        <f t="shared" si="71"/>
        <v>91.335000000000008</v>
      </c>
      <c r="U19" s="40">
        <f t="shared" si="6"/>
        <v>72.099999999999994</v>
      </c>
      <c r="V19" s="40">
        <f t="shared" ref="V19:W19" si="72">(E18+E19)/2</f>
        <v>49.01</v>
      </c>
      <c r="W19" s="40">
        <f t="shared" si="72"/>
        <v>35.045000000000002</v>
      </c>
      <c r="X19" s="41">
        <f t="shared" ref="X19:AB19" si="73">(SUM(B16:B19))/4</f>
        <v>109.2625</v>
      </c>
      <c r="Y19" s="40">
        <f t="shared" si="73"/>
        <v>90.997499999999988</v>
      </c>
      <c r="Z19" s="40">
        <f t="shared" si="73"/>
        <v>71.872500000000002</v>
      </c>
      <c r="AA19" s="40">
        <f t="shared" si="73"/>
        <v>46.88</v>
      </c>
      <c r="AB19" s="47">
        <f t="shared" si="73"/>
        <v>34.8825</v>
      </c>
      <c r="AC19" s="42">
        <f t="shared" ref="AC19:AF19" si="74">(B19+C19)/2</f>
        <v>99.33</v>
      </c>
      <c r="AD19" s="42">
        <f t="shared" si="74"/>
        <v>81.92</v>
      </c>
      <c r="AE19" s="42">
        <f t="shared" si="74"/>
        <v>60.769999999999996</v>
      </c>
      <c r="AF19" s="42">
        <f t="shared" si="74"/>
        <v>42.215000000000003</v>
      </c>
      <c r="AG19" s="7"/>
      <c r="AH19" s="7"/>
      <c r="AI19" s="7"/>
      <c r="AJ19" s="7"/>
      <c r="AK19" s="7"/>
      <c r="AL19" s="7"/>
      <c r="AM19" s="7"/>
      <c r="AN19" s="46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8"/>
      <c r="BK19" s="8"/>
      <c r="BL19" s="8"/>
      <c r="BM19" s="8"/>
    </row>
    <row r="20" spans="1:65" ht="15.75" hidden="1" customHeight="1" x14ac:dyDescent="0.45">
      <c r="A20" s="43">
        <f t="shared" si="3"/>
        <v>41019</v>
      </c>
      <c r="B20" s="44">
        <v>104.43</v>
      </c>
      <c r="C20" s="44">
        <v>91.2</v>
      </c>
      <c r="D20" s="44">
        <v>72.44</v>
      </c>
      <c r="E20" s="44">
        <v>50.22</v>
      </c>
      <c r="F20" s="44">
        <v>35.56</v>
      </c>
      <c r="G20" s="45">
        <v>101.48</v>
      </c>
      <c r="H20" s="37">
        <f t="shared" ref="H20:L20" si="75">B20-B19</f>
        <v>-2.7799999999999869</v>
      </c>
      <c r="I20" s="38">
        <f t="shared" si="75"/>
        <v>-0.25</v>
      </c>
      <c r="J20" s="38">
        <f t="shared" si="75"/>
        <v>4.9999999999997158E-2</v>
      </c>
      <c r="K20" s="38">
        <f t="shared" si="75"/>
        <v>1.0700000000000003</v>
      </c>
      <c r="L20" s="39">
        <f t="shared" si="75"/>
        <v>0.28000000000000114</v>
      </c>
      <c r="M20" s="38"/>
      <c r="N20" s="40"/>
      <c r="O20" s="40"/>
      <c r="P20" s="40"/>
      <c r="Q20" s="40"/>
      <c r="R20" s="40"/>
      <c r="S20" s="40">
        <f t="shared" ref="S20:T20" si="76">(B19+B20)/2</f>
        <v>105.82</v>
      </c>
      <c r="T20" s="40">
        <f t="shared" si="76"/>
        <v>91.325000000000003</v>
      </c>
      <c r="U20" s="40">
        <f t="shared" si="6"/>
        <v>72.414999999999992</v>
      </c>
      <c r="V20" s="40">
        <f t="shared" ref="V20:W20" si="77">(E19+E20)/2</f>
        <v>49.685000000000002</v>
      </c>
      <c r="W20" s="40">
        <f t="shared" si="77"/>
        <v>35.42</v>
      </c>
      <c r="X20" s="41">
        <f t="shared" ref="X20:AB20" si="78">(SUM(B17:B20))/4</f>
        <v>107.925</v>
      </c>
      <c r="Y20" s="40">
        <f t="shared" si="78"/>
        <v>91.172499999999999</v>
      </c>
      <c r="Z20" s="40">
        <f t="shared" si="78"/>
        <v>72.084999999999994</v>
      </c>
      <c r="AA20" s="40">
        <f t="shared" si="78"/>
        <v>48.284999999999997</v>
      </c>
      <c r="AB20" s="47">
        <f t="shared" si="78"/>
        <v>35.090000000000003</v>
      </c>
      <c r="AC20" s="42">
        <f t="shared" ref="AC20:AF20" si="79">(B20+C20)/2</f>
        <v>97.814999999999998</v>
      </c>
      <c r="AD20" s="42">
        <f t="shared" si="79"/>
        <v>81.819999999999993</v>
      </c>
      <c r="AE20" s="42">
        <f t="shared" si="79"/>
        <v>61.33</v>
      </c>
      <c r="AF20" s="42">
        <f t="shared" si="79"/>
        <v>42.89</v>
      </c>
      <c r="AG20" s="7"/>
      <c r="AH20" s="7"/>
      <c r="AI20" s="7"/>
      <c r="AJ20" s="7"/>
      <c r="AK20" s="7"/>
      <c r="AL20" s="7"/>
      <c r="AM20" s="7"/>
      <c r="AN20" s="46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8"/>
      <c r="BK20" s="8"/>
      <c r="BL20" s="8"/>
      <c r="BM20" s="8"/>
    </row>
    <row r="21" spans="1:65" ht="15.75" hidden="1" customHeight="1" x14ac:dyDescent="0.45">
      <c r="A21" s="43">
        <f t="shared" si="3"/>
        <v>41026</v>
      </c>
      <c r="B21" s="44">
        <v>102.97</v>
      </c>
      <c r="C21" s="44">
        <v>90.91</v>
      </c>
      <c r="D21" s="44">
        <v>72.14</v>
      </c>
      <c r="E21" s="44">
        <v>50.49</v>
      </c>
      <c r="F21" s="44">
        <v>35.39</v>
      </c>
      <c r="G21" s="45">
        <v>100.38</v>
      </c>
      <c r="H21" s="37">
        <f t="shared" ref="H21:L21" si="80">B21-B20</f>
        <v>-1.460000000000008</v>
      </c>
      <c r="I21" s="38">
        <f t="shared" si="80"/>
        <v>-0.29000000000000625</v>
      </c>
      <c r="J21" s="38">
        <f t="shared" si="80"/>
        <v>-0.29999999999999716</v>
      </c>
      <c r="K21" s="38">
        <f t="shared" si="80"/>
        <v>0.27000000000000313</v>
      </c>
      <c r="L21" s="39">
        <f t="shared" si="80"/>
        <v>-0.17000000000000171</v>
      </c>
      <c r="M21" s="38"/>
      <c r="N21" s="40"/>
      <c r="O21" s="40"/>
      <c r="P21" s="40"/>
      <c r="Q21" s="40"/>
      <c r="R21" s="40"/>
      <c r="S21" s="40">
        <f t="shared" ref="S21:T21" si="81">(B20+B21)/2</f>
        <v>103.7</v>
      </c>
      <c r="T21" s="40">
        <f t="shared" si="81"/>
        <v>91.055000000000007</v>
      </c>
      <c r="U21" s="40">
        <f t="shared" si="6"/>
        <v>72.289999999999992</v>
      </c>
      <c r="V21" s="40">
        <f t="shared" ref="V21:W21" si="82">(E20+E21)/2</f>
        <v>50.355000000000004</v>
      </c>
      <c r="W21" s="40">
        <f t="shared" si="82"/>
        <v>35.475000000000001</v>
      </c>
      <c r="X21" s="41">
        <f t="shared" ref="X21:AB21" si="83">(SUM(B18:B21))/4</f>
        <v>106.25999999999999</v>
      </c>
      <c r="Y21" s="40">
        <f t="shared" si="83"/>
        <v>91.194999999999993</v>
      </c>
      <c r="Z21" s="40">
        <f t="shared" si="83"/>
        <v>72.194999999999993</v>
      </c>
      <c r="AA21" s="40">
        <f t="shared" si="83"/>
        <v>49.682500000000005</v>
      </c>
      <c r="AB21" s="47">
        <f t="shared" si="83"/>
        <v>35.260000000000005</v>
      </c>
      <c r="AC21" s="42">
        <f t="shared" ref="AC21:AF21" si="84">(B21+C21)/2</f>
        <v>96.94</v>
      </c>
      <c r="AD21" s="42">
        <f t="shared" si="84"/>
        <v>81.525000000000006</v>
      </c>
      <c r="AE21" s="42">
        <f t="shared" si="84"/>
        <v>61.314999999999998</v>
      </c>
      <c r="AF21" s="42">
        <f t="shared" si="84"/>
        <v>42.94</v>
      </c>
      <c r="AG21" s="7"/>
      <c r="AH21" s="7"/>
      <c r="AI21" s="7"/>
      <c r="AJ21" s="7"/>
      <c r="AK21" s="7"/>
      <c r="AL21" s="7"/>
      <c r="AM21" s="7"/>
      <c r="AN21" s="48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8"/>
      <c r="BK21" s="8"/>
      <c r="BL21" s="8"/>
      <c r="BM21" s="8"/>
    </row>
    <row r="22" spans="1:65" ht="15.75" hidden="1" customHeight="1" x14ac:dyDescent="0.45">
      <c r="A22" s="43">
        <f t="shared" si="3"/>
        <v>41033</v>
      </c>
      <c r="B22" s="44">
        <v>101.4</v>
      </c>
      <c r="C22" s="44">
        <v>89.24</v>
      </c>
      <c r="D22" s="44">
        <v>72.099999999999994</v>
      </c>
      <c r="E22" s="44">
        <v>49.98</v>
      </c>
      <c r="F22" s="44">
        <v>35.21</v>
      </c>
      <c r="G22" s="45">
        <v>99.24</v>
      </c>
      <c r="H22" s="37">
        <f t="shared" ref="H22:L22" si="85">B22-B21</f>
        <v>-1.5699999999999932</v>
      </c>
      <c r="I22" s="38">
        <f t="shared" si="85"/>
        <v>-1.6700000000000017</v>
      </c>
      <c r="J22" s="38">
        <f t="shared" si="85"/>
        <v>-4.0000000000006253E-2</v>
      </c>
      <c r="K22" s="38">
        <f t="shared" si="85"/>
        <v>-0.51000000000000512</v>
      </c>
      <c r="L22" s="39">
        <f t="shared" si="85"/>
        <v>-0.17999999999999972</v>
      </c>
      <c r="M22" s="38"/>
      <c r="N22" s="40"/>
      <c r="O22" s="40"/>
      <c r="P22" s="40"/>
      <c r="Q22" s="40"/>
      <c r="R22" s="40"/>
      <c r="S22" s="40">
        <f t="shared" ref="S22:T22" si="86">(B21+B22)/2</f>
        <v>102.185</v>
      </c>
      <c r="T22" s="40">
        <f t="shared" si="86"/>
        <v>90.074999999999989</v>
      </c>
      <c r="U22" s="40">
        <f t="shared" si="6"/>
        <v>72.12</v>
      </c>
      <c r="V22" s="40">
        <f t="shared" ref="V22:W22" si="87">(E21+E22)/2</f>
        <v>50.234999999999999</v>
      </c>
      <c r="W22" s="40">
        <f t="shared" si="87"/>
        <v>35.299999999999997</v>
      </c>
      <c r="X22" s="41">
        <f t="shared" ref="X22:AB22" si="88">(SUM(B19:B22))/4</f>
        <v>104.0025</v>
      </c>
      <c r="Y22" s="40">
        <f t="shared" si="88"/>
        <v>90.7</v>
      </c>
      <c r="Z22" s="40">
        <f t="shared" si="88"/>
        <v>72.267499999999984</v>
      </c>
      <c r="AA22" s="40">
        <f t="shared" si="88"/>
        <v>49.96</v>
      </c>
      <c r="AB22" s="47">
        <f t="shared" si="88"/>
        <v>35.36</v>
      </c>
      <c r="AC22" s="42">
        <f t="shared" ref="AC22:AF22" si="89">(B22+C22)/2</f>
        <v>95.32</v>
      </c>
      <c r="AD22" s="42">
        <f t="shared" si="89"/>
        <v>80.669999999999987</v>
      </c>
      <c r="AE22" s="42">
        <f t="shared" si="89"/>
        <v>61.039999999999992</v>
      </c>
      <c r="AF22" s="42">
        <f t="shared" si="89"/>
        <v>42.594999999999999</v>
      </c>
      <c r="AG22" s="7"/>
      <c r="AH22" s="7"/>
      <c r="AI22" s="7"/>
      <c r="AJ22" s="7"/>
      <c r="AK22" s="7"/>
      <c r="AL22" s="7"/>
      <c r="AM22" s="7"/>
      <c r="AN22" s="3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8"/>
      <c r="BK22" s="8"/>
      <c r="BL22" s="8"/>
      <c r="BM22" s="8"/>
    </row>
    <row r="23" spans="1:65" ht="15.75" hidden="1" customHeight="1" x14ac:dyDescent="0.45">
      <c r="A23" s="43">
        <f t="shared" si="3"/>
        <v>41040</v>
      </c>
      <c r="B23" s="44">
        <v>101.35</v>
      </c>
      <c r="C23" s="44">
        <v>87.82</v>
      </c>
      <c r="D23" s="44" t="s">
        <v>36</v>
      </c>
      <c r="E23" s="44">
        <v>49</v>
      </c>
      <c r="F23" s="44">
        <v>35.06</v>
      </c>
      <c r="G23" s="45">
        <v>103.37</v>
      </c>
      <c r="H23" s="37">
        <f t="shared" ref="H23:L23" si="90">B23-B22</f>
        <v>-5.0000000000011369E-2</v>
      </c>
      <c r="I23" s="38">
        <f t="shared" si="90"/>
        <v>-1.4200000000000017</v>
      </c>
      <c r="J23" s="38" t="e">
        <f t="shared" si="90"/>
        <v>#VALUE!</v>
      </c>
      <c r="K23" s="38">
        <f t="shared" si="90"/>
        <v>-0.97999999999999687</v>
      </c>
      <c r="L23" s="39">
        <f t="shared" si="90"/>
        <v>-0.14999999999999858</v>
      </c>
      <c r="M23" s="38"/>
      <c r="N23" s="40"/>
      <c r="O23" s="40"/>
      <c r="P23" s="40"/>
      <c r="Q23" s="40"/>
      <c r="R23" s="40"/>
      <c r="S23" s="40">
        <f t="shared" ref="S23:T23" si="91">(B22+B23)/2</f>
        <v>101.375</v>
      </c>
      <c r="T23" s="40">
        <f t="shared" si="91"/>
        <v>88.53</v>
      </c>
      <c r="U23" s="40" t="e">
        <f t="shared" si="6"/>
        <v>#VALUE!</v>
      </c>
      <c r="V23" s="40">
        <f t="shared" ref="V23:W23" si="92">(E22+E23)/2</f>
        <v>49.489999999999995</v>
      </c>
      <c r="W23" s="40">
        <f t="shared" si="92"/>
        <v>35.135000000000005</v>
      </c>
      <c r="X23" s="41">
        <f t="shared" ref="X23:AB23" si="93">(SUM(B20:B23))/4</f>
        <v>102.53749999999999</v>
      </c>
      <c r="Y23" s="40">
        <f t="shared" si="93"/>
        <v>89.792500000000004</v>
      </c>
      <c r="Z23" s="40">
        <f t="shared" si="93"/>
        <v>54.169999999999995</v>
      </c>
      <c r="AA23" s="40">
        <f t="shared" si="93"/>
        <v>49.922499999999999</v>
      </c>
      <c r="AB23" s="47">
        <f t="shared" si="93"/>
        <v>35.305</v>
      </c>
      <c r="AC23" s="42">
        <f t="shared" ref="AC23:AF23" si="94">(B23+C23)/2</f>
        <v>94.584999999999994</v>
      </c>
      <c r="AD23" s="42" t="e">
        <f t="shared" si="94"/>
        <v>#VALUE!</v>
      </c>
      <c r="AE23" s="42" t="e">
        <f t="shared" si="94"/>
        <v>#VALUE!</v>
      </c>
      <c r="AF23" s="42">
        <f t="shared" si="94"/>
        <v>42.03</v>
      </c>
      <c r="AG23" s="7"/>
      <c r="AH23" s="7"/>
      <c r="AI23" s="7"/>
      <c r="AJ23" s="7"/>
      <c r="AK23" s="7"/>
      <c r="AL23" s="7"/>
      <c r="AM23" s="7"/>
      <c r="AN23" s="46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8"/>
      <c r="BK23" s="8"/>
      <c r="BL23" s="8"/>
      <c r="BM23" s="8"/>
    </row>
    <row r="24" spans="1:65" ht="15.75" hidden="1" customHeight="1" x14ac:dyDescent="0.45">
      <c r="A24" s="43">
        <f t="shared" si="3"/>
        <v>41047</v>
      </c>
      <c r="B24" s="44">
        <v>99.1</v>
      </c>
      <c r="C24" s="44">
        <v>87.56</v>
      </c>
      <c r="D24" s="44">
        <v>70.63</v>
      </c>
      <c r="E24" s="44">
        <v>49.23</v>
      </c>
      <c r="F24" s="44">
        <v>34.840000000000003</v>
      </c>
      <c r="G24" s="45">
        <v>97.45</v>
      </c>
      <c r="H24" s="37">
        <f t="shared" ref="H24:L24" si="95">B24-B23</f>
        <v>-2.25</v>
      </c>
      <c r="I24" s="38">
        <f t="shared" si="95"/>
        <v>-0.25999999999999091</v>
      </c>
      <c r="J24" s="38" t="e">
        <f t="shared" si="95"/>
        <v>#VALUE!</v>
      </c>
      <c r="K24" s="38">
        <f t="shared" si="95"/>
        <v>0.22999999999999687</v>
      </c>
      <c r="L24" s="39">
        <f t="shared" si="95"/>
        <v>-0.21999999999999886</v>
      </c>
      <c r="M24" s="38"/>
      <c r="N24" s="40"/>
      <c r="O24" s="40"/>
      <c r="P24" s="40"/>
      <c r="Q24" s="40"/>
      <c r="R24" s="40"/>
      <c r="S24" s="40">
        <f t="shared" ref="S24:T24" si="96">(B23+B24)/2</f>
        <v>100.22499999999999</v>
      </c>
      <c r="T24" s="40">
        <f t="shared" si="96"/>
        <v>87.69</v>
      </c>
      <c r="U24" s="40" t="e">
        <f t="shared" si="6"/>
        <v>#VALUE!</v>
      </c>
      <c r="V24" s="40">
        <f t="shared" ref="V24:W24" si="97">(E23+E24)/2</f>
        <v>49.114999999999995</v>
      </c>
      <c r="W24" s="40">
        <f t="shared" si="97"/>
        <v>34.950000000000003</v>
      </c>
      <c r="X24" s="41">
        <f t="shared" ref="X24:AB24" si="98">(SUM(B21:B24))/4</f>
        <v>101.20500000000001</v>
      </c>
      <c r="Y24" s="40">
        <f t="shared" si="98"/>
        <v>88.882499999999993</v>
      </c>
      <c r="Z24" s="40">
        <f t="shared" si="98"/>
        <v>53.717500000000001</v>
      </c>
      <c r="AA24" s="40">
        <f t="shared" si="98"/>
        <v>49.674999999999997</v>
      </c>
      <c r="AB24" s="47">
        <f t="shared" si="98"/>
        <v>35.125</v>
      </c>
      <c r="AC24" s="42">
        <f t="shared" ref="AC24:AF24" si="99">(B24+C24)/2</f>
        <v>93.33</v>
      </c>
      <c r="AD24" s="42">
        <f t="shared" si="99"/>
        <v>79.094999999999999</v>
      </c>
      <c r="AE24" s="42">
        <f t="shared" si="99"/>
        <v>59.929999999999993</v>
      </c>
      <c r="AF24" s="42">
        <f t="shared" si="99"/>
        <v>42.034999999999997</v>
      </c>
      <c r="AG24" s="7"/>
      <c r="AH24" s="7"/>
      <c r="AI24" s="7"/>
      <c r="AJ24" s="7"/>
      <c r="AK24" s="7"/>
      <c r="AL24" s="7"/>
      <c r="AM24" s="7"/>
      <c r="AN24" s="46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8"/>
      <c r="BK24" s="8"/>
      <c r="BL24" s="8"/>
      <c r="BM24" s="8"/>
    </row>
    <row r="25" spans="1:65" ht="15.75" hidden="1" customHeight="1" x14ac:dyDescent="0.45">
      <c r="A25" s="43">
        <f t="shared" si="3"/>
        <v>41054</v>
      </c>
      <c r="B25" s="44">
        <v>94.82</v>
      </c>
      <c r="C25" s="44">
        <v>85.04</v>
      </c>
      <c r="D25" s="44">
        <v>68.209999999999994</v>
      </c>
      <c r="E25" s="44">
        <v>48.4</v>
      </c>
      <c r="F25" s="44">
        <v>34.64</v>
      </c>
      <c r="G25" s="45">
        <v>92.88</v>
      </c>
      <c r="H25" s="37">
        <f t="shared" ref="H25:L25" si="100">B25-B24</f>
        <v>-4.2800000000000011</v>
      </c>
      <c r="I25" s="38">
        <f t="shared" si="100"/>
        <v>-2.519999999999996</v>
      </c>
      <c r="J25" s="38">
        <f t="shared" si="100"/>
        <v>-2.4200000000000017</v>
      </c>
      <c r="K25" s="38">
        <f t="shared" si="100"/>
        <v>-0.82999999999999829</v>
      </c>
      <c r="L25" s="39">
        <f t="shared" si="100"/>
        <v>-0.20000000000000284</v>
      </c>
      <c r="M25" s="38"/>
      <c r="N25" s="40"/>
      <c r="O25" s="40"/>
      <c r="P25" s="40"/>
      <c r="Q25" s="40"/>
      <c r="R25" s="40"/>
      <c r="S25" s="40">
        <f t="shared" ref="S25:T25" si="101">(B24+B25)/2</f>
        <v>96.96</v>
      </c>
      <c r="T25" s="40">
        <f t="shared" si="101"/>
        <v>86.300000000000011</v>
      </c>
      <c r="U25" s="40">
        <f t="shared" si="6"/>
        <v>69.419999999999987</v>
      </c>
      <c r="V25" s="40">
        <f t="shared" ref="V25:W25" si="102">(E24+E25)/2</f>
        <v>48.814999999999998</v>
      </c>
      <c r="W25" s="40">
        <f t="shared" si="102"/>
        <v>34.74</v>
      </c>
      <c r="X25" s="41">
        <f t="shared" ref="X25:AB25" si="103">(SUM(B22:B25))/4</f>
        <v>99.167500000000004</v>
      </c>
      <c r="Y25" s="40">
        <f t="shared" si="103"/>
        <v>87.415000000000006</v>
      </c>
      <c r="Z25" s="40">
        <f t="shared" si="103"/>
        <v>52.734999999999999</v>
      </c>
      <c r="AA25" s="40">
        <f t="shared" si="103"/>
        <v>49.152499999999996</v>
      </c>
      <c r="AB25" s="47">
        <f t="shared" si="103"/>
        <v>34.9375</v>
      </c>
      <c r="AC25" s="42">
        <f t="shared" ref="AC25:AF25" si="104">(B25+C25)/2</f>
        <v>89.93</v>
      </c>
      <c r="AD25" s="42">
        <f t="shared" si="104"/>
        <v>76.625</v>
      </c>
      <c r="AE25" s="42">
        <f t="shared" si="104"/>
        <v>58.304999999999993</v>
      </c>
      <c r="AF25" s="42">
        <f t="shared" si="104"/>
        <v>41.519999999999996</v>
      </c>
      <c r="AG25" s="7"/>
      <c r="AH25" s="7"/>
      <c r="AI25" s="7"/>
      <c r="AJ25" s="7"/>
      <c r="AK25" s="7"/>
      <c r="AL25" s="7"/>
      <c r="AM25" s="7"/>
      <c r="AN25" s="46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8"/>
      <c r="BK25" s="8"/>
      <c r="BL25" s="8"/>
      <c r="BM25" s="8"/>
    </row>
    <row r="26" spans="1:65" ht="15.75" hidden="1" customHeight="1" x14ac:dyDescent="0.45">
      <c r="A26" s="43">
        <f t="shared" si="3"/>
        <v>41061</v>
      </c>
      <c r="B26" s="44">
        <v>92.51</v>
      </c>
      <c r="C26" s="44">
        <v>83.81</v>
      </c>
      <c r="D26" s="44">
        <v>65.72</v>
      </c>
      <c r="E26" s="44">
        <v>47.46</v>
      </c>
      <c r="F26" s="44">
        <v>34.28</v>
      </c>
      <c r="G26" s="45">
        <v>92.15</v>
      </c>
      <c r="H26" s="37">
        <f t="shared" ref="H26:L26" si="105">B26-B25</f>
        <v>-2.3099999999999881</v>
      </c>
      <c r="I26" s="38">
        <f t="shared" si="105"/>
        <v>-1.230000000000004</v>
      </c>
      <c r="J26" s="38">
        <f t="shared" si="105"/>
        <v>-2.4899999999999949</v>
      </c>
      <c r="K26" s="38">
        <f t="shared" si="105"/>
        <v>-0.93999999999999773</v>
      </c>
      <c r="L26" s="39">
        <f t="shared" si="105"/>
        <v>-0.35999999999999943</v>
      </c>
      <c r="M26" s="38"/>
      <c r="N26" s="40"/>
      <c r="O26" s="40"/>
      <c r="P26" s="40"/>
      <c r="Q26" s="40"/>
      <c r="R26" s="40"/>
      <c r="S26" s="40">
        <f t="shared" ref="S26:T26" si="106">(B25+B26)/2</f>
        <v>93.664999999999992</v>
      </c>
      <c r="T26" s="40">
        <f t="shared" si="106"/>
        <v>84.425000000000011</v>
      </c>
      <c r="U26" s="40">
        <f t="shared" si="6"/>
        <v>66.965000000000003</v>
      </c>
      <c r="V26" s="40">
        <f t="shared" ref="V26:W26" si="107">(E25+E26)/2</f>
        <v>47.93</v>
      </c>
      <c r="W26" s="40">
        <f t="shared" si="107"/>
        <v>34.46</v>
      </c>
      <c r="X26" s="41">
        <f t="shared" ref="X26:AB26" si="108">(SUM(B23:B26))/4</f>
        <v>96.944999999999993</v>
      </c>
      <c r="Y26" s="40">
        <f t="shared" si="108"/>
        <v>86.057500000000005</v>
      </c>
      <c r="Z26" s="40">
        <f t="shared" si="108"/>
        <v>51.139999999999993</v>
      </c>
      <c r="AA26" s="40">
        <f t="shared" si="108"/>
        <v>48.522500000000001</v>
      </c>
      <c r="AB26" s="47">
        <f t="shared" si="108"/>
        <v>34.704999999999998</v>
      </c>
      <c r="AC26" s="42">
        <f t="shared" ref="AC26:AF26" si="109">(B26+C26)/2</f>
        <v>88.16</v>
      </c>
      <c r="AD26" s="42">
        <f t="shared" si="109"/>
        <v>74.765000000000001</v>
      </c>
      <c r="AE26" s="42">
        <f t="shared" si="109"/>
        <v>56.59</v>
      </c>
      <c r="AF26" s="42">
        <f t="shared" si="109"/>
        <v>40.870000000000005</v>
      </c>
      <c r="AG26" s="7"/>
      <c r="AH26" s="7"/>
      <c r="AI26" s="7"/>
      <c r="AJ26" s="7"/>
      <c r="AK26" s="7"/>
      <c r="AL26" s="7"/>
      <c r="AM26" s="7"/>
      <c r="AN26" s="48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8"/>
      <c r="BK26" s="8"/>
      <c r="BL26" s="8"/>
      <c r="BM26" s="8"/>
    </row>
    <row r="27" spans="1:65" ht="15.75" hidden="1" customHeight="1" x14ac:dyDescent="0.45">
      <c r="A27" s="43">
        <f t="shared" si="3"/>
        <v>41068</v>
      </c>
      <c r="B27" s="44">
        <v>91.89</v>
      </c>
      <c r="C27" s="44">
        <v>82.21</v>
      </c>
      <c r="D27" s="44">
        <v>65.040000000000006</v>
      </c>
      <c r="E27" s="44">
        <v>46.55</v>
      </c>
      <c r="F27" s="44">
        <v>33.99</v>
      </c>
      <c r="G27" s="45">
        <v>90.33</v>
      </c>
      <c r="H27" s="37">
        <f t="shared" ref="H27:L27" si="110">B27-B26</f>
        <v>-0.62000000000000455</v>
      </c>
      <c r="I27" s="38">
        <f t="shared" si="110"/>
        <v>-1.6000000000000085</v>
      </c>
      <c r="J27" s="38">
        <f t="shared" si="110"/>
        <v>-0.67999999999999261</v>
      </c>
      <c r="K27" s="38">
        <f t="shared" si="110"/>
        <v>-0.91000000000000369</v>
      </c>
      <c r="L27" s="39">
        <f t="shared" si="110"/>
        <v>-0.28999999999999915</v>
      </c>
      <c r="M27" s="38"/>
      <c r="N27" s="40"/>
      <c r="O27" s="40"/>
      <c r="P27" s="40"/>
      <c r="Q27" s="40"/>
      <c r="R27" s="40"/>
      <c r="S27" s="40">
        <f t="shared" ref="S27:T27" si="111">(B26+B27)/2</f>
        <v>92.2</v>
      </c>
      <c r="T27" s="40">
        <f t="shared" si="111"/>
        <v>83.009999999999991</v>
      </c>
      <c r="U27" s="40">
        <f t="shared" si="6"/>
        <v>65.38</v>
      </c>
      <c r="V27" s="40">
        <f t="shared" ref="V27:W27" si="112">(E26+E27)/2</f>
        <v>47.004999999999995</v>
      </c>
      <c r="W27" s="40">
        <f t="shared" si="112"/>
        <v>34.135000000000005</v>
      </c>
      <c r="X27" s="41">
        <f t="shared" ref="X27:AB27" si="113">(SUM(B24:B27))/4</f>
        <v>94.58</v>
      </c>
      <c r="Y27" s="40">
        <f t="shared" si="113"/>
        <v>84.655000000000001</v>
      </c>
      <c r="Z27" s="40">
        <f t="shared" si="113"/>
        <v>67.399999999999991</v>
      </c>
      <c r="AA27" s="40">
        <f t="shared" si="113"/>
        <v>47.91</v>
      </c>
      <c r="AB27" s="47">
        <f t="shared" si="113"/>
        <v>34.4375</v>
      </c>
      <c r="AC27" s="42">
        <f t="shared" ref="AC27:AF27" si="114">(B27+C27)/2</f>
        <v>87.05</v>
      </c>
      <c r="AD27" s="42">
        <f t="shared" si="114"/>
        <v>73.625</v>
      </c>
      <c r="AE27" s="42">
        <f t="shared" si="114"/>
        <v>55.795000000000002</v>
      </c>
      <c r="AF27" s="42">
        <f t="shared" si="114"/>
        <v>40.269999999999996</v>
      </c>
      <c r="AG27" s="7"/>
      <c r="AH27" s="7"/>
      <c r="AI27" s="7"/>
      <c r="AJ27" s="7"/>
      <c r="AK27" s="7"/>
      <c r="AL27" s="7"/>
      <c r="AM27" s="7"/>
      <c r="AN27" s="3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8"/>
      <c r="BK27" s="8"/>
      <c r="BL27" s="8"/>
      <c r="BM27" s="8"/>
    </row>
    <row r="28" spans="1:65" ht="15.75" hidden="1" customHeight="1" x14ac:dyDescent="0.45">
      <c r="A28" s="43">
        <f t="shared" si="3"/>
        <v>41075</v>
      </c>
      <c r="B28" s="44">
        <v>89.25</v>
      </c>
      <c r="C28" s="44">
        <v>78.62</v>
      </c>
      <c r="D28" s="44">
        <v>63.66</v>
      </c>
      <c r="E28" s="44">
        <v>44.81</v>
      </c>
      <c r="F28" s="44">
        <v>33.39</v>
      </c>
      <c r="G28" s="45">
        <v>85.03</v>
      </c>
      <c r="H28" s="37">
        <f t="shared" ref="H28:L28" si="115">B28-B27</f>
        <v>-2.6400000000000006</v>
      </c>
      <c r="I28" s="38">
        <f t="shared" si="115"/>
        <v>-3.5899999999999892</v>
      </c>
      <c r="J28" s="38">
        <f t="shared" si="115"/>
        <v>-1.3800000000000097</v>
      </c>
      <c r="K28" s="38">
        <f t="shared" si="115"/>
        <v>-1.7399999999999949</v>
      </c>
      <c r="L28" s="39">
        <f t="shared" si="115"/>
        <v>-0.60000000000000142</v>
      </c>
      <c r="M28" s="38"/>
      <c r="N28" s="40"/>
      <c r="O28" s="40"/>
      <c r="P28" s="40"/>
      <c r="Q28" s="40"/>
      <c r="R28" s="40"/>
      <c r="S28" s="40">
        <f t="shared" ref="S28:T28" si="116">(B27+B28)/2</f>
        <v>90.57</v>
      </c>
      <c r="T28" s="40">
        <f t="shared" si="116"/>
        <v>80.414999999999992</v>
      </c>
      <c r="U28" s="40">
        <f t="shared" si="6"/>
        <v>64.349999999999994</v>
      </c>
      <c r="V28" s="40">
        <f t="shared" ref="V28:W28" si="117">(E27+E28)/2</f>
        <v>45.68</v>
      </c>
      <c r="W28" s="40">
        <f t="shared" si="117"/>
        <v>33.69</v>
      </c>
      <c r="X28" s="41">
        <f t="shared" ref="X28:AB28" si="118">(SUM(B25:B28))/4</f>
        <v>92.117499999999993</v>
      </c>
      <c r="Y28" s="40">
        <f t="shared" si="118"/>
        <v>82.42</v>
      </c>
      <c r="Z28" s="40">
        <f t="shared" si="118"/>
        <v>65.657499999999999</v>
      </c>
      <c r="AA28" s="40">
        <f t="shared" si="118"/>
        <v>46.805</v>
      </c>
      <c r="AB28" s="47">
        <f t="shared" si="118"/>
        <v>34.075000000000003</v>
      </c>
      <c r="AC28" s="42">
        <f t="shared" ref="AC28:AF28" si="119">(B28+C28)/2</f>
        <v>83.935000000000002</v>
      </c>
      <c r="AD28" s="42">
        <f t="shared" si="119"/>
        <v>71.14</v>
      </c>
      <c r="AE28" s="42">
        <f t="shared" si="119"/>
        <v>54.234999999999999</v>
      </c>
      <c r="AF28" s="42">
        <f t="shared" si="119"/>
        <v>39.1</v>
      </c>
      <c r="AG28" s="7"/>
      <c r="AH28" s="7"/>
      <c r="AI28" s="7"/>
      <c r="AJ28" s="7"/>
      <c r="AK28" s="7"/>
      <c r="AL28" s="7"/>
      <c r="AM28" s="7"/>
      <c r="AN28" s="46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8"/>
      <c r="BK28" s="8"/>
      <c r="BL28" s="8"/>
      <c r="BM28" s="8"/>
    </row>
    <row r="29" spans="1:65" ht="15.75" hidden="1" customHeight="1" x14ac:dyDescent="0.45">
      <c r="A29" s="43">
        <f t="shared" si="3"/>
        <v>41082</v>
      </c>
      <c r="B29" s="44">
        <v>86.7</v>
      </c>
      <c r="C29" s="44">
        <v>75.92</v>
      </c>
      <c r="D29" s="44">
        <v>61.46</v>
      </c>
      <c r="E29" s="44">
        <v>42.97</v>
      </c>
      <c r="F29" s="44">
        <v>32.94</v>
      </c>
      <c r="G29" s="45">
        <v>84.98</v>
      </c>
      <c r="H29" s="37">
        <f t="shared" ref="H29:L29" si="120">B29-B28</f>
        <v>-2.5499999999999972</v>
      </c>
      <c r="I29" s="38">
        <f t="shared" si="120"/>
        <v>-2.7000000000000028</v>
      </c>
      <c r="J29" s="38">
        <f t="shared" si="120"/>
        <v>-2.1999999999999957</v>
      </c>
      <c r="K29" s="38">
        <f t="shared" si="120"/>
        <v>-1.8400000000000034</v>
      </c>
      <c r="L29" s="39">
        <f t="shared" si="120"/>
        <v>-0.45000000000000284</v>
      </c>
      <c r="M29" s="38"/>
      <c r="N29" s="40"/>
      <c r="O29" s="40"/>
      <c r="P29" s="40"/>
      <c r="Q29" s="40"/>
      <c r="R29" s="40"/>
      <c r="S29" s="40">
        <f t="shared" ref="S29:T29" si="121">(B28+B29)/2</f>
        <v>87.974999999999994</v>
      </c>
      <c r="T29" s="40">
        <f t="shared" si="121"/>
        <v>77.27000000000001</v>
      </c>
      <c r="U29" s="40">
        <f t="shared" si="6"/>
        <v>62.56</v>
      </c>
      <c r="V29" s="40">
        <f t="shared" ref="V29:W29" si="122">(E28+E29)/2</f>
        <v>43.89</v>
      </c>
      <c r="W29" s="40">
        <f t="shared" si="122"/>
        <v>33.164999999999999</v>
      </c>
      <c r="X29" s="41">
        <f t="shared" ref="X29:AB29" si="123">(SUM(B26:B29))/4</f>
        <v>90.087499999999991</v>
      </c>
      <c r="Y29" s="40">
        <f t="shared" si="123"/>
        <v>80.14</v>
      </c>
      <c r="Z29" s="40">
        <f t="shared" si="123"/>
        <v>63.97</v>
      </c>
      <c r="AA29" s="40">
        <f t="shared" si="123"/>
        <v>45.447499999999998</v>
      </c>
      <c r="AB29" s="47">
        <f t="shared" si="123"/>
        <v>33.650000000000006</v>
      </c>
      <c r="AC29" s="42">
        <f t="shared" ref="AC29:AF29" si="124">(B29+C29)/2</f>
        <v>81.31</v>
      </c>
      <c r="AD29" s="42">
        <f t="shared" si="124"/>
        <v>68.69</v>
      </c>
      <c r="AE29" s="42">
        <f t="shared" si="124"/>
        <v>52.215000000000003</v>
      </c>
      <c r="AF29" s="42">
        <f t="shared" si="124"/>
        <v>37.954999999999998</v>
      </c>
      <c r="AG29" s="7"/>
      <c r="AH29" s="7"/>
      <c r="AI29" s="7"/>
      <c r="AJ29" s="7"/>
      <c r="AK29" s="7"/>
      <c r="AL29" s="7"/>
      <c r="AM29" s="7"/>
      <c r="AN29" s="46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8"/>
      <c r="BK29" s="8"/>
      <c r="BL29" s="8"/>
      <c r="BM29" s="8"/>
    </row>
    <row r="30" spans="1:65" ht="15.75" hidden="1" customHeight="1" x14ac:dyDescent="0.45">
      <c r="A30" s="43">
        <f t="shared" si="3"/>
        <v>41089</v>
      </c>
      <c r="B30" s="44">
        <v>87.7</v>
      </c>
      <c r="C30" s="44">
        <v>73.650000000000006</v>
      </c>
      <c r="D30" s="44">
        <v>60.34</v>
      </c>
      <c r="E30" s="44">
        <v>42.35</v>
      </c>
      <c r="F30" s="44">
        <v>32.74</v>
      </c>
      <c r="G30" s="45">
        <v>89.22</v>
      </c>
      <c r="H30" s="37">
        <f t="shared" ref="H30:L30" si="125">B30-B29</f>
        <v>1</v>
      </c>
      <c r="I30" s="38">
        <f t="shared" si="125"/>
        <v>-2.269999999999996</v>
      </c>
      <c r="J30" s="38">
        <f t="shared" si="125"/>
        <v>-1.1199999999999974</v>
      </c>
      <c r="K30" s="38">
        <f t="shared" si="125"/>
        <v>-0.61999999999999744</v>
      </c>
      <c r="L30" s="39">
        <f t="shared" si="125"/>
        <v>-0.19999999999999574</v>
      </c>
      <c r="M30" s="38"/>
      <c r="N30" s="40"/>
      <c r="O30" s="40"/>
      <c r="P30" s="40"/>
      <c r="Q30" s="40"/>
      <c r="R30" s="40"/>
      <c r="S30" s="40">
        <f t="shared" ref="S30:T30" si="126">(B29+B30)/2</f>
        <v>87.2</v>
      </c>
      <c r="T30" s="40">
        <f t="shared" si="126"/>
        <v>74.784999999999997</v>
      </c>
      <c r="U30" s="40">
        <f t="shared" si="6"/>
        <v>60.900000000000006</v>
      </c>
      <c r="V30" s="40">
        <f t="shared" ref="V30:W30" si="127">(E29+E30)/2</f>
        <v>42.66</v>
      </c>
      <c r="W30" s="40">
        <f t="shared" si="127"/>
        <v>32.840000000000003</v>
      </c>
      <c r="X30" s="41">
        <f t="shared" ref="X30:AB30" si="128">(SUM(B27:B30))/4</f>
        <v>88.884999999999991</v>
      </c>
      <c r="Y30" s="40">
        <f t="shared" si="128"/>
        <v>77.599999999999994</v>
      </c>
      <c r="Z30" s="40">
        <f t="shared" si="128"/>
        <v>62.625</v>
      </c>
      <c r="AA30" s="40">
        <f t="shared" si="128"/>
        <v>44.169999999999995</v>
      </c>
      <c r="AB30" s="47">
        <f t="shared" si="128"/>
        <v>33.265000000000001</v>
      </c>
      <c r="AC30" s="42">
        <f t="shared" ref="AC30:AF30" si="129">(B30+C30)/2</f>
        <v>80.675000000000011</v>
      </c>
      <c r="AD30" s="42">
        <f t="shared" si="129"/>
        <v>66.995000000000005</v>
      </c>
      <c r="AE30" s="42">
        <f t="shared" si="129"/>
        <v>51.344999999999999</v>
      </c>
      <c r="AF30" s="42">
        <f t="shared" si="129"/>
        <v>37.545000000000002</v>
      </c>
      <c r="AG30" s="7"/>
      <c r="AH30" s="7"/>
      <c r="AI30" s="7"/>
      <c r="AJ30" s="7"/>
      <c r="AK30" s="7"/>
      <c r="AL30" s="7"/>
      <c r="AM30" s="7"/>
      <c r="AN30" s="48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8"/>
      <c r="BK30" s="8"/>
      <c r="BL30" s="8"/>
      <c r="BM30" s="8"/>
    </row>
    <row r="31" spans="1:65" ht="15.75" hidden="1" customHeight="1" x14ac:dyDescent="0.45">
      <c r="A31" s="43">
        <f t="shared" si="3"/>
        <v>41096</v>
      </c>
      <c r="B31" s="44">
        <v>89.17</v>
      </c>
      <c r="C31" s="44">
        <v>73.290000000000006</v>
      </c>
      <c r="D31" s="44">
        <v>60.16</v>
      </c>
      <c r="E31" s="44">
        <v>41.3</v>
      </c>
      <c r="F31" s="44">
        <v>32.380000000000003</v>
      </c>
      <c r="G31" s="45">
        <v>90.4</v>
      </c>
      <c r="H31" s="37">
        <f t="shared" ref="H31:L31" si="130">B31-B30</f>
        <v>1.4699999999999989</v>
      </c>
      <c r="I31" s="38">
        <f t="shared" si="130"/>
        <v>-0.35999999999999943</v>
      </c>
      <c r="J31" s="38">
        <f t="shared" si="130"/>
        <v>-0.18000000000000682</v>
      </c>
      <c r="K31" s="38">
        <f t="shared" si="130"/>
        <v>-1.0500000000000043</v>
      </c>
      <c r="L31" s="39">
        <f t="shared" si="130"/>
        <v>-0.35999999999999943</v>
      </c>
      <c r="M31" s="38"/>
      <c r="N31" s="40"/>
      <c r="O31" s="40"/>
      <c r="P31" s="40"/>
      <c r="Q31" s="40"/>
      <c r="R31" s="40"/>
      <c r="S31" s="40">
        <f t="shared" ref="S31:T31" si="131">(B30+B31)/2</f>
        <v>88.435000000000002</v>
      </c>
      <c r="T31" s="40">
        <f t="shared" si="131"/>
        <v>73.47</v>
      </c>
      <c r="U31" s="40">
        <f t="shared" si="6"/>
        <v>60.25</v>
      </c>
      <c r="V31" s="40">
        <f t="shared" ref="V31:W31" si="132">(E30+E31)/2</f>
        <v>41.825000000000003</v>
      </c>
      <c r="W31" s="40">
        <f t="shared" si="132"/>
        <v>32.56</v>
      </c>
      <c r="X31" s="41">
        <f t="shared" ref="X31:AB31" si="133">(SUM(B28:B31))/4</f>
        <v>88.204999999999998</v>
      </c>
      <c r="Y31" s="40">
        <f t="shared" si="133"/>
        <v>75.37</v>
      </c>
      <c r="Z31" s="40">
        <f t="shared" si="133"/>
        <v>61.405000000000001</v>
      </c>
      <c r="AA31" s="40">
        <f t="shared" si="133"/>
        <v>42.857500000000002</v>
      </c>
      <c r="AB31" s="47">
        <f t="shared" si="133"/>
        <v>32.862499999999997</v>
      </c>
      <c r="AC31" s="42">
        <f t="shared" ref="AC31:AF31" si="134">(B31+C31)/2</f>
        <v>81.23</v>
      </c>
      <c r="AD31" s="42">
        <f t="shared" si="134"/>
        <v>66.724999999999994</v>
      </c>
      <c r="AE31" s="42">
        <f t="shared" si="134"/>
        <v>50.73</v>
      </c>
      <c r="AF31" s="42">
        <f t="shared" si="134"/>
        <v>36.840000000000003</v>
      </c>
      <c r="AG31" s="7"/>
      <c r="AH31" s="7"/>
      <c r="AI31" s="7"/>
      <c r="AJ31" s="7"/>
      <c r="AK31" s="7"/>
      <c r="AL31" s="7"/>
      <c r="AM31" s="7"/>
      <c r="AN31" s="3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8"/>
      <c r="BK31" s="8"/>
      <c r="BL31" s="8"/>
      <c r="BM31" s="8"/>
    </row>
    <row r="32" spans="1:65" ht="15.75" hidden="1" customHeight="1" x14ac:dyDescent="0.45">
      <c r="A32" s="43">
        <f t="shared" si="3"/>
        <v>41103</v>
      </c>
      <c r="B32" s="44">
        <v>86.99</v>
      </c>
      <c r="C32" s="44">
        <v>72.28</v>
      </c>
      <c r="D32" s="44">
        <v>59.59</v>
      </c>
      <c r="E32" s="44">
        <v>40.67</v>
      </c>
      <c r="F32" s="44">
        <v>31.64</v>
      </c>
      <c r="G32" s="45">
        <v>87.73</v>
      </c>
      <c r="H32" s="37">
        <f t="shared" ref="H32:L32" si="135">B32-B31</f>
        <v>-2.1800000000000068</v>
      </c>
      <c r="I32" s="38">
        <f t="shared" si="135"/>
        <v>-1.0100000000000051</v>
      </c>
      <c r="J32" s="38">
        <f t="shared" si="135"/>
        <v>-0.56999999999999318</v>
      </c>
      <c r="K32" s="38">
        <f t="shared" si="135"/>
        <v>-0.62999999999999545</v>
      </c>
      <c r="L32" s="39">
        <f t="shared" si="135"/>
        <v>-0.74000000000000199</v>
      </c>
      <c r="M32" s="38"/>
      <c r="N32" s="40"/>
      <c r="O32" s="40"/>
      <c r="P32" s="40"/>
      <c r="Q32" s="40"/>
      <c r="R32" s="40"/>
      <c r="S32" s="40">
        <f t="shared" ref="S32:T32" si="136">(B31+B32)/2</f>
        <v>88.08</v>
      </c>
      <c r="T32" s="40">
        <f t="shared" si="136"/>
        <v>72.784999999999997</v>
      </c>
      <c r="U32" s="40">
        <f t="shared" si="6"/>
        <v>59.875</v>
      </c>
      <c r="V32" s="40">
        <f t="shared" ref="V32:W32" si="137">(E31+E32)/2</f>
        <v>40.984999999999999</v>
      </c>
      <c r="W32" s="40">
        <f t="shared" si="137"/>
        <v>32.010000000000005</v>
      </c>
      <c r="X32" s="41">
        <f t="shared" ref="X32:AB32" si="138">(SUM(B29:B32))/4</f>
        <v>87.64</v>
      </c>
      <c r="Y32" s="40">
        <f t="shared" si="138"/>
        <v>73.784999999999997</v>
      </c>
      <c r="Z32" s="40">
        <f t="shared" si="138"/>
        <v>60.387500000000003</v>
      </c>
      <c r="AA32" s="40">
        <f t="shared" si="138"/>
        <v>41.822499999999998</v>
      </c>
      <c r="AB32" s="47">
        <f t="shared" si="138"/>
        <v>32.424999999999997</v>
      </c>
      <c r="AC32" s="42">
        <f t="shared" ref="AC32:AF32" si="139">(B32+C32)/2</f>
        <v>79.634999999999991</v>
      </c>
      <c r="AD32" s="42">
        <f t="shared" si="139"/>
        <v>65.935000000000002</v>
      </c>
      <c r="AE32" s="42">
        <f t="shared" si="139"/>
        <v>50.13</v>
      </c>
      <c r="AF32" s="42">
        <f t="shared" si="139"/>
        <v>36.155000000000001</v>
      </c>
      <c r="AG32" s="7"/>
      <c r="AH32" s="7"/>
      <c r="AI32" s="7"/>
      <c r="AJ32" s="7"/>
      <c r="AK32" s="7"/>
      <c r="AL32" s="7"/>
      <c r="AM32" s="7"/>
      <c r="AN32" s="46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8"/>
      <c r="BK32" s="8"/>
      <c r="BL32" s="8"/>
      <c r="BM32" s="8"/>
    </row>
    <row r="33" spans="1:65" ht="15.75" hidden="1" customHeight="1" x14ac:dyDescent="0.45">
      <c r="A33" s="43">
        <f t="shared" si="3"/>
        <v>41110</v>
      </c>
      <c r="B33" s="44">
        <v>85.55</v>
      </c>
      <c r="C33" s="44">
        <v>70.84</v>
      </c>
      <c r="D33" s="44">
        <v>56.51</v>
      </c>
      <c r="E33" s="44">
        <v>39.58</v>
      </c>
      <c r="F33" s="44">
        <v>30.37</v>
      </c>
      <c r="G33" s="45">
        <v>87.99</v>
      </c>
      <c r="H33" s="37">
        <f t="shared" ref="H33:L33" si="140">B33-B32</f>
        <v>-1.4399999999999977</v>
      </c>
      <c r="I33" s="38">
        <f t="shared" si="140"/>
        <v>-1.4399999999999977</v>
      </c>
      <c r="J33" s="38">
        <f t="shared" si="140"/>
        <v>-3.0800000000000054</v>
      </c>
      <c r="K33" s="38">
        <f t="shared" si="140"/>
        <v>-1.0900000000000034</v>
      </c>
      <c r="L33" s="39">
        <f t="shared" si="140"/>
        <v>-1.2699999999999996</v>
      </c>
      <c r="M33" s="38"/>
      <c r="N33" s="40"/>
      <c r="O33" s="40"/>
      <c r="P33" s="40"/>
      <c r="Q33" s="40"/>
      <c r="R33" s="40"/>
      <c r="S33" s="40">
        <f t="shared" ref="S33:T33" si="141">(B32+B33)/2</f>
        <v>86.27</v>
      </c>
      <c r="T33" s="40">
        <f t="shared" si="141"/>
        <v>71.56</v>
      </c>
      <c r="U33" s="40">
        <f t="shared" si="6"/>
        <v>58.05</v>
      </c>
      <c r="V33" s="40">
        <f t="shared" ref="V33:W33" si="142">(E32+E33)/2</f>
        <v>40.125</v>
      </c>
      <c r="W33" s="40">
        <f t="shared" si="142"/>
        <v>31.005000000000003</v>
      </c>
      <c r="X33" s="41">
        <f t="shared" ref="X33:AB33" si="143">(SUM(B30:B33))/4</f>
        <v>87.352500000000006</v>
      </c>
      <c r="Y33" s="40">
        <f t="shared" si="143"/>
        <v>72.515000000000001</v>
      </c>
      <c r="Z33" s="40">
        <f t="shared" si="143"/>
        <v>59.15</v>
      </c>
      <c r="AA33" s="40">
        <f t="shared" si="143"/>
        <v>40.975000000000001</v>
      </c>
      <c r="AB33" s="47">
        <f t="shared" si="143"/>
        <v>31.782500000000002</v>
      </c>
      <c r="AC33" s="42">
        <f t="shared" ref="AC33:AF33" si="144">(B33+C33)/2</f>
        <v>78.194999999999993</v>
      </c>
      <c r="AD33" s="42">
        <f t="shared" si="144"/>
        <v>63.674999999999997</v>
      </c>
      <c r="AE33" s="42">
        <f t="shared" si="144"/>
        <v>48.045000000000002</v>
      </c>
      <c r="AF33" s="42">
        <f t="shared" si="144"/>
        <v>34.975000000000001</v>
      </c>
      <c r="AG33" s="7"/>
      <c r="AH33" s="7"/>
      <c r="AI33" s="7"/>
      <c r="AJ33" s="7"/>
      <c r="AK33" s="7"/>
      <c r="AL33" s="7"/>
      <c r="AM33" s="7"/>
      <c r="AN33" s="46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8"/>
      <c r="BK33" s="8"/>
      <c r="BL33" s="8"/>
      <c r="BM33" s="8"/>
    </row>
    <row r="34" spans="1:65" ht="15.75" hidden="1" customHeight="1" x14ac:dyDescent="0.45">
      <c r="A34" s="43">
        <f t="shared" si="3"/>
        <v>41117</v>
      </c>
      <c r="B34" s="44">
        <v>84.09</v>
      </c>
      <c r="C34" s="44">
        <v>70.3</v>
      </c>
      <c r="D34" s="44">
        <v>57.37</v>
      </c>
      <c r="E34" s="44">
        <v>39.58</v>
      </c>
      <c r="F34" s="44">
        <v>30.06</v>
      </c>
      <c r="G34" s="45">
        <v>88.41</v>
      </c>
      <c r="H34" s="37">
        <f t="shared" ref="H34:L34" si="145">B34-B33</f>
        <v>-1.4599999999999937</v>
      </c>
      <c r="I34" s="38">
        <f t="shared" si="145"/>
        <v>-0.54000000000000625</v>
      </c>
      <c r="J34" s="38">
        <f t="shared" si="145"/>
        <v>0.85999999999999943</v>
      </c>
      <c r="K34" s="38">
        <f t="shared" si="145"/>
        <v>0</v>
      </c>
      <c r="L34" s="39">
        <f t="shared" si="145"/>
        <v>-0.31000000000000227</v>
      </c>
      <c r="M34" s="38"/>
      <c r="N34" s="40"/>
      <c r="O34" s="40"/>
      <c r="P34" s="40"/>
      <c r="Q34" s="40"/>
      <c r="R34" s="40"/>
      <c r="S34" s="40">
        <f t="shared" ref="S34:T34" si="146">(B33+B34)/2</f>
        <v>84.82</v>
      </c>
      <c r="T34" s="40">
        <f t="shared" si="146"/>
        <v>70.569999999999993</v>
      </c>
      <c r="U34" s="40">
        <f t="shared" si="6"/>
        <v>56.94</v>
      </c>
      <c r="V34" s="40">
        <f t="shared" ref="V34:W34" si="147">(E33+E34)/2</f>
        <v>39.58</v>
      </c>
      <c r="W34" s="40">
        <f t="shared" si="147"/>
        <v>30.215</v>
      </c>
      <c r="X34" s="41">
        <f t="shared" ref="X34:AB34" si="148">(SUM(B31:B34))/4</f>
        <v>86.449999999999989</v>
      </c>
      <c r="Y34" s="40">
        <f t="shared" si="148"/>
        <v>71.677499999999995</v>
      </c>
      <c r="Z34" s="40">
        <f t="shared" si="148"/>
        <v>58.407499999999999</v>
      </c>
      <c r="AA34" s="40">
        <f t="shared" si="148"/>
        <v>40.282499999999999</v>
      </c>
      <c r="AB34" s="47">
        <f t="shared" si="148"/>
        <v>31.112500000000004</v>
      </c>
      <c r="AC34" s="42">
        <f t="shared" ref="AC34:AF34" si="149">(B34+C34)/2</f>
        <v>77.194999999999993</v>
      </c>
      <c r="AD34" s="42">
        <f t="shared" si="149"/>
        <v>63.834999999999994</v>
      </c>
      <c r="AE34" s="42">
        <f t="shared" si="149"/>
        <v>48.474999999999994</v>
      </c>
      <c r="AF34" s="42">
        <f t="shared" si="149"/>
        <v>34.82</v>
      </c>
      <c r="AG34" s="7"/>
      <c r="AH34" s="7"/>
      <c r="AI34" s="7"/>
      <c r="AJ34" s="7"/>
      <c r="AK34" s="7"/>
      <c r="AL34" s="7"/>
      <c r="AM34" s="7"/>
      <c r="AN34" s="48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8"/>
      <c r="BK34" s="8"/>
      <c r="BL34" s="8"/>
      <c r="BM34" s="8"/>
    </row>
    <row r="35" spans="1:65" ht="15.75" hidden="1" customHeight="1" x14ac:dyDescent="0.45">
      <c r="A35" s="43">
        <f t="shared" si="3"/>
        <v>41124</v>
      </c>
      <c r="B35" s="44">
        <v>86.31</v>
      </c>
      <c r="C35" s="44">
        <v>70.34</v>
      </c>
      <c r="D35" s="44">
        <v>56.73</v>
      </c>
      <c r="E35" s="44">
        <v>40.22</v>
      </c>
      <c r="F35" s="44">
        <v>29.79</v>
      </c>
      <c r="G35" s="45">
        <v>89.95</v>
      </c>
      <c r="H35" s="37">
        <f t="shared" ref="H35:L35" si="150">B35-B34</f>
        <v>2.2199999999999989</v>
      </c>
      <c r="I35" s="38">
        <f t="shared" si="150"/>
        <v>4.0000000000006253E-2</v>
      </c>
      <c r="J35" s="38">
        <f t="shared" si="150"/>
        <v>-0.64000000000000057</v>
      </c>
      <c r="K35" s="38">
        <f t="shared" si="150"/>
        <v>0.64000000000000057</v>
      </c>
      <c r="L35" s="39">
        <f t="shared" si="150"/>
        <v>-0.26999999999999957</v>
      </c>
      <c r="M35" s="38"/>
      <c r="N35" s="40"/>
      <c r="O35" s="40"/>
      <c r="P35" s="40"/>
      <c r="Q35" s="40"/>
      <c r="R35" s="40"/>
      <c r="S35" s="40">
        <f t="shared" ref="S35:T35" si="151">(B34+B35)/2</f>
        <v>85.2</v>
      </c>
      <c r="T35" s="40">
        <f t="shared" si="151"/>
        <v>70.319999999999993</v>
      </c>
      <c r="U35" s="40">
        <f t="shared" si="6"/>
        <v>57.05</v>
      </c>
      <c r="V35" s="40">
        <f t="shared" ref="V35:W35" si="152">(E34+E35)/2</f>
        <v>39.9</v>
      </c>
      <c r="W35" s="40">
        <f t="shared" si="152"/>
        <v>29.924999999999997</v>
      </c>
      <c r="X35" s="41">
        <f t="shared" ref="X35:AB35" si="153">(SUM(B32:B35))/4</f>
        <v>85.734999999999999</v>
      </c>
      <c r="Y35" s="40">
        <f t="shared" si="153"/>
        <v>70.94</v>
      </c>
      <c r="Z35" s="40">
        <f t="shared" si="153"/>
        <v>57.55</v>
      </c>
      <c r="AA35" s="40">
        <f t="shared" si="153"/>
        <v>40.012500000000003</v>
      </c>
      <c r="AB35" s="47">
        <f t="shared" si="153"/>
        <v>30.465000000000003</v>
      </c>
      <c r="AC35" s="42">
        <f t="shared" ref="AC35:AF35" si="154">(B35+C35)/2</f>
        <v>78.325000000000003</v>
      </c>
      <c r="AD35" s="42">
        <f t="shared" si="154"/>
        <v>63.534999999999997</v>
      </c>
      <c r="AE35" s="42">
        <f t="shared" si="154"/>
        <v>48.474999999999994</v>
      </c>
      <c r="AF35" s="42">
        <f t="shared" si="154"/>
        <v>35.004999999999995</v>
      </c>
      <c r="AG35" s="7"/>
      <c r="AH35" s="7"/>
      <c r="AI35" s="7"/>
      <c r="AJ35" s="7"/>
      <c r="AK35" s="7"/>
      <c r="AL35" s="7"/>
      <c r="AM35" s="7"/>
      <c r="AN35" s="3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8"/>
      <c r="BK35" s="8"/>
      <c r="BL35" s="8"/>
      <c r="BM35" s="8"/>
    </row>
    <row r="36" spans="1:65" ht="15.75" hidden="1" customHeight="1" x14ac:dyDescent="0.45">
      <c r="A36" s="43">
        <f t="shared" si="3"/>
        <v>41131</v>
      </c>
      <c r="B36" s="44">
        <v>87.45</v>
      </c>
      <c r="C36" s="44">
        <v>70.27</v>
      </c>
      <c r="D36" s="44">
        <v>56.3</v>
      </c>
      <c r="E36" s="44">
        <v>39.76</v>
      </c>
      <c r="F36" s="44">
        <v>29.42</v>
      </c>
      <c r="G36" s="45">
        <v>92.86</v>
      </c>
      <c r="H36" s="37">
        <f t="shared" ref="H36:L36" si="155">B36-B35</f>
        <v>1.1400000000000006</v>
      </c>
      <c r="I36" s="38">
        <f t="shared" si="155"/>
        <v>-7.000000000000739E-2</v>
      </c>
      <c r="J36" s="38">
        <f t="shared" si="155"/>
        <v>-0.42999999999999972</v>
      </c>
      <c r="K36" s="38">
        <f t="shared" si="155"/>
        <v>-0.46000000000000085</v>
      </c>
      <c r="L36" s="39">
        <f t="shared" si="155"/>
        <v>-0.36999999999999744</v>
      </c>
      <c r="M36" s="38"/>
      <c r="N36" s="40"/>
      <c r="O36" s="40"/>
      <c r="P36" s="40"/>
      <c r="Q36" s="40"/>
      <c r="R36" s="40"/>
      <c r="S36" s="40">
        <f t="shared" ref="S36:T36" si="156">(B35+B36)/2</f>
        <v>86.88</v>
      </c>
      <c r="T36" s="40">
        <f t="shared" si="156"/>
        <v>70.305000000000007</v>
      </c>
      <c r="U36" s="40">
        <f t="shared" si="6"/>
        <v>56.515000000000001</v>
      </c>
      <c r="V36" s="40">
        <f t="shared" ref="V36:W36" si="157">(E35+E36)/2</f>
        <v>39.989999999999995</v>
      </c>
      <c r="W36" s="40">
        <f t="shared" si="157"/>
        <v>29.605</v>
      </c>
      <c r="X36" s="41">
        <f t="shared" ref="X36:AB36" si="158">(SUM(B33:B36))/4</f>
        <v>85.85</v>
      </c>
      <c r="Y36" s="40">
        <f t="shared" si="158"/>
        <v>70.4375</v>
      </c>
      <c r="Z36" s="40">
        <f t="shared" si="158"/>
        <v>56.727499999999992</v>
      </c>
      <c r="AA36" s="40">
        <f t="shared" si="158"/>
        <v>39.784999999999997</v>
      </c>
      <c r="AB36" s="47">
        <f t="shared" si="158"/>
        <v>29.91</v>
      </c>
      <c r="AC36" s="42">
        <f t="shared" ref="AC36:AF36" si="159">(B36+C36)/2</f>
        <v>78.86</v>
      </c>
      <c r="AD36" s="42">
        <f t="shared" si="159"/>
        <v>63.284999999999997</v>
      </c>
      <c r="AE36" s="42">
        <f t="shared" si="159"/>
        <v>48.03</v>
      </c>
      <c r="AF36" s="42">
        <f t="shared" si="159"/>
        <v>34.590000000000003</v>
      </c>
      <c r="AG36" s="7"/>
      <c r="AH36" s="7"/>
      <c r="AI36" s="7"/>
      <c r="AJ36" s="7"/>
      <c r="AK36" s="7"/>
      <c r="AL36" s="7"/>
      <c r="AM36" s="7"/>
      <c r="AN36" s="46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8"/>
      <c r="BK36" s="8"/>
      <c r="BL36" s="8"/>
      <c r="BM36" s="8"/>
    </row>
    <row r="37" spans="1:65" ht="15.75" hidden="1" customHeight="1" x14ac:dyDescent="0.45">
      <c r="A37" s="43">
        <f t="shared" si="3"/>
        <v>41138</v>
      </c>
      <c r="B37" s="44">
        <v>88.77</v>
      </c>
      <c r="C37" s="44">
        <v>72.41</v>
      </c>
      <c r="D37" s="44">
        <v>57.04</v>
      </c>
      <c r="E37" s="44">
        <v>39.340000000000003</v>
      </c>
      <c r="F37" s="44">
        <v>29.22</v>
      </c>
      <c r="G37" s="45">
        <v>92.31</v>
      </c>
      <c r="H37" s="37">
        <f t="shared" ref="H37:L37" si="160">B37-B36</f>
        <v>1.3199999999999932</v>
      </c>
      <c r="I37" s="38">
        <f t="shared" si="160"/>
        <v>2.1400000000000006</v>
      </c>
      <c r="J37" s="38">
        <f t="shared" si="160"/>
        <v>0.74000000000000199</v>
      </c>
      <c r="K37" s="38">
        <f t="shared" si="160"/>
        <v>-0.4199999999999946</v>
      </c>
      <c r="L37" s="39">
        <f t="shared" si="160"/>
        <v>-0.20000000000000284</v>
      </c>
      <c r="M37" s="38"/>
      <c r="N37" s="40"/>
      <c r="O37" s="40"/>
      <c r="P37" s="40"/>
      <c r="Q37" s="40"/>
      <c r="R37" s="40"/>
      <c r="S37" s="40">
        <f t="shared" ref="S37:T37" si="161">(B36+B37)/2</f>
        <v>88.11</v>
      </c>
      <c r="T37" s="40">
        <f t="shared" si="161"/>
        <v>71.34</v>
      </c>
      <c r="U37" s="40">
        <f t="shared" si="6"/>
        <v>56.67</v>
      </c>
      <c r="V37" s="40">
        <f t="shared" ref="V37:W37" si="162">(E36+E37)/2</f>
        <v>39.549999999999997</v>
      </c>
      <c r="W37" s="40">
        <f t="shared" si="162"/>
        <v>29.32</v>
      </c>
      <c r="X37" s="41">
        <f t="shared" ref="X37:AB37" si="163">(SUM(B34:B37))/4</f>
        <v>86.655000000000001</v>
      </c>
      <c r="Y37" s="40">
        <f t="shared" si="163"/>
        <v>70.829999999999984</v>
      </c>
      <c r="Z37" s="40">
        <f t="shared" si="163"/>
        <v>56.859999999999992</v>
      </c>
      <c r="AA37" s="40">
        <f t="shared" si="163"/>
        <v>39.725000000000001</v>
      </c>
      <c r="AB37" s="47">
        <f t="shared" si="163"/>
        <v>29.622499999999999</v>
      </c>
      <c r="AC37" s="42">
        <f t="shared" ref="AC37:AF37" si="164">(B37+C37)/2</f>
        <v>80.59</v>
      </c>
      <c r="AD37" s="42">
        <f t="shared" si="164"/>
        <v>64.724999999999994</v>
      </c>
      <c r="AE37" s="42">
        <f t="shared" si="164"/>
        <v>48.19</v>
      </c>
      <c r="AF37" s="42">
        <f t="shared" si="164"/>
        <v>34.28</v>
      </c>
      <c r="AG37" s="7"/>
      <c r="AH37" s="7"/>
      <c r="AI37" s="7"/>
      <c r="AJ37" s="7"/>
      <c r="AK37" s="7"/>
      <c r="AL37" s="7"/>
      <c r="AM37" s="7"/>
      <c r="AN37" s="46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8"/>
      <c r="BK37" s="8"/>
      <c r="BL37" s="8"/>
      <c r="BM37" s="8"/>
    </row>
    <row r="38" spans="1:65" ht="15.75" hidden="1" customHeight="1" x14ac:dyDescent="0.45">
      <c r="A38" s="43">
        <f t="shared" si="3"/>
        <v>41145</v>
      </c>
      <c r="B38" s="44">
        <v>89.84</v>
      </c>
      <c r="C38" s="44">
        <v>73.290000000000006</v>
      </c>
      <c r="D38" s="44">
        <v>57.54</v>
      </c>
      <c r="E38" s="44">
        <v>39.549999999999997</v>
      </c>
      <c r="F38" s="44">
        <v>29.55</v>
      </c>
      <c r="G38" s="45">
        <v>91.5</v>
      </c>
      <c r="H38" s="37">
        <f t="shared" ref="H38:L38" si="165">B38-B37</f>
        <v>1.0700000000000074</v>
      </c>
      <c r="I38" s="38">
        <f t="shared" si="165"/>
        <v>0.88000000000000966</v>
      </c>
      <c r="J38" s="38">
        <f t="shared" si="165"/>
        <v>0.5</v>
      </c>
      <c r="K38" s="38">
        <f t="shared" si="165"/>
        <v>0.20999999999999375</v>
      </c>
      <c r="L38" s="39">
        <f t="shared" si="165"/>
        <v>0.33000000000000185</v>
      </c>
      <c r="M38" s="38"/>
      <c r="N38" s="40"/>
      <c r="O38" s="40"/>
      <c r="P38" s="40"/>
      <c r="Q38" s="40"/>
      <c r="R38" s="40"/>
      <c r="S38" s="40">
        <f t="shared" ref="S38:T38" si="166">(B37+B38)/2</f>
        <v>89.305000000000007</v>
      </c>
      <c r="T38" s="40">
        <f t="shared" si="166"/>
        <v>72.849999999999994</v>
      </c>
      <c r="U38" s="40">
        <f t="shared" si="6"/>
        <v>57.29</v>
      </c>
      <c r="V38" s="40">
        <f t="shared" ref="V38:W38" si="167">(E37+E38)/2</f>
        <v>39.445</v>
      </c>
      <c r="W38" s="40">
        <f t="shared" si="167"/>
        <v>29.384999999999998</v>
      </c>
      <c r="X38" s="41">
        <f t="shared" ref="X38:AB38" si="168">(SUM(B35:B38))/4</f>
        <v>88.092500000000001</v>
      </c>
      <c r="Y38" s="40">
        <f t="shared" si="168"/>
        <v>71.577500000000001</v>
      </c>
      <c r="Z38" s="40">
        <f t="shared" si="168"/>
        <v>56.902499999999996</v>
      </c>
      <c r="AA38" s="40">
        <f t="shared" si="168"/>
        <v>39.717500000000001</v>
      </c>
      <c r="AB38" s="47">
        <f t="shared" si="168"/>
        <v>29.495000000000001</v>
      </c>
      <c r="AC38" s="42">
        <f t="shared" ref="AC38:AF38" si="169">(B38+C38)/2</f>
        <v>81.564999999999998</v>
      </c>
      <c r="AD38" s="42">
        <f t="shared" si="169"/>
        <v>65.415000000000006</v>
      </c>
      <c r="AE38" s="42">
        <f t="shared" si="169"/>
        <v>48.545000000000002</v>
      </c>
      <c r="AF38" s="42">
        <f t="shared" si="169"/>
        <v>34.549999999999997</v>
      </c>
      <c r="AG38" s="7"/>
      <c r="AH38" s="7"/>
      <c r="AI38" s="7"/>
      <c r="AJ38" s="7"/>
      <c r="AK38" s="7"/>
      <c r="AL38" s="7"/>
      <c r="AM38" s="7"/>
      <c r="AN38" s="46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8"/>
      <c r="BK38" s="8"/>
      <c r="BL38" s="8"/>
      <c r="BM38" s="8"/>
    </row>
    <row r="39" spans="1:65" ht="15.75" hidden="1" customHeight="1" x14ac:dyDescent="0.45">
      <c r="A39" s="43">
        <f t="shared" si="3"/>
        <v>41152</v>
      </c>
      <c r="B39" s="44">
        <v>89.41</v>
      </c>
      <c r="C39" s="44">
        <v>72.05</v>
      </c>
      <c r="D39" s="44">
        <v>56.33</v>
      </c>
      <c r="E39" s="44">
        <v>38.89</v>
      </c>
      <c r="F39" s="44">
        <v>29.2</v>
      </c>
      <c r="G39" s="45">
        <v>91.02</v>
      </c>
      <c r="H39" s="37">
        <f t="shared" ref="H39:L39" si="170">B39-B38</f>
        <v>-0.43000000000000682</v>
      </c>
      <c r="I39" s="38">
        <f t="shared" si="170"/>
        <v>-1.2400000000000091</v>
      </c>
      <c r="J39" s="38">
        <f t="shared" si="170"/>
        <v>-1.2100000000000009</v>
      </c>
      <c r="K39" s="38">
        <f t="shared" si="170"/>
        <v>-0.65999999999999659</v>
      </c>
      <c r="L39" s="39">
        <f t="shared" si="170"/>
        <v>-0.35000000000000142</v>
      </c>
      <c r="M39" s="38"/>
      <c r="N39" s="40"/>
      <c r="O39" s="40"/>
      <c r="P39" s="40"/>
      <c r="Q39" s="40"/>
      <c r="R39" s="40"/>
      <c r="S39" s="40">
        <f t="shared" ref="S39:T39" si="171">(B38+B39)/2</f>
        <v>89.625</v>
      </c>
      <c r="T39" s="40">
        <f t="shared" si="171"/>
        <v>72.67</v>
      </c>
      <c r="U39" s="40">
        <f t="shared" si="6"/>
        <v>56.935000000000002</v>
      </c>
      <c r="V39" s="40">
        <f t="shared" ref="V39:W39" si="172">(E38+E39)/2</f>
        <v>39.22</v>
      </c>
      <c r="W39" s="40">
        <f t="shared" si="172"/>
        <v>29.375</v>
      </c>
      <c r="X39" s="41">
        <f t="shared" ref="X39:AB39" si="173">(SUM(B36:B39))/4</f>
        <v>88.867500000000007</v>
      </c>
      <c r="Y39" s="40">
        <f t="shared" si="173"/>
        <v>72.00500000000001</v>
      </c>
      <c r="Z39" s="40">
        <f t="shared" si="173"/>
        <v>56.802499999999995</v>
      </c>
      <c r="AA39" s="40">
        <f t="shared" si="173"/>
        <v>39.384999999999998</v>
      </c>
      <c r="AB39" s="47">
        <f t="shared" si="173"/>
        <v>29.3475</v>
      </c>
      <c r="AC39" s="42">
        <f t="shared" ref="AC39:AF39" si="174">(B39+C39)/2</f>
        <v>80.72999999999999</v>
      </c>
      <c r="AD39" s="42">
        <f t="shared" si="174"/>
        <v>64.19</v>
      </c>
      <c r="AE39" s="42">
        <f t="shared" si="174"/>
        <v>47.61</v>
      </c>
      <c r="AF39" s="42">
        <f t="shared" si="174"/>
        <v>34.045000000000002</v>
      </c>
      <c r="AG39" s="7"/>
      <c r="AH39" s="7"/>
      <c r="AI39" s="7"/>
      <c r="AJ39" s="7"/>
      <c r="AK39" s="7"/>
      <c r="AL39" s="7"/>
      <c r="AM39" s="7"/>
      <c r="AN39" s="48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8"/>
      <c r="BK39" s="8"/>
      <c r="BL39" s="8"/>
      <c r="BM39" s="8"/>
    </row>
    <row r="40" spans="1:65" ht="15.75" hidden="1" customHeight="1" x14ac:dyDescent="0.45">
      <c r="A40" s="43">
        <f t="shared" si="3"/>
        <v>41159</v>
      </c>
      <c r="B40" s="44">
        <v>90.43</v>
      </c>
      <c r="C40" s="44">
        <v>71.77</v>
      </c>
      <c r="D40" s="44">
        <v>56.07</v>
      </c>
      <c r="E40" s="44">
        <v>38.79</v>
      </c>
      <c r="F40" s="44">
        <v>29.17</v>
      </c>
      <c r="G40" s="45">
        <v>91.92</v>
      </c>
      <c r="H40" s="37">
        <f t="shared" ref="H40:L40" si="175">B40-B39</f>
        <v>1.0200000000000102</v>
      </c>
      <c r="I40" s="38">
        <f t="shared" si="175"/>
        <v>-0.28000000000000114</v>
      </c>
      <c r="J40" s="38">
        <f t="shared" si="175"/>
        <v>-0.25999999999999801</v>
      </c>
      <c r="K40" s="38">
        <f t="shared" si="175"/>
        <v>-0.10000000000000142</v>
      </c>
      <c r="L40" s="39">
        <f t="shared" si="175"/>
        <v>-2.9999999999997584E-2</v>
      </c>
      <c r="M40" s="38"/>
      <c r="N40" s="40"/>
      <c r="O40" s="40"/>
      <c r="P40" s="40"/>
      <c r="Q40" s="40"/>
      <c r="R40" s="40"/>
      <c r="S40" s="40">
        <f t="shared" ref="S40:T40" si="176">(B39+B40)/2</f>
        <v>89.92</v>
      </c>
      <c r="T40" s="40">
        <f t="shared" si="176"/>
        <v>71.91</v>
      </c>
      <c r="U40" s="40">
        <f t="shared" si="6"/>
        <v>56.2</v>
      </c>
      <c r="V40" s="40">
        <f t="shared" ref="V40:W40" si="177">(E39+E40)/2</f>
        <v>38.840000000000003</v>
      </c>
      <c r="W40" s="40">
        <f t="shared" si="177"/>
        <v>29.185000000000002</v>
      </c>
      <c r="X40" s="41">
        <f t="shared" ref="X40:AB40" si="178">(SUM(B37:B40))/4</f>
        <v>89.612499999999997</v>
      </c>
      <c r="Y40" s="40">
        <f t="shared" si="178"/>
        <v>72.38</v>
      </c>
      <c r="Z40" s="40">
        <f t="shared" si="178"/>
        <v>56.744999999999997</v>
      </c>
      <c r="AA40" s="40">
        <f t="shared" si="178"/>
        <v>39.142499999999998</v>
      </c>
      <c r="AB40" s="47">
        <f t="shared" si="178"/>
        <v>29.285</v>
      </c>
      <c r="AC40" s="42">
        <f t="shared" ref="AC40:AF40" si="179">(B40+C40)/2</f>
        <v>81.099999999999994</v>
      </c>
      <c r="AD40" s="42">
        <f t="shared" si="179"/>
        <v>63.92</v>
      </c>
      <c r="AE40" s="42">
        <f t="shared" si="179"/>
        <v>47.43</v>
      </c>
      <c r="AF40" s="42">
        <f t="shared" si="179"/>
        <v>33.980000000000004</v>
      </c>
      <c r="AG40" s="7"/>
      <c r="AH40" s="7"/>
      <c r="AI40" s="7"/>
      <c r="AJ40" s="7"/>
      <c r="AK40" s="7"/>
      <c r="AL40" s="7"/>
      <c r="AM40" s="7"/>
      <c r="AN40" s="3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8"/>
      <c r="BK40" s="8"/>
      <c r="BL40" s="8"/>
      <c r="BM40" s="8"/>
    </row>
    <row r="41" spans="1:65" ht="15.75" hidden="1" customHeight="1" x14ac:dyDescent="0.45">
      <c r="A41" s="43">
        <f t="shared" si="3"/>
        <v>41166</v>
      </c>
      <c r="B41" s="44">
        <v>90.18</v>
      </c>
      <c r="C41" s="44">
        <v>71.319999999999993</v>
      </c>
      <c r="D41" s="44">
        <v>56.84</v>
      </c>
      <c r="E41" s="44">
        <v>38.28</v>
      </c>
      <c r="F41" s="44">
        <v>28.25</v>
      </c>
      <c r="G41" s="45">
        <v>90.93</v>
      </c>
      <c r="H41" s="37">
        <f t="shared" ref="H41:L41" si="180">B41-B40</f>
        <v>-0.25</v>
      </c>
      <c r="I41" s="38">
        <f t="shared" si="180"/>
        <v>-0.45000000000000284</v>
      </c>
      <c r="J41" s="38">
        <f t="shared" si="180"/>
        <v>0.77000000000000313</v>
      </c>
      <c r="K41" s="38">
        <f t="shared" si="180"/>
        <v>-0.50999999999999801</v>
      </c>
      <c r="L41" s="39">
        <f t="shared" si="180"/>
        <v>-0.92000000000000171</v>
      </c>
      <c r="M41" s="38"/>
      <c r="N41" s="40"/>
      <c r="O41" s="40"/>
      <c r="P41" s="40"/>
      <c r="Q41" s="40"/>
      <c r="R41" s="40"/>
      <c r="S41" s="40">
        <f t="shared" ref="S41:T41" si="181">(B40+B41)/2</f>
        <v>90.305000000000007</v>
      </c>
      <c r="T41" s="40">
        <f t="shared" si="181"/>
        <v>71.544999999999987</v>
      </c>
      <c r="U41" s="40">
        <f t="shared" si="6"/>
        <v>56.454999999999998</v>
      </c>
      <c r="V41" s="40">
        <f t="shared" ref="V41:W41" si="182">(E40+E41)/2</f>
        <v>38.534999999999997</v>
      </c>
      <c r="W41" s="40">
        <f t="shared" si="182"/>
        <v>28.71</v>
      </c>
      <c r="X41" s="41">
        <f t="shared" ref="X41:AB41" si="183">(SUM(B38:B41))/4</f>
        <v>89.965000000000003</v>
      </c>
      <c r="Y41" s="40">
        <f t="shared" si="183"/>
        <v>72.107500000000002</v>
      </c>
      <c r="Z41" s="40">
        <f t="shared" si="183"/>
        <v>56.695</v>
      </c>
      <c r="AA41" s="40">
        <f t="shared" si="183"/>
        <v>38.877499999999998</v>
      </c>
      <c r="AB41" s="47">
        <f t="shared" si="183"/>
        <v>29.0425</v>
      </c>
      <c r="AC41" s="42">
        <f t="shared" ref="AC41:AF41" si="184">(B41+C41)/2</f>
        <v>80.75</v>
      </c>
      <c r="AD41" s="42">
        <f t="shared" si="184"/>
        <v>64.08</v>
      </c>
      <c r="AE41" s="42">
        <f t="shared" si="184"/>
        <v>47.56</v>
      </c>
      <c r="AF41" s="42">
        <f t="shared" si="184"/>
        <v>33.265000000000001</v>
      </c>
      <c r="AG41" s="7"/>
      <c r="AH41" s="7"/>
      <c r="AI41" s="7"/>
      <c r="AJ41" s="7"/>
      <c r="AK41" s="7"/>
      <c r="AL41" s="7"/>
      <c r="AM41" s="7"/>
      <c r="AN41" s="46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8"/>
      <c r="BK41" s="8"/>
      <c r="BL41" s="8"/>
      <c r="BM41" s="8"/>
    </row>
    <row r="42" spans="1:65" ht="15.75" hidden="1" customHeight="1" x14ac:dyDescent="0.45">
      <c r="A42" s="43">
        <f t="shared" si="3"/>
        <v>41173</v>
      </c>
      <c r="B42" s="44">
        <v>89.91</v>
      </c>
      <c r="C42" s="44">
        <v>71.94</v>
      </c>
      <c r="D42" s="44">
        <v>56.28</v>
      </c>
      <c r="E42" s="44">
        <v>39.14</v>
      </c>
      <c r="F42" s="44">
        <v>28.54</v>
      </c>
      <c r="G42" s="45">
        <v>89.73</v>
      </c>
      <c r="H42" s="37">
        <f t="shared" ref="H42:L42" si="185">B42-B41</f>
        <v>-0.27000000000001023</v>
      </c>
      <c r="I42" s="38">
        <f t="shared" si="185"/>
        <v>0.62000000000000455</v>
      </c>
      <c r="J42" s="38">
        <f t="shared" si="185"/>
        <v>-0.56000000000000227</v>
      </c>
      <c r="K42" s="38">
        <f t="shared" si="185"/>
        <v>0.85999999999999943</v>
      </c>
      <c r="L42" s="39">
        <f t="shared" si="185"/>
        <v>0.28999999999999915</v>
      </c>
      <c r="M42" s="38"/>
      <c r="N42" s="40"/>
      <c r="O42" s="40"/>
      <c r="P42" s="40"/>
      <c r="Q42" s="40"/>
      <c r="R42" s="40"/>
      <c r="S42" s="40">
        <f t="shared" ref="S42:T42" si="186">(B41+B42)/2</f>
        <v>90.045000000000002</v>
      </c>
      <c r="T42" s="40">
        <f t="shared" si="186"/>
        <v>71.63</v>
      </c>
      <c r="U42" s="40">
        <f t="shared" si="6"/>
        <v>56.56</v>
      </c>
      <c r="V42" s="40">
        <f t="shared" ref="V42:W42" si="187">(E41+E42)/2</f>
        <v>38.71</v>
      </c>
      <c r="W42" s="40">
        <f t="shared" si="187"/>
        <v>28.395</v>
      </c>
      <c r="X42" s="41">
        <f t="shared" ref="X42:AB42" si="188">(SUM(B39:B42))/4</f>
        <v>89.982499999999987</v>
      </c>
      <c r="Y42" s="40">
        <f t="shared" si="188"/>
        <v>71.77</v>
      </c>
      <c r="Z42" s="40">
        <f t="shared" si="188"/>
        <v>56.38</v>
      </c>
      <c r="AA42" s="40">
        <f t="shared" si="188"/>
        <v>38.775000000000006</v>
      </c>
      <c r="AB42" s="47">
        <f t="shared" si="188"/>
        <v>28.79</v>
      </c>
      <c r="AC42" s="42">
        <f t="shared" ref="AC42:AF42" si="189">(B42+C42)/2</f>
        <v>80.924999999999997</v>
      </c>
      <c r="AD42" s="42">
        <f t="shared" si="189"/>
        <v>64.11</v>
      </c>
      <c r="AE42" s="42">
        <f t="shared" si="189"/>
        <v>47.71</v>
      </c>
      <c r="AF42" s="42">
        <f t="shared" si="189"/>
        <v>33.840000000000003</v>
      </c>
      <c r="AG42" s="7"/>
      <c r="AH42" s="7"/>
      <c r="AI42" s="7"/>
      <c r="AJ42" s="7"/>
      <c r="AK42" s="7"/>
      <c r="AL42" s="7"/>
      <c r="AM42" s="7"/>
      <c r="AN42" s="46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8"/>
      <c r="BK42" s="8"/>
      <c r="BL42" s="8"/>
      <c r="BM42" s="8"/>
    </row>
    <row r="43" spans="1:65" ht="15.75" hidden="1" customHeight="1" x14ac:dyDescent="0.45">
      <c r="A43" s="43">
        <f t="shared" si="3"/>
        <v>41180</v>
      </c>
      <c r="B43" s="44">
        <v>89.54</v>
      </c>
      <c r="C43" s="44">
        <v>72.36</v>
      </c>
      <c r="D43" s="44">
        <v>55.74</v>
      </c>
      <c r="E43" s="44">
        <v>39.380000000000003</v>
      </c>
      <c r="F43" s="44">
        <v>28.42</v>
      </c>
      <c r="G43" s="45">
        <v>85.06</v>
      </c>
      <c r="H43" s="37">
        <f t="shared" ref="H43:L43" si="190">B43-B42</f>
        <v>-0.36999999999999034</v>
      </c>
      <c r="I43" s="38">
        <f t="shared" si="190"/>
        <v>0.42000000000000171</v>
      </c>
      <c r="J43" s="38">
        <f t="shared" si="190"/>
        <v>-0.53999999999999915</v>
      </c>
      <c r="K43" s="38">
        <f t="shared" si="190"/>
        <v>0.24000000000000199</v>
      </c>
      <c r="L43" s="39">
        <f t="shared" si="190"/>
        <v>-0.11999999999999744</v>
      </c>
      <c r="M43" s="38"/>
      <c r="N43" s="40"/>
      <c r="O43" s="40"/>
      <c r="P43" s="40"/>
      <c r="Q43" s="40"/>
      <c r="R43" s="40"/>
      <c r="S43" s="40">
        <f t="shared" ref="S43:T43" si="191">(B42+B43)/2</f>
        <v>89.724999999999994</v>
      </c>
      <c r="T43" s="40">
        <f t="shared" si="191"/>
        <v>72.150000000000006</v>
      </c>
      <c r="U43" s="40">
        <f t="shared" si="6"/>
        <v>56.010000000000005</v>
      </c>
      <c r="V43" s="40">
        <f t="shared" ref="V43:W43" si="192">(E42+E43)/2</f>
        <v>39.260000000000005</v>
      </c>
      <c r="W43" s="40">
        <f t="shared" si="192"/>
        <v>28.48</v>
      </c>
      <c r="X43" s="41">
        <f t="shared" ref="X43:AB43" si="193">(SUM(B40:B43))/4</f>
        <v>90.015000000000001</v>
      </c>
      <c r="Y43" s="40">
        <f t="shared" si="193"/>
        <v>71.847499999999997</v>
      </c>
      <c r="Z43" s="40">
        <f t="shared" si="193"/>
        <v>56.232500000000002</v>
      </c>
      <c r="AA43" s="40">
        <f t="shared" si="193"/>
        <v>38.897500000000001</v>
      </c>
      <c r="AB43" s="47">
        <f t="shared" si="193"/>
        <v>28.595000000000002</v>
      </c>
      <c r="AC43" s="42">
        <f t="shared" ref="AC43:AF43" si="194">(B43+C43)/2</f>
        <v>80.95</v>
      </c>
      <c r="AD43" s="42">
        <f t="shared" si="194"/>
        <v>64.05</v>
      </c>
      <c r="AE43" s="42">
        <f t="shared" si="194"/>
        <v>47.56</v>
      </c>
      <c r="AF43" s="42">
        <f t="shared" si="194"/>
        <v>33.900000000000006</v>
      </c>
      <c r="AG43" s="7"/>
      <c r="AH43" s="7"/>
      <c r="AI43" s="7"/>
      <c r="AJ43" s="7"/>
      <c r="AK43" s="7"/>
      <c r="AL43" s="7"/>
      <c r="AM43" s="7"/>
      <c r="AN43" s="48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8"/>
      <c r="BK43" s="8"/>
      <c r="BL43" s="8"/>
      <c r="BM43" s="8"/>
    </row>
    <row r="44" spans="1:65" ht="15.75" hidden="1" customHeight="1" x14ac:dyDescent="0.45">
      <c r="A44" s="43">
        <f t="shared" si="3"/>
        <v>41187</v>
      </c>
      <c r="B44" s="44">
        <v>87.55</v>
      </c>
      <c r="C44" s="44">
        <v>72.16</v>
      </c>
      <c r="D44" s="44">
        <v>56.08</v>
      </c>
      <c r="E44" s="44">
        <v>39.130000000000003</v>
      </c>
      <c r="F44" s="44">
        <v>28.52</v>
      </c>
      <c r="G44" s="45">
        <v>85.7</v>
      </c>
      <c r="H44" s="37">
        <f t="shared" ref="H44:L44" si="195">B44-B43</f>
        <v>-1.9900000000000091</v>
      </c>
      <c r="I44" s="38">
        <f t="shared" si="195"/>
        <v>-0.20000000000000284</v>
      </c>
      <c r="J44" s="38">
        <f t="shared" si="195"/>
        <v>0.33999999999999631</v>
      </c>
      <c r="K44" s="38">
        <f t="shared" si="195"/>
        <v>-0.25</v>
      </c>
      <c r="L44" s="39">
        <f t="shared" si="195"/>
        <v>9.9999999999997868E-2</v>
      </c>
      <c r="M44" s="38"/>
      <c r="N44" s="40"/>
      <c r="O44" s="40"/>
      <c r="P44" s="40"/>
      <c r="Q44" s="40"/>
      <c r="R44" s="40"/>
      <c r="S44" s="40">
        <f t="shared" ref="S44:T44" si="196">(B43+B44)/2</f>
        <v>88.545000000000002</v>
      </c>
      <c r="T44" s="40">
        <f t="shared" si="196"/>
        <v>72.259999999999991</v>
      </c>
      <c r="U44" s="40">
        <f t="shared" si="6"/>
        <v>55.91</v>
      </c>
      <c r="V44" s="40">
        <f t="shared" ref="V44:W44" si="197">(E43+E44)/2</f>
        <v>39.255000000000003</v>
      </c>
      <c r="W44" s="40">
        <f t="shared" si="197"/>
        <v>28.47</v>
      </c>
      <c r="X44" s="41">
        <f t="shared" ref="X44:AB44" si="198">(SUM(B41:B44))/4</f>
        <v>89.295000000000002</v>
      </c>
      <c r="Y44" s="40">
        <f t="shared" si="198"/>
        <v>71.944999999999993</v>
      </c>
      <c r="Z44" s="40">
        <f t="shared" si="198"/>
        <v>56.234999999999999</v>
      </c>
      <c r="AA44" s="40">
        <f t="shared" si="198"/>
        <v>38.982500000000002</v>
      </c>
      <c r="AB44" s="47">
        <f t="shared" si="198"/>
        <v>28.432500000000001</v>
      </c>
      <c r="AC44" s="42">
        <f t="shared" ref="AC44:AF44" si="199">(B44+C44)/2</f>
        <v>79.85499999999999</v>
      </c>
      <c r="AD44" s="42">
        <f t="shared" si="199"/>
        <v>64.12</v>
      </c>
      <c r="AE44" s="42">
        <f t="shared" si="199"/>
        <v>47.605000000000004</v>
      </c>
      <c r="AF44" s="42">
        <f t="shared" si="199"/>
        <v>33.825000000000003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8"/>
      <c r="BK44" s="8"/>
      <c r="BL44" s="8"/>
      <c r="BM44" s="8"/>
    </row>
    <row r="45" spans="1:65" ht="15.75" hidden="1" customHeight="1" x14ac:dyDescent="0.45">
      <c r="A45" s="43">
        <f t="shared" si="3"/>
        <v>41194</v>
      </c>
      <c r="B45" s="44">
        <v>85.65</v>
      </c>
      <c r="C45" s="44">
        <v>72.760000000000005</v>
      </c>
      <c r="D45" s="44">
        <v>56.07</v>
      </c>
      <c r="E45" s="44">
        <v>38.85</v>
      </c>
      <c r="F45" s="44">
        <v>28.84</v>
      </c>
      <c r="G45" s="45">
        <v>82.51</v>
      </c>
      <c r="H45" s="37">
        <f t="shared" ref="H45:L45" si="200">B45-B44</f>
        <v>-1.8999999999999915</v>
      </c>
      <c r="I45" s="38">
        <f t="shared" si="200"/>
        <v>0.60000000000000853</v>
      </c>
      <c r="J45" s="38">
        <f t="shared" si="200"/>
        <v>-9.9999999999980105E-3</v>
      </c>
      <c r="K45" s="38">
        <f t="shared" si="200"/>
        <v>-0.28000000000000114</v>
      </c>
      <c r="L45" s="39">
        <f t="shared" si="200"/>
        <v>0.32000000000000028</v>
      </c>
      <c r="M45" s="38"/>
      <c r="N45" s="40"/>
      <c r="O45" s="40"/>
      <c r="P45" s="40"/>
      <c r="Q45" s="40"/>
      <c r="R45" s="40"/>
      <c r="S45" s="40">
        <f t="shared" ref="S45:T45" si="201">(B44+B45)/2</f>
        <v>86.6</v>
      </c>
      <c r="T45" s="40">
        <f t="shared" si="201"/>
        <v>72.460000000000008</v>
      </c>
      <c r="U45" s="40">
        <f t="shared" si="6"/>
        <v>56.075000000000003</v>
      </c>
      <c r="V45" s="40">
        <f t="shared" ref="V45:W45" si="202">(E44+E45)/2</f>
        <v>38.99</v>
      </c>
      <c r="W45" s="40">
        <f t="shared" si="202"/>
        <v>28.68</v>
      </c>
      <c r="X45" s="41">
        <f t="shared" ref="X45:AB45" si="203">(SUM(B42:B45))/4</f>
        <v>88.162499999999994</v>
      </c>
      <c r="Y45" s="40">
        <f t="shared" si="203"/>
        <v>72.305000000000007</v>
      </c>
      <c r="Z45" s="40">
        <f t="shared" si="203"/>
        <v>56.042500000000004</v>
      </c>
      <c r="AA45" s="40">
        <f t="shared" si="203"/>
        <v>39.125</v>
      </c>
      <c r="AB45" s="47">
        <f t="shared" si="203"/>
        <v>28.580000000000002</v>
      </c>
      <c r="AC45" s="42">
        <f t="shared" ref="AC45:AF45" si="204">(B45+C45)/2</f>
        <v>79.205000000000013</v>
      </c>
      <c r="AD45" s="42">
        <f t="shared" si="204"/>
        <v>64.415000000000006</v>
      </c>
      <c r="AE45" s="42">
        <f t="shared" si="204"/>
        <v>47.46</v>
      </c>
      <c r="AF45" s="42">
        <f t="shared" si="204"/>
        <v>33.844999999999999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8"/>
      <c r="BK45" s="8"/>
      <c r="BL45" s="8"/>
      <c r="BM45" s="8"/>
    </row>
    <row r="46" spans="1:65" ht="15.75" hidden="1" customHeight="1" x14ac:dyDescent="0.45">
      <c r="A46" s="43">
        <f t="shared" si="3"/>
        <v>41201</v>
      </c>
      <c r="B46" s="44">
        <v>84.03</v>
      </c>
      <c r="C46" s="44">
        <v>72.069999999999993</v>
      </c>
      <c r="D46" s="44">
        <v>55.31</v>
      </c>
      <c r="E46" s="44">
        <v>39.57</v>
      </c>
      <c r="F46" s="44">
        <v>28.38</v>
      </c>
      <c r="G46" s="45">
        <v>80.819999999999993</v>
      </c>
      <c r="H46" s="37">
        <f t="shared" ref="H46:L46" si="205">B46-B45</f>
        <v>-1.6200000000000045</v>
      </c>
      <c r="I46" s="38">
        <f t="shared" si="205"/>
        <v>-0.69000000000001194</v>
      </c>
      <c r="J46" s="38">
        <f t="shared" si="205"/>
        <v>-0.75999999999999801</v>
      </c>
      <c r="K46" s="38">
        <f t="shared" si="205"/>
        <v>0.71999999999999886</v>
      </c>
      <c r="L46" s="39">
        <f t="shared" si="205"/>
        <v>-0.46000000000000085</v>
      </c>
      <c r="M46" s="38"/>
      <c r="N46" s="40"/>
      <c r="O46" s="40"/>
      <c r="P46" s="40"/>
      <c r="Q46" s="40"/>
      <c r="R46" s="40"/>
      <c r="S46" s="40">
        <f t="shared" ref="S46:T46" si="206">(B45+B46)/2</f>
        <v>84.84</v>
      </c>
      <c r="T46" s="40">
        <f t="shared" si="206"/>
        <v>72.414999999999992</v>
      </c>
      <c r="U46" s="40">
        <f t="shared" si="6"/>
        <v>55.69</v>
      </c>
      <c r="V46" s="40">
        <f t="shared" ref="V46:W46" si="207">(E45+E46)/2</f>
        <v>39.21</v>
      </c>
      <c r="W46" s="40">
        <f t="shared" si="207"/>
        <v>28.61</v>
      </c>
      <c r="X46" s="41">
        <f t="shared" ref="X46:AB46" si="208">(SUM(B43:B46))/4</f>
        <v>86.692499999999995</v>
      </c>
      <c r="Y46" s="40">
        <f t="shared" si="208"/>
        <v>72.337499999999991</v>
      </c>
      <c r="Z46" s="40">
        <f t="shared" si="208"/>
        <v>55.8</v>
      </c>
      <c r="AA46" s="40">
        <f t="shared" si="208"/>
        <v>39.232500000000002</v>
      </c>
      <c r="AB46" s="47">
        <f t="shared" si="208"/>
        <v>28.54</v>
      </c>
      <c r="AC46" s="42">
        <f t="shared" ref="AC46:AF46" si="209">(B46+C46)/2</f>
        <v>78.05</v>
      </c>
      <c r="AD46" s="42">
        <f t="shared" si="209"/>
        <v>63.69</v>
      </c>
      <c r="AE46" s="42">
        <f t="shared" si="209"/>
        <v>47.44</v>
      </c>
      <c r="AF46" s="42">
        <f t="shared" si="209"/>
        <v>33.975000000000001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8"/>
      <c r="BK46" s="8"/>
      <c r="BL46" s="8"/>
      <c r="BM46" s="8"/>
    </row>
    <row r="47" spans="1:65" ht="15.75" hidden="1" customHeight="1" x14ac:dyDescent="0.45">
      <c r="A47" s="43">
        <f t="shared" si="3"/>
        <v>41208</v>
      </c>
      <c r="B47" s="44">
        <v>83.52</v>
      </c>
      <c r="C47" s="44">
        <v>72.31</v>
      </c>
      <c r="D47" s="44">
        <v>55.85</v>
      </c>
      <c r="E47" s="44">
        <v>39.36</v>
      </c>
      <c r="F47" s="44">
        <v>28.21</v>
      </c>
      <c r="G47" s="45">
        <v>83.86</v>
      </c>
      <c r="H47" s="37">
        <f t="shared" ref="H47:L47" si="210">B47-B46</f>
        <v>-0.51000000000000512</v>
      </c>
      <c r="I47" s="38">
        <f t="shared" si="210"/>
        <v>0.24000000000000909</v>
      </c>
      <c r="J47" s="38">
        <f t="shared" si="210"/>
        <v>0.53999999999999915</v>
      </c>
      <c r="K47" s="38">
        <f t="shared" si="210"/>
        <v>-0.21000000000000085</v>
      </c>
      <c r="L47" s="39">
        <f t="shared" si="210"/>
        <v>-0.16999999999999815</v>
      </c>
      <c r="M47" s="38"/>
      <c r="N47" s="40"/>
      <c r="O47" s="40"/>
      <c r="P47" s="40"/>
      <c r="Q47" s="40"/>
      <c r="R47" s="40"/>
      <c r="S47" s="40">
        <f t="shared" ref="S47:T47" si="211">(B46+B47)/2</f>
        <v>83.775000000000006</v>
      </c>
      <c r="T47" s="40">
        <f t="shared" si="211"/>
        <v>72.19</v>
      </c>
      <c r="U47" s="40">
        <f t="shared" si="6"/>
        <v>55.58</v>
      </c>
      <c r="V47" s="40">
        <f t="shared" ref="V47:W47" si="212">(E46+E47)/2</f>
        <v>39.465000000000003</v>
      </c>
      <c r="W47" s="40">
        <f t="shared" si="212"/>
        <v>28.295000000000002</v>
      </c>
      <c r="X47" s="41">
        <f t="shared" ref="X47:AB47" si="213">(SUM(B44:B47))/4</f>
        <v>85.1875</v>
      </c>
      <c r="Y47" s="40">
        <f t="shared" si="213"/>
        <v>72.325000000000003</v>
      </c>
      <c r="Z47" s="40">
        <f t="shared" si="213"/>
        <v>55.827500000000001</v>
      </c>
      <c r="AA47" s="40">
        <f t="shared" si="213"/>
        <v>39.227500000000006</v>
      </c>
      <c r="AB47" s="47">
        <f t="shared" si="213"/>
        <v>28.487499999999997</v>
      </c>
      <c r="AC47" s="42">
        <f t="shared" ref="AC47:AF47" si="214">(B47+C47)/2</f>
        <v>77.914999999999992</v>
      </c>
      <c r="AD47" s="42">
        <f t="shared" si="214"/>
        <v>64.08</v>
      </c>
      <c r="AE47" s="42">
        <f t="shared" si="214"/>
        <v>47.605000000000004</v>
      </c>
      <c r="AF47" s="42">
        <f t="shared" si="214"/>
        <v>33.784999999999997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8"/>
      <c r="BK47" s="8"/>
      <c r="BL47" s="8"/>
      <c r="BM47" s="8"/>
    </row>
    <row r="48" spans="1:65" ht="15.75" hidden="1" customHeight="1" x14ac:dyDescent="0.45">
      <c r="A48" s="43">
        <f t="shared" si="3"/>
        <v>41215</v>
      </c>
      <c r="B48" s="44">
        <v>83.02</v>
      </c>
      <c r="C48" s="44">
        <v>72.510000000000005</v>
      </c>
      <c r="D48" s="44">
        <v>55.85</v>
      </c>
      <c r="E48" s="44">
        <v>39.24</v>
      </c>
      <c r="F48" s="44">
        <v>28.78</v>
      </c>
      <c r="G48" s="45">
        <v>81.400000000000006</v>
      </c>
      <c r="H48" s="37">
        <f t="shared" ref="H48:L48" si="215">B48-B47</f>
        <v>-0.5</v>
      </c>
      <c r="I48" s="38">
        <f t="shared" si="215"/>
        <v>0.20000000000000284</v>
      </c>
      <c r="J48" s="38">
        <f t="shared" si="215"/>
        <v>0</v>
      </c>
      <c r="K48" s="38">
        <f t="shared" si="215"/>
        <v>-0.11999999999999744</v>
      </c>
      <c r="L48" s="39">
        <f t="shared" si="215"/>
        <v>0.57000000000000028</v>
      </c>
      <c r="M48" s="38"/>
      <c r="N48" s="40"/>
      <c r="O48" s="40"/>
      <c r="P48" s="40"/>
      <c r="Q48" s="40"/>
      <c r="R48" s="40"/>
      <c r="S48" s="40">
        <f t="shared" ref="S48:T48" si="216">(B47+B48)/2</f>
        <v>83.27</v>
      </c>
      <c r="T48" s="40">
        <f t="shared" si="216"/>
        <v>72.41</v>
      </c>
      <c r="U48" s="40">
        <f t="shared" si="6"/>
        <v>55.85</v>
      </c>
      <c r="V48" s="40">
        <f t="shared" ref="V48:W48" si="217">(E47+E48)/2</f>
        <v>39.299999999999997</v>
      </c>
      <c r="W48" s="40">
        <f t="shared" si="217"/>
        <v>28.495000000000001</v>
      </c>
      <c r="X48" s="41">
        <f t="shared" ref="X48:AB48" si="218">(SUM(B45:B48))/4</f>
        <v>84.054999999999993</v>
      </c>
      <c r="Y48" s="40">
        <f t="shared" si="218"/>
        <v>72.412499999999994</v>
      </c>
      <c r="Z48" s="40">
        <f t="shared" si="218"/>
        <v>55.769999999999996</v>
      </c>
      <c r="AA48" s="40">
        <f t="shared" si="218"/>
        <v>39.255000000000003</v>
      </c>
      <c r="AB48" s="47">
        <f t="shared" si="218"/>
        <v>28.552500000000002</v>
      </c>
      <c r="AC48" s="42">
        <f t="shared" ref="AC48:AF48" si="219">(B48+C48)/2</f>
        <v>77.765000000000001</v>
      </c>
      <c r="AD48" s="42">
        <f t="shared" si="219"/>
        <v>64.180000000000007</v>
      </c>
      <c r="AE48" s="42">
        <f t="shared" si="219"/>
        <v>47.545000000000002</v>
      </c>
      <c r="AF48" s="42">
        <f t="shared" si="219"/>
        <v>34.010000000000005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8"/>
      <c r="BK48" s="8"/>
      <c r="BL48" s="8"/>
      <c r="BM48" s="8"/>
    </row>
    <row r="49" spans="1:65" ht="15.75" hidden="1" customHeight="1" x14ac:dyDescent="0.45">
      <c r="A49" s="43">
        <f t="shared" si="3"/>
        <v>41222</v>
      </c>
      <c r="B49" s="44">
        <v>82.52</v>
      </c>
      <c r="C49" s="44">
        <v>72.12</v>
      </c>
      <c r="D49" s="44">
        <v>56.23</v>
      </c>
      <c r="E49" s="44">
        <v>39.369999999999997</v>
      </c>
      <c r="F49" s="44">
        <v>28.59</v>
      </c>
      <c r="G49" s="45">
        <v>83.84</v>
      </c>
      <c r="H49" s="37">
        <f t="shared" ref="H49:L49" si="220">B49-B48</f>
        <v>-0.5</v>
      </c>
      <c r="I49" s="38">
        <f t="shared" si="220"/>
        <v>-0.39000000000000057</v>
      </c>
      <c r="J49" s="38">
        <f t="shared" si="220"/>
        <v>0.37999999999999545</v>
      </c>
      <c r="K49" s="38">
        <f t="shared" si="220"/>
        <v>0.12999999999999545</v>
      </c>
      <c r="L49" s="39">
        <f t="shared" si="220"/>
        <v>-0.19000000000000128</v>
      </c>
      <c r="M49" s="38"/>
      <c r="N49" s="40"/>
      <c r="O49" s="40"/>
      <c r="P49" s="40"/>
      <c r="Q49" s="40"/>
      <c r="R49" s="40"/>
      <c r="S49" s="40">
        <f t="shared" ref="S49:T49" si="221">(B48+B49)/2</f>
        <v>82.77</v>
      </c>
      <c r="T49" s="40">
        <f t="shared" si="221"/>
        <v>72.314999999999998</v>
      </c>
      <c r="U49" s="40">
        <f t="shared" si="6"/>
        <v>56.04</v>
      </c>
      <c r="V49" s="40">
        <f t="shared" ref="V49:W49" si="222">(E48+E49)/2</f>
        <v>39.305</v>
      </c>
      <c r="W49" s="40">
        <f t="shared" si="222"/>
        <v>28.685000000000002</v>
      </c>
      <c r="X49" s="41">
        <f t="shared" ref="X49:AB49" si="223">(SUM(B46:B49))/4</f>
        <v>83.272499999999994</v>
      </c>
      <c r="Y49" s="40">
        <f t="shared" si="223"/>
        <v>72.252499999999998</v>
      </c>
      <c r="Z49" s="40">
        <f t="shared" si="223"/>
        <v>55.809999999999995</v>
      </c>
      <c r="AA49" s="40">
        <f t="shared" si="223"/>
        <v>39.385000000000005</v>
      </c>
      <c r="AB49" s="47">
        <f t="shared" si="223"/>
        <v>28.490000000000002</v>
      </c>
      <c r="AC49" s="42">
        <f t="shared" ref="AC49:AF49" si="224">(B49+C49)/2</f>
        <v>77.319999999999993</v>
      </c>
      <c r="AD49" s="42">
        <f t="shared" si="224"/>
        <v>64.174999999999997</v>
      </c>
      <c r="AE49" s="42">
        <f t="shared" si="224"/>
        <v>47.8</v>
      </c>
      <c r="AF49" s="42">
        <f t="shared" si="224"/>
        <v>33.979999999999997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8"/>
      <c r="BK49" s="8"/>
      <c r="BL49" s="8"/>
      <c r="BM49" s="8"/>
    </row>
    <row r="50" spans="1:65" ht="15.75" hidden="1" customHeight="1" x14ac:dyDescent="0.45">
      <c r="A50" s="43">
        <f t="shared" si="3"/>
        <v>41229</v>
      </c>
      <c r="B50" s="44">
        <v>83.61</v>
      </c>
      <c r="C50" s="44">
        <v>71.89</v>
      </c>
      <c r="D50" s="44">
        <v>56.25</v>
      </c>
      <c r="E50" s="44">
        <v>39.479999999999997</v>
      </c>
      <c r="F50" s="44">
        <v>28.5</v>
      </c>
      <c r="G50" s="45">
        <v>86.2</v>
      </c>
      <c r="H50" s="37">
        <f t="shared" ref="H50:L50" si="225">B50-B49</f>
        <v>1.0900000000000034</v>
      </c>
      <c r="I50" s="38">
        <f t="shared" si="225"/>
        <v>-0.23000000000000398</v>
      </c>
      <c r="J50" s="38">
        <f t="shared" si="225"/>
        <v>2.0000000000003126E-2</v>
      </c>
      <c r="K50" s="38">
        <f t="shared" si="225"/>
        <v>0.10999999999999943</v>
      </c>
      <c r="L50" s="39">
        <f t="shared" si="225"/>
        <v>-8.9999999999999858E-2</v>
      </c>
      <c r="M50" s="38"/>
      <c r="N50" s="40"/>
      <c r="O50" s="40"/>
      <c r="P50" s="40"/>
      <c r="Q50" s="40"/>
      <c r="R50" s="40"/>
      <c r="S50" s="40">
        <f t="shared" ref="S50:T50" si="226">(B49+B50)/2</f>
        <v>83.064999999999998</v>
      </c>
      <c r="T50" s="40">
        <f t="shared" si="226"/>
        <v>72.004999999999995</v>
      </c>
      <c r="U50" s="40">
        <f t="shared" si="6"/>
        <v>56.239999999999995</v>
      </c>
      <c r="V50" s="40">
        <f t="shared" ref="V50:W50" si="227">(E49+E50)/2</f>
        <v>39.424999999999997</v>
      </c>
      <c r="W50" s="40">
        <f t="shared" si="227"/>
        <v>28.545000000000002</v>
      </c>
      <c r="X50" s="41">
        <f t="shared" ref="X50:AB50" si="228">(SUM(B47:B50))/4</f>
        <v>83.167500000000004</v>
      </c>
      <c r="Y50" s="40">
        <f t="shared" si="228"/>
        <v>72.207499999999996</v>
      </c>
      <c r="Z50" s="40">
        <f t="shared" si="228"/>
        <v>56.045000000000002</v>
      </c>
      <c r="AA50" s="40">
        <f t="shared" si="228"/>
        <v>39.362499999999997</v>
      </c>
      <c r="AB50" s="47">
        <f t="shared" si="228"/>
        <v>28.52</v>
      </c>
      <c r="AC50" s="42">
        <f t="shared" ref="AC50:AF50" si="229">(B50+C50)/2</f>
        <v>77.75</v>
      </c>
      <c r="AD50" s="42">
        <f t="shared" si="229"/>
        <v>64.069999999999993</v>
      </c>
      <c r="AE50" s="42">
        <f t="shared" si="229"/>
        <v>47.864999999999995</v>
      </c>
      <c r="AF50" s="42">
        <f t="shared" si="229"/>
        <v>33.989999999999995</v>
      </c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8"/>
      <c r="BK50" s="8"/>
      <c r="BL50" s="8"/>
      <c r="BM50" s="8"/>
    </row>
    <row r="51" spans="1:65" ht="15.75" hidden="1" customHeight="1" x14ac:dyDescent="0.45">
      <c r="A51" s="43">
        <f t="shared" si="3"/>
        <v>41236</v>
      </c>
      <c r="B51" s="44">
        <v>85.17</v>
      </c>
      <c r="C51" s="44">
        <v>71.930000000000007</v>
      </c>
      <c r="D51" s="44">
        <v>56.16</v>
      </c>
      <c r="E51" s="44">
        <v>39.03</v>
      </c>
      <c r="F51" s="44">
        <v>28.93</v>
      </c>
      <c r="G51" s="45">
        <v>87.47</v>
      </c>
      <c r="H51" s="37">
        <f t="shared" ref="H51:L51" si="230">B51-B50</f>
        <v>1.5600000000000023</v>
      </c>
      <c r="I51" s="38">
        <f t="shared" si="230"/>
        <v>4.0000000000006253E-2</v>
      </c>
      <c r="J51" s="38">
        <f t="shared" si="230"/>
        <v>-9.0000000000003411E-2</v>
      </c>
      <c r="K51" s="38">
        <f t="shared" si="230"/>
        <v>-0.44999999999999574</v>
      </c>
      <c r="L51" s="39">
        <f t="shared" si="230"/>
        <v>0.42999999999999972</v>
      </c>
      <c r="M51" s="38"/>
      <c r="N51" s="40"/>
      <c r="O51" s="40"/>
      <c r="P51" s="40"/>
      <c r="Q51" s="40"/>
      <c r="R51" s="40"/>
      <c r="S51" s="40">
        <f t="shared" ref="S51:T51" si="231">(B50+B51)/2</f>
        <v>84.39</v>
      </c>
      <c r="T51" s="40">
        <f t="shared" si="231"/>
        <v>71.91</v>
      </c>
      <c r="U51" s="40">
        <f t="shared" si="6"/>
        <v>56.204999999999998</v>
      </c>
      <c r="V51" s="40">
        <f t="shared" ref="V51:W51" si="232">(E50+E51)/2</f>
        <v>39.254999999999995</v>
      </c>
      <c r="W51" s="40">
        <f t="shared" si="232"/>
        <v>28.715</v>
      </c>
      <c r="X51" s="41">
        <f t="shared" ref="X51:AB51" si="233">(SUM(B48:B51))/4</f>
        <v>83.58</v>
      </c>
      <c r="Y51" s="40">
        <f t="shared" si="233"/>
        <v>72.112499999999997</v>
      </c>
      <c r="Z51" s="40">
        <f t="shared" si="233"/>
        <v>56.122499999999995</v>
      </c>
      <c r="AA51" s="40">
        <f t="shared" si="233"/>
        <v>39.28</v>
      </c>
      <c r="AB51" s="47">
        <f t="shared" si="233"/>
        <v>28.700000000000003</v>
      </c>
      <c r="AC51" s="42">
        <f t="shared" ref="AC51:AF51" si="234">(B51+C51)/2</f>
        <v>78.550000000000011</v>
      </c>
      <c r="AD51" s="42">
        <f t="shared" si="234"/>
        <v>64.045000000000002</v>
      </c>
      <c r="AE51" s="42">
        <f t="shared" si="234"/>
        <v>47.594999999999999</v>
      </c>
      <c r="AF51" s="42">
        <f t="shared" si="234"/>
        <v>33.980000000000004</v>
      </c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8"/>
      <c r="BK51" s="8"/>
      <c r="BL51" s="8"/>
      <c r="BM51" s="8"/>
    </row>
    <row r="52" spans="1:65" ht="15.75" hidden="1" customHeight="1" x14ac:dyDescent="0.45">
      <c r="A52" s="43">
        <f t="shared" si="3"/>
        <v>41243</v>
      </c>
      <c r="B52" s="44">
        <v>87.4</v>
      </c>
      <c r="C52" s="44">
        <v>73.400000000000006</v>
      </c>
      <c r="D52" s="44">
        <v>56.8</v>
      </c>
      <c r="E52" s="44">
        <v>40.03</v>
      </c>
      <c r="F52" s="44">
        <v>28.86</v>
      </c>
      <c r="G52" s="45">
        <v>90.89</v>
      </c>
      <c r="H52" s="37">
        <f t="shared" ref="H52:L52" si="235">B52-B51</f>
        <v>2.230000000000004</v>
      </c>
      <c r="I52" s="38">
        <f t="shared" si="235"/>
        <v>1.4699999999999989</v>
      </c>
      <c r="J52" s="38">
        <f t="shared" si="235"/>
        <v>0.64000000000000057</v>
      </c>
      <c r="K52" s="38">
        <f t="shared" si="235"/>
        <v>1</v>
      </c>
      <c r="L52" s="39">
        <f t="shared" si="235"/>
        <v>-7.0000000000000284E-2</v>
      </c>
      <c r="M52" s="38"/>
      <c r="N52" s="40"/>
      <c r="O52" s="40"/>
      <c r="P52" s="40"/>
      <c r="Q52" s="40"/>
      <c r="R52" s="40"/>
      <c r="S52" s="40">
        <f t="shared" ref="S52:T52" si="236">(B51+B52)/2</f>
        <v>86.284999999999997</v>
      </c>
      <c r="T52" s="40">
        <f t="shared" si="236"/>
        <v>72.665000000000006</v>
      </c>
      <c r="U52" s="40">
        <f t="shared" si="6"/>
        <v>56.48</v>
      </c>
      <c r="V52" s="40">
        <f t="shared" ref="V52:W52" si="237">(E51+E52)/2</f>
        <v>39.53</v>
      </c>
      <c r="W52" s="40">
        <f t="shared" si="237"/>
        <v>28.895</v>
      </c>
      <c r="X52" s="41">
        <f t="shared" ref="X52:AB52" si="238">(SUM(B49:B52))/4</f>
        <v>84.675000000000011</v>
      </c>
      <c r="Y52" s="40">
        <f t="shared" si="238"/>
        <v>72.335000000000008</v>
      </c>
      <c r="Z52" s="40">
        <f t="shared" si="238"/>
        <v>56.36</v>
      </c>
      <c r="AA52" s="40">
        <f t="shared" si="238"/>
        <v>39.477499999999999</v>
      </c>
      <c r="AB52" s="47">
        <f t="shared" si="238"/>
        <v>28.720000000000002</v>
      </c>
      <c r="AC52" s="42">
        <f t="shared" ref="AC52:AF52" si="239">(B52+C52)/2</f>
        <v>80.400000000000006</v>
      </c>
      <c r="AD52" s="42">
        <f t="shared" si="239"/>
        <v>65.099999999999994</v>
      </c>
      <c r="AE52" s="42">
        <f t="shared" si="239"/>
        <v>48.414999999999999</v>
      </c>
      <c r="AF52" s="42">
        <f t="shared" si="239"/>
        <v>34.445</v>
      </c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8"/>
      <c r="BK52" s="8"/>
      <c r="BL52" s="8"/>
      <c r="BM52" s="8"/>
    </row>
    <row r="53" spans="1:65" ht="15.75" hidden="1" customHeight="1" x14ac:dyDescent="0.45">
      <c r="A53" s="43">
        <f t="shared" si="3"/>
        <v>41250</v>
      </c>
      <c r="B53" s="44">
        <v>89.34</v>
      </c>
      <c r="C53" s="44">
        <v>73.010000000000005</v>
      </c>
      <c r="D53" s="44">
        <v>57.03</v>
      </c>
      <c r="E53" s="44">
        <v>40.39</v>
      </c>
      <c r="F53" s="44">
        <v>28.63</v>
      </c>
      <c r="G53" s="45">
        <v>94.37</v>
      </c>
      <c r="H53" s="37">
        <f t="shared" ref="H53:L53" si="240">B53-B52</f>
        <v>1.9399999999999977</v>
      </c>
      <c r="I53" s="38">
        <f t="shared" si="240"/>
        <v>-0.39000000000000057</v>
      </c>
      <c r="J53" s="38">
        <f t="shared" si="240"/>
        <v>0.23000000000000398</v>
      </c>
      <c r="K53" s="38">
        <f t="shared" si="240"/>
        <v>0.35999999999999943</v>
      </c>
      <c r="L53" s="39">
        <f t="shared" si="240"/>
        <v>-0.23000000000000043</v>
      </c>
      <c r="M53" s="38"/>
      <c r="N53" s="40"/>
      <c r="O53" s="40"/>
      <c r="P53" s="40"/>
      <c r="Q53" s="40"/>
      <c r="R53" s="40"/>
      <c r="S53" s="40">
        <f t="shared" ref="S53:T53" si="241">(B52+B53)/2</f>
        <v>88.37</v>
      </c>
      <c r="T53" s="40">
        <f t="shared" si="241"/>
        <v>73.205000000000013</v>
      </c>
      <c r="U53" s="40">
        <f t="shared" si="6"/>
        <v>56.914999999999999</v>
      </c>
      <c r="V53" s="40">
        <f t="shared" ref="V53:W53" si="242">(E52+E53)/2</f>
        <v>40.21</v>
      </c>
      <c r="W53" s="40">
        <f t="shared" si="242"/>
        <v>28.744999999999997</v>
      </c>
      <c r="X53" s="41">
        <f t="shared" ref="X53:AB53" si="243">(SUM(B50:B53))/4</f>
        <v>86.38</v>
      </c>
      <c r="Y53" s="40">
        <f t="shared" si="243"/>
        <v>72.557500000000005</v>
      </c>
      <c r="Z53" s="40">
        <f t="shared" si="243"/>
        <v>56.559999999999995</v>
      </c>
      <c r="AA53" s="40">
        <f t="shared" si="243"/>
        <v>39.732500000000002</v>
      </c>
      <c r="AB53" s="47">
        <f t="shared" si="243"/>
        <v>28.729999999999997</v>
      </c>
      <c r="AC53" s="42">
        <f t="shared" ref="AC53:AF53" si="244">(B53+C53)/2</f>
        <v>81.175000000000011</v>
      </c>
      <c r="AD53" s="42">
        <f t="shared" si="244"/>
        <v>65.02000000000001</v>
      </c>
      <c r="AE53" s="42">
        <f t="shared" si="244"/>
        <v>48.71</v>
      </c>
      <c r="AF53" s="42">
        <f t="shared" si="244"/>
        <v>34.51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8"/>
      <c r="BK53" s="8"/>
      <c r="BL53" s="8"/>
      <c r="BM53" s="8"/>
    </row>
    <row r="54" spans="1:65" ht="15.75" hidden="1" customHeight="1" x14ac:dyDescent="0.45">
      <c r="A54" s="43">
        <f t="shared" si="3"/>
        <v>41257</v>
      </c>
      <c r="B54" s="44">
        <v>89.57</v>
      </c>
      <c r="C54" s="44">
        <v>73.27</v>
      </c>
      <c r="D54" s="44">
        <v>57.6</v>
      </c>
      <c r="E54" s="44">
        <v>39.799999999999997</v>
      </c>
      <c r="F54" s="44">
        <v>29.07</v>
      </c>
      <c r="G54" s="45">
        <v>92.02</v>
      </c>
      <c r="H54" s="37">
        <f t="shared" ref="H54:L54" si="245">B54-B53</f>
        <v>0.22999999999998977</v>
      </c>
      <c r="I54" s="38">
        <f t="shared" si="245"/>
        <v>0.25999999999999091</v>
      </c>
      <c r="J54" s="38">
        <f t="shared" si="245"/>
        <v>0.57000000000000028</v>
      </c>
      <c r="K54" s="38">
        <f t="shared" si="245"/>
        <v>-0.59000000000000341</v>
      </c>
      <c r="L54" s="39">
        <f t="shared" si="245"/>
        <v>0.44000000000000128</v>
      </c>
      <c r="M54" s="38"/>
      <c r="N54" s="40"/>
      <c r="O54" s="40"/>
      <c r="P54" s="40"/>
      <c r="Q54" s="40"/>
      <c r="R54" s="40"/>
      <c r="S54" s="40">
        <f t="shared" ref="S54:T54" si="246">(B53+B54)/2</f>
        <v>89.454999999999998</v>
      </c>
      <c r="T54" s="40">
        <f t="shared" si="246"/>
        <v>73.14</v>
      </c>
      <c r="U54" s="40">
        <f t="shared" si="6"/>
        <v>57.314999999999998</v>
      </c>
      <c r="V54" s="40">
        <f t="shared" ref="V54:W54" si="247">(E53+E54)/2</f>
        <v>40.094999999999999</v>
      </c>
      <c r="W54" s="40">
        <f t="shared" si="247"/>
        <v>28.85</v>
      </c>
      <c r="X54" s="41">
        <f t="shared" ref="X54:AB54" si="248">(SUM(B51:B54))/4</f>
        <v>87.86999999999999</v>
      </c>
      <c r="Y54" s="40">
        <f t="shared" si="248"/>
        <v>72.902500000000003</v>
      </c>
      <c r="Z54" s="40">
        <f t="shared" si="248"/>
        <v>56.897500000000001</v>
      </c>
      <c r="AA54" s="40">
        <f t="shared" si="248"/>
        <v>39.8125</v>
      </c>
      <c r="AB54" s="47">
        <f t="shared" si="248"/>
        <v>28.872500000000002</v>
      </c>
      <c r="AC54" s="42">
        <f t="shared" ref="AC54:AF54" si="249">(B54+C54)/2</f>
        <v>81.419999999999987</v>
      </c>
      <c r="AD54" s="42">
        <f t="shared" si="249"/>
        <v>65.435000000000002</v>
      </c>
      <c r="AE54" s="42">
        <f t="shared" si="249"/>
        <v>48.7</v>
      </c>
      <c r="AF54" s="42">
        <f t="shared" si="249"/>
        <v>34.435000000000002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8"/>
      <c r="BK54" s="8"/>
      <c r="BL54" s="8"/>
      <c r="BM54" s="8"/>
    </row>
    <row r="55" spans="1:65" ht="15.75" hidden="1" customHeight="1" x14ac:dyDescent="0.45">
      <c r="A55" s="43">
        <f t="shared" si="3"/>
        <v>41264</v>
      </c>
      <c r="B55" s="44">
        <v>89.86</v>
      </c>
      <c r="C55" s="44">
        <v>73.819999999999993</v>
      </c>
      <c r="D55" s="44">
        <v>57.52</v>
      </c>
      <c r="E55" s="44">
        <v>39.17</v>
      </c>
      <c r="F55" s="44">
        <v>29.03</v>
      </c>
      <c r="G55" s="45">
        <v>93.69</v>
      </c>
      <c r="H55" s="37">
        <f t="shared" ref="H55:L55" si="250">B55-B54</f>
        <v>0.29000000000000625</v>
      </c>
      <c r="I55" s="38">
        <f t="shared" si="250"/>
        <v>0.54999999999999716</v>
      </c>
      <c r="J55" s="38">
        <f t="shared" si="250"/>
        <v>-7.9999999999998295E-2</v>
      </c>
      <c r="K55" s="38">
        <f t="shared" si="250"/>
        <v>-0.62999999999999545</v>
      </c>
      <c r="L55" s="39">
        <f t="shared" si="250"/>
        <v>-3.9999999999999147E-2</v>
      </c>
      <c r="M55" s="38"/>
      <c r="N55" s="40"/>
      <c r="O55" s="40"/>
      <c r="P55" s="40"/>
      <c r="Q55" s="40"/>
      <c r="R55" s="40"/>
      <c r="S55" s="40">
        <f t="shared" ref="S55:T55" si="251">(B54+B55)/2</f>
        <v>89.715000000000003</v>
      </c>
      <c r="T55" s="40">
        <f t="shared" si="251"/>
        <v>73.544999999999987</v>
      </c>
      <c r="U55" s="40">
        <f t="shared" si="6"/>
        <v>57.56</v>
      </c>
      <c r="V55" s="40">
        <f t="shared" ref="V55:W55" si="252">(E54+E55)/2</f>
        <v>39.484999999999999</v>
      </c>
      <c r="W55" s="40">
        <f t="shared" si="252"/>
        <v>29.05</v>
      </c>
      <c r="X55" s="41">
        <f t="shared" ref="X55:AB55" si="253">(SUM(B52:B55))/4</f>
        <v>89.042500000000004</v>
      </c>
      <c r="Y55" s="40">
        <f t="shared" si="253"/>
        <v>73.375</v>
      </c>
      <c r="Z55" s="40">
        <f t="shared" si="253"/>
        <v>57.237500000000004</v>
      </c>
      <c r="AA55" s="40">
        <f t="shared" si="253"/>
        <v>39.847499999999997</v>
      </c>
      <c r="AB55" s="47">
        <f t="shared" si="253"/>
        <v>28.897500000000001</v>
      </c>
      <c r="AC55" s="42">
        <f t="shared" ref="AC55:AF55" si="254">(B55+C55)/2</f>
        <v>81.84</v>
      </c>
      <c r="AD55" s="42">
        <f t="shared" si="254"/>
        <v>65.67</v>
      </c>
      <c r="AE55" s="42">
        <f t="shared" si="254"/>
        <v>48.344999999999999</v>
      </c>
      <c r="AF55" s="42">
        <f t="shared" si="254"/>
        <v>34.1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8"/>
      <c r="BK55" s="8"/>
      <c r="BL55" s="8"/>
      <c r="BM55" s="8"/>
    </row>
    <row r="56" spans="1:65" ht="15.75" hidden="1" customHeight="1" x14ac:dyDescent="0.45">
      <c r="A56" s="43">
        <f t="shared" si="3"/>
        <v>41271</v>
      </c>
      <c r="B56" s="44">
        <v>89.99</v>
      </c>
      <c r="C56" s="44">
        <v>74.099999999999994</v>
      </c>
      <c r="D56" s="44">
        <v>57.45</v>
      </c>
      <c r="E56" s="44">
        <v>38.64</v>
      </c>
      <c r="F56" s="44">
        <v>29.01</v>
      </c>
      <c r="G56" s="45">
        <v>92.25</v>
      </c>
      <c r="H56" s="37">
        <f t="shared" ref="H56:L56" si="255">B56-B55</f>
        <v>0.12999999999999545</v>
      </c>
      <c r="I56" s="38">
        <f t="shared" si="255"/>
        <v>0.28000000000000114</v>
      </c>
      <c r="J56" s="38">
        <f t="shared" si="255"/>
        <v>-7.0000000000000284E-2</v>
      </c>
      <c r="K56" s="38">
        <f t="shared" si="255"/>
        <v>-0.53000000000000114</v>
      </c>
      <c r="L56" s="39">
        <f t="shared" si="255"/>
        <v>-1.9999999999999574E-2</v>
      </c>
      <c r="M56" s="38"/>
      <c r="N56" s="40"/>
      <c r="O56" s="40"/>
      <c r="P56" s="40"/>
      <c r="Q56" s="40"/>
      <c r="R56" s="40"/>
      <c r="S56" s="40">
        <f t="shared" ref="S56:T56" si="256">(B55+B56)/2</f>
        <v>89.924999999999997</v>
      </c>
      <c r="T56" s="40">
        <f t="shared" si="256"/>
        <v>73.959999999999994</v>
      </c>
      <c r="U56" s="40">
        <f t="shared" si="6"/>
        <v>57.484999999999999</v>
      </c>
      <c r="V56" s="40">
        <f t="shared" ref="V56:W56" si="257">(E55+E56)/2</f>
        <v>38.905000000000001</v>
      </c>
      <c r="W56" s="40">
        <f t="shared" si="257"/>
        <v>29.020000000000003</v>
      </c>
      <c r="X56" s="41">
        <f t="shared" ref="X56:AB56" si="258">(SUM(B53:B56))/4</f>
        <v>89.69</v>
      </c>
      <c r="Y56" s="40">
        <f t="shared" si="258"/>
        <v>73.55</v>
      </c>
      <c r="Z56" s="40">
        <f t="shared" si="258"/>
        <v>57.400000000000006</v>
      </c>
      <c r="AA56" s="40">
        <f t="shared" si="258"/>
        <v>39.5</v>
      </c>
      <c r="AB56" s="47">
        <f t="shared" si="258"/>
        <v>28.935000000000002</v>
      </c>
      <c r="AC56" s="42">
        <f t="shared" ref="AC56:AF56" si="259">(B56+C56)/2</f>
        <v>82.044999999999987</v>
      </c>
      <c r="AD56" s="42">
        <f t="shared" si="259"/>
        <v>65.775000000000006</v>
      </c>
      <c r="AE56" s="42">
        <f t="shared" si="259"/>
        <v>48.045000000000002</v>
      </c>
      <c r="AF56" s="42">
        <f t="shared" si="259"/>
        <v>33.825000000000003</v>
      </c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8"/>
      <c r="BK56" s="8"/>
      <c r="BL56" s="8"/>
      <c r="BM56" s="8"/>
    </row>
    <row r="57" spans="1:65" ht="15.75" hidden="1" customHeight="1" x14ac:dyDescent="0.45">
      <c r="A57" s="43">
        <f t="shared" si="3"/>
        <v>41278</v>
      </c>
      <c r="B57" s="44">
        <v>90.83</v>
      </c>
      <c r="C57" s="44">
        <v>74.28</v>
      </c>
      <c r="D57" s="44">
        <v>57.95</v>
      </c>
      <c r="E57" s="44">
        <v>39.270000000000003</v>
      </c>
      <c r="F57" s="44">
        <v>29.26</v>
      </c>
      <c r="G57" s="45">
        <v>94.16</v>
      </c>
      <c r="H57" s="37">
        <f t="shared" ref="H57:L57" si="260">B57-B56</f>
        <v>0.84000000000000341</v>
      </c>
      <c r="I57" s="38">
        <f t="shared" si="260"/>
        <v>0.18000000000000682</v>
      </c>
      <c r="J57" s="38">
        <f t="shared" si="260"/>
        <v>0.5</v>
      </c>
      <c r="K57" s="38">
        <f t="shared" si="260"/>
        <v>0.63000000000000256</v>
      </c>
      <c r="L57" s="39">
        <f t="shared" si="260"/>
        <v>0.25</v>
      </c>
      <c r="M57" s="38"/>
      <c r="N57" s="40"/>
      <c r="O57" s="40"/>
      <c r="P57" s="40"/>
      <c r="Q57" s="40"/>
      <c r="R57" s="40"/>
      <c r="S57" s="40">
        <f t="shared" ref="S57:T57" si="261">(B56+B57)/2</f>
        <v>90.41</v>
      </c>
      <c r="T57" s="40">
        <f t="shared" si="261"/>
        <v>74.19</v>
      </c>
      <c r="U57" s="40">
        <f t="shared" si="6"/>
        <v>57.7</v>
      </c>
      <c r="V57" s="40">
        <f t="shared" ref="V57:W57" si="262">(E56+E57)/2</f>
        <v>38.954999999999998</v>
      </c>
      <c r="W57" s="40">
        <f t="shared" si="262"/>
        <v>29.135000000000002</v>
      </c>
      <c r="X57" s="41">
        <f t="shared" ref="X57:AB57" si="263">(SUM(B54:B57))/4</f>
        <v>90.0625</v>
      </c>
      <c r="Y57" s="40">
        <f t="shared" si="263"/>
        <v>73.867499999999993</v>
      </c>
      <c r="Z57" s="40">
        <f t="shared" si="263"/>
        <v>57.629999999999995</v>
      </c>
      <c r="AA57" s="40">
        <f t="shared" si="263"/>
        <v>39.22</v>
      </c>
      <c r="AB57" s="47">
        <f t="shared" si="263"/>
        <v>29.092500000000001</v>
      </c>
      <c r="AC57" s="42">
        <f t="shared" ref="AC57:AF57" si="264">(B57+C57)/2</f>
        <v>82.555000000000007</v>
      </c>
      <c r="AD57" s="42">
        <f t="shared" si="264"/>
        <v>66.115000000000009</v>
      </c>
      <c r="AE57" s="42">
        <f t="shared" si="264"/>
        <v>48.61</v>
      </c>
      <c r="AF57" s="42">
        <f t="shared" si="264"/>
        <v>34.265000000000001</v>
      </c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8"/>
      <c r="BK57" s="8"/>
      <c r="BL57" s="8"/>
      <c r="BM57" s="8"/>
    </row>
    <row r="58" spans="1:65" ht="15.75" hidden="1" customHeight="1" x14ac:dyDescent="0.45">
      <c r="A58" s="43">
        <f t="shared" si="3"/>
        <v>41285</v>
      </c>
      <c r="B58" s="44">
        <v>91.06</v>
      </c>
      <c r="C58" s="44">
        <v>74.45</v>
      </c>
      <c r="D58" s="44">
        <v>58.1</v>
      </c>
      <c r="E58" s="44">
        <v>40.450000000000003</v>
      </c>
      <c r="F58" s="44">
        <v>29.77</v>
      </c>
      <c r="G58" s="45">
        <v>92.7</v>
      </c>
      <c r="H58" s="37">
        <f t="shared" ref="H58:L58" si="265">B58-B57</f>
        <v>0.23000000000000398</v>
      </c>
      <c r="I58" s="38">
        <f t="shared" si="265"/>
        <v>0.17000000000000171</v>
      </c>
      <c r="J58" s="38">
        <f t="shared" si="265"/>
        <v>0.14999999999999858</v>
      </c>
      <c r="K58" s="38">
        <f t="shared" si="265"/>
        <v>1.1799999999999997</v>
      </c>
      <c r="L58" s="39">
        <f t="shared" si="265"/>
        <v>0.50999999999999801</v>
      </c>
      <c r="M58" s="38"/>
      <c r="N58" s="40"/>
      <c r="O58" s="40"/>
      <c r="P58" s="40"/>
      <c r="Q58" s="40"/>
      <c r="R58" s="40"/>
      <c r="S58" s="40">
        <f t="shared" ref="S58:T58" si="266">(B57+B58)/2</f>
        <v>90.944999999999993</v>
      </c>
      <c r="T58" s="40">
        <f t="shared" si="266"/>
        <v>74.365000000000009</v>
      </c>
      <c r="U58" s="40">
        <f t="shared" si="6"/>
        <v>58.025000000000006</v>
      </c>
      <c r="V58" s="40">
        <f t="shared" ref="V58:W58" si="267">(E57+E58)/2</f>
        <v>39.86</v>
      </c>
      <c r="W58" s="40">
        <f t="shared" si="267"/>
        <v>29.515000000000001</v>
      </c>
      <c r="X58" s="41">
        <f t="shared" ref="X58:AB58" si="268">(SUM(B55:B58))/4</f>
        <v>90.435000000000002</v>
      </c>
      <c r="Y58" s="40">
        <f t="shared" si="268"/>
        <v>74.162499999999994</v>
      </c>
      <c r="Z58" s="40">
        <f t="shared" si="268"/>
        <v>57.755000000000003</v>
      </c>
      <c r="AA58" s="40">
        <f t="shared" si="268"/>
        <v>39.382500000000007</v>
      </c>
      <c r="AB58" s="47">
        <f t="shared" si="268"/>
        <v>29.267500000000002</v>
      </c>
      <c r="AC58" s="42">
        <f t="shared" ref="AC58:AF58" si="269">(B58+C58)/2</f>
        <v>82.754999999999995</v>
      </c>
      <c r="AD58" s="42">
        <f t="shared" si="269"/>
        <v>66.275000000000006</v>
      </c>
      <c r="AE58" s="42">
        <f t="shared" si="269"/>
        <v>49.275000000000006</v>
      </c>
      <c r="AF58" s="42">
        <f t="shared" si="269"/>
        <v>35.11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8"/>
      <c r="BK58" s="8"/>
      <c r="BL58" s="8"/>
      <c r="BM58" s="8"/>
    </row>
    <row r="59" spans="1:65" ht="15.75" hidden="1" customHeight="1" x14ac:dyDescent="0.45">
      <c r="A59" s="43">
        <f t="shared" si="3"/>
        <v>41292</v>
      </c>
      <c r="B59" s="44">
        <v>91.31</v>
      </c>
      <c r="C59" s="44">
        <v>74.3</v>
      </c>
      <c r="D59" s="44">
        <v>58.53</v>
      </c>
      <c r="E59" s="44">
        <v>40.32</v>
      </c>
      <c r="F59" s="44">
        <v>29.93</v>
      </c>
      <c r="G59" s="45">
        <v>92.94</v>
      </c>
      <c r="H59" s="37">
        <f t="shared" ref="H59:L59" si="270">B59-B58</f>
        <v>0.25</v>
      </c>
      <c r="I59" s="38">
        <f t="shared" si="270"/>
        <v>-0.15000000000000568</v>
      </c>
      <c r="J59" s="38">
        <f t="shared" si="270"/>
        <v>0.42999999999999972</v>
      </c>
      <c r="K59" s="38">
        <f t="shared" si="270"/>
        <v>-0.13000000000000256</v>
      </c>
      <c r="L59" s="39">
        <f t="shared" si="270"/>
        <v>0.16000000000000014</v>
      </c>
      <c r="M59" s="38"/>
      <c r="N59" s="40"/>
      <c r="O59" s="40"/>
      <c r="P59" s="40"/>
      <c r="Q59" s="40"/>
      <c r="R59" s="40"/>
      <c r="S59" s="40">
        <f t="shared" ref="S59:T59" si="271">(B58+B59)/2</f>
        <v>91.185000000000002</v>
      </c>
      <c r="T59" s="40">
        <f t="shared" si="271"/>
        <v>74.375</v>
      </c>
      <c r="U59" s="40">
        <f t="shared" si="6"/>
        <v>58.314999999999998</v>
      </c>
      <c r="V59" s="40">
        <f t="shared" ref="V59:W59" si="272">(E58+E59)/2</f>
        <v>40.385000000000005</v>
      </c>
      <c r="W59" s="40">
        <f t="shared" si="272"/>
        <v>29.85</v>
      </c>
      <c r="X59" s="41">
        <f t="shared" ref="X59:AB59" si="273">(SUM(B56:B59))/4</f>
        <v>90.797499999999999</v>
      </c>
      <c r="Y59" s="40">
        <f t="shared" si="273"/>
        <v>74.282499999999999</v>
      </c>
      <c r="Z59" s="40">
        <f t="shared" si="273"/>
        <v>58.0075</v>
      </c>
      <c r="AA59" s="40">
        <f t="shared" si="273"/>
        <v>39.67</v>
      </c>
      <c r="AB59" s="47">
        <f t="shared" si="273"/>
        <v>29.4925</v>
      </c>
      <c r="AC59" s="42">
        <f t="shared" ref="AC59:AF59" si="274">(B59+C59)/2</f>
        <v>82.805000000000007</v>
      </c>
      <c r="AD59" s="42">
        <f t="shared" si="274"/>
        <v>66.414999999999992</v>
      </c>
      <c r="AE59" s="42">
        <f t="shared" si="274"/>
        <v>49.424999999999997</v>
      </c>
      <c r="AF59" s="42">
        <f t="shared" si="274"/>
        <v>35.125</v>
      </c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8"/>
      <c r="BK59" s="8"/>
      <c r="BL59" s="8"/>
      <c r="BM59" s="8"/>
    </row>
    <row r="60" spans="1:65" ht="15.75" hidden="1" customHeight="1" x14ac:dyDescent="0.45">
      <c r="A60" s="43">
        <f t="shared" si="3"/>
        <v>41299</v>
      </c>
      <c r="B60" s="44">
        <v>92.59</v>
      </c>
      <c r="C60" s="44">
        <v>74.48</v>
      </c>
      <c r="D60" s="44">
        <v>57.99</v>
      </c>
      <c r="E60" s="44">
        <v>40.299999999999997</v>
      </c>
      <c r="F60" s="44">
        <v>29.53</v>
      </c>
      <c r="G60" s="45">
        <v>92.8</v>
      </c>
      <c r="H60" s="37">
        <f t="shared" ref="H60:L60" si="275">B60-B59</f>
        <v>1.2800000000000011</v>
      </c>
      <c r="I60" s="38">
        <f t="shared" si="275"/>
        <v>0.18000000000000682</v>
      </c>
      <c r="J60" s="38">
        <f t="shared" si="275"/>
        <v>-0.53999999999999915</v>
      </c>
      <c r="K60" s="38">
        <f t="shared" si="275"/>
        <v>-2.0000000000003126E-2</v>
      </c>
      <c r="L60" s="39">
        <f t="shared" si="275"/>
        <v>-0.39999999999999858</v>
      </c>
      <c r="M60" s="38"/>
      <c r="N60" s="40"/>
      <c r="O60" s="40"/>
      <c r="P60" s="40"/>
      <c r="Q60" s="40"/>
      <c r="R60" s="40"/>
      <c r="S60" s="40">
        <f t="shared" ref="S60:T60" si="276">(B59+B60)/2</f>
        <v>91.95</v>
      </c>
      <c r="T60" s="40">
        <f t="shared" si="276"/>
        <v>74.39</v>
      </c>
      <c r="U60" s="40">
        <f t="shared" si="6"/>
        <v>58.260000000000005</v>
      </c>
      <c r="V60" s="40">
        <f t="shared" ref="V60:W60" si="277">(E59+E60)/2</f>
        <v>40.31</v>
      </c>
      <c r="W60" s="40">
        <f t="shared" si="277"/>
        <v>29.73</v>
      </c>
      <c r="X60" s="41">
        <f t="shared" ref="X60:AB60" si="278">(SUM(B57:B60))/4</f>
        <v>91.447499999999991</v>
      </c>
      <c r="Y60" s="40">
        <f t="shared" si="278"/>
        <v>74.377500000000012</v>
      </c>
      <c r="Z60" s="40">
        <f t="shared" si="278"/>
        <v>58.142500000000005</v>
      </c>
      <c r="AA60" s="40">
        <f t="shared" si="278"/>
        <v>40.084999999999994</v>
      </c>
      <c r="AB60" s="47">
        <f t="shared" si="278"/>
        <v>29.622500000000002</v>
      </c>
      <c r="AC60" s="42">
        <f t="shared" ref="AC60:AF60" si="279">(B60+C60)/2</f>
        <v>83.534999999999997</v>
      </c>
      <c r="AD60" s="42">
        <f t="shared" si="279"/>
        <v>66.234999999999999</v>
      </c>
      <c r="AE60" s="42">
        <f t="shared" si="279"/>
        <v>49.144999999999996</v>
      </c>
      <c r="AF60" s="42">
        <f t="shared" si="279"/>
        <v>34.914999999999999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8"/>
      <c r="BK60" s="8"/>
      <c r="BL60" s="8"/>
      <c r="BM60" s="8"/>
    </row>
    <row r="61" spans="1:65" ht="15.75" hidden="1" customHeight="1" x14ac:dyDescent="0.45">
      <c r="A61" s="43">
        <f t="shared" si="3"/>
        <v>41306</v>
      </c>
      <c r="B61" s="44">
        <v>92.81</v>
      </c>
      <c r="C61" s="44">
        <v>75.48</v>
      </c>
      <c r="D61" s="44">
        <v>58.44</v>
      </c>
      <c r="E61" s="44">
        <v>40.340000000000003</v>
      </c>
      <c r="F61" s="44">
        <v>29.47</v>
      </c>
      <c r="G61" s="45">
        <v>95.04</v>
      </c>
      <c r="H61" s="37">
        <f t="shared" ref="H61:L61" si="280">B61-B60</f>
        <v>0.21999999999999886</v>
      </c>
      <c r="I61" s="38">
        <f t="shared" si="280"/>
        <v>1</v>
      </c>
      <c r="J61" s="38">
        <f t="shared" si="280"/>
        <v>0.44999999999999574</v>
      </c>
      <c r="K61" s="38">
        <f t="shared" si="280"/>
        <v>4.0000000000006253E-2</v>
      </c>
      <c r="L61" s="39">
        <f t="shared" si="280"/>
        <v>-6.0000000000002274E-2</v>
      </c>
      <c r="M61" s="38"/>
      <c r="N61" s="40"/>
      <c r="O61" s="40"/>
      <c r="P61" s="40"/>
      <c r="Q61" s="40"/>
      <c r="R61" s="40"/>
      <c r="S61" s="40">
        <f t="shared" ref="S61:T61" si="281">(B60+B61)/2</f>
        <v>92.7</v>
      </c>
      <c r="T61" s="40">
        <f t="shared" si="281"/>
        <v>74.98</v>
      </c>
      <c r="U61" s="40">
        <f t="shared" si="6"/>
        <v>58.215000000000003</v>
      </c>
      <c r="V61" s="40">
        <f t="shared" ref="V61:W61" si="282">(E60+E61)/2</f>
        <v>40.32</v>
      </c>
      <c r="W61" s="40">
        <f t="shared" si="282"/>
        <v>29.5</v>
      </c>
      <c r="X61" s="41">
        <f t="shared" ref="X61:AB61" si="283">(SUM(B58:B61))/4</f>
        <v>91.94250000000001</v>
      </c>
      <c r="Y61" s="40">
        <f t="shared" si="283"/>
        <v>74.677500000000009</v>
      </c>
      <c r="Z61" s="40">
        <f t="shared" si="283"/>
        <v>58.265000000000001</v>
      </c>
      <c r="AA61" s="40">
        <f t="shared" si="283"/>
        <v>40.352500000000006</v>
      </c>
      <c r="AB61" s="47">
        <f t="shared" si="283"/>
        <v>29.675000000000001</v>
      </c>
      <c r="AC61" s="42">
        <f t="shared" ref="AC61:AF61" si="284">(B61+C61)/2</f>
        <v>84.14500000000001</v>
      </c>
      <c r="AD61" s="42">
        <f t="shared" si="284"/>
        <v>66.960000000000008</v>
      </c>
      <c r="AE61" s="42">
        <f t="shared" si="284"/>
        <v>49.39</v>
      </c>
      <c r="AF61" s="42">
        <f t="shared" si="284"/>
        <v>34.905000000000001</v>
      </c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8"/>
      <c r="BK61" s="8"/>
      <c r="BL61" s="8"/>
      <c r="BM61" s="8"/>
    </row>
    <row r="62" spans="1:65" ht="15.75" hidden="1" customHeight="1" x14ac:dyDescent="0.45">
      <c r="A62" s="43">
        <f t="shared" si="3"/>
        <v>41313</v>
      </c>
      <c r="B62" s="44">
        <v>93.72</v>
      </c>
      <c r="C62" s="44">
        <v>75.69</v>
      </c>
      <c r="D62" s="44">
        <v>60.01</v>
      </c>
      <c r="E62" s="44">
        <v>40.76</v>
      </c>
      <c r="F62" s="44">
        <v>29.74</v>
      </c>
      <c r="G62" s="45">
        <v>96.09</v>
      </c>
      <c r="H62" s="37">
        <f t="shared" ref="H62:L62" si="285">B62-B61</f>
        <v>0.90999999999999659</v>
      </c>
      <c r="I62" s="38">
        <f t="shared" si="285"/>
        <v>0.20999999999999375</v>
      </c>
      <c r="J62" s="38">
        <f t="shared" si="285"/>
        <v>1.5700000000000003</v>
      </c>
      <c r="K62" s="38">
        <f t="shared" si="285"/>
        <v>0.4199999999999946</v>
      </c>
      <c r="L62" s="39">
        <f t="shared" si="285"/>
        <v>0.26999999999999957</v>
      </c>
      <c r="M62" s="38"/>
      <c r="N62" s="40"/>
      <c r="O62" s="40"/>
      <c r="P62" s="40"/>
      <c r="Q62" s="40"/>
      <c r="R62" s="40"/>
      <c r="S62" s="40">
        <f t="shared" ref="S62:T62" si="286">(B61+B62)/2</f>
        <v>93.265000000000001</v>
      </c>
      <c r="T62" s="40">
        <f t="shared" si="286"/>
        <v>75.585000000000008</v>
      </c>
      <c r="U62" s="40">
        <f t="shared" si="6"/>
        <v>59.224999999999994</v>
      </c>
      <c r="V62" s="40">
        <f t="shared" ref="V62:W62" si="287">(E61+E62)/2</f>
        <v>40.549999999999997</v>
      </c>
      <c r="W62" s="40">
        <f t="shared" si="287"/>
        <v>29.604999999999997</v>
      </c>
      <c r="X62" s="41">
        <f t="shared" ref="X62:AB62" si="288">(SUM(B59:B62))/4</f>
        <v>92.607500000000016</v>
      </c>
      <c r="Y62" s="40">
        <f t="shared" si="288"/>
        <v>74.987499999999997</v>
      </c>
      <c r="Z62" s="40">
        <f t="shared" si="288"/>
        <v>58.7425</v>
      </c>
      <c r="AA62" s="40">
        <f t="shared" si="288"/>
        <v>40.43</v>
      </c>
      <c r="AB62" s="47">
        <f t="shared" si="288"/>
        <v>29.6675</v>
      </c>
      <c r="AC62" s="42">
        <f t="shared" ref="AC62:AF62" si="289">(B62+C62)/2</f>
        <v>84.704999999999998</v>
      </c>
      <c r="AD62" s="42">
        <f t="shared" si="289"/>
        <v>67.849999999999994</v>
      </c>
      <c r="AE62" s="42">
        <f t="shared" si="289"/>
        <v>50.384999999999998</v>
      </c>
      <c r="AF62" s="42">
        <f t="shared" si="289"/>
        <v>35.25</v>
      </c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8"/>
      <c r="BK62" s="8"/>
      <c r="BL62" s="8"/>
      <c r="BM62" s="8"/>
    </row>
    <row r="63" spans="1:65" ht="15.75" hidden="1" customHeight="1" x14ac:dyDescent="0.45">
      <c r="A63" s="43">
        <f t="shared" si="3"/>
        <v>41320</v>
      </c>
      <c r="B63" s="44">
        <v>93.9</v>
      </c>
      <c r="C63" s="44">
        <v>75.959999999999994</v>
      </c>
      <c r="D63" s="44">
        <v>59.71</v>
      </c>
      <c r="E63" s="44">
        <v>41.06</v>
      </c>
      <c r="F63" s="44">
        <v>29.51</v>
      </c>
      <c r="G63" s="45">
        <v>94.38</v>
      </c>
      <c r="H63" s="37">
        <f t="shared" ref="H63:L63" si="290">B63-B62</f>
        <v>0.18000000000000682</v>
      </c>
      <c r="I63" s="38">
        <f t="shared" si="290"/>
        <v>0.26999999999999602</v>
      </c>
      <c r="J63" s="38">
        <f t="shared" si="290"/>
        <v>-0.29999999999999716</v>
      </c>
      <c r="K63" s="38">
        <f t="shared" si="290"/>
        <v>0.30000000000000426</v>
      </c>
      <c r="L63" s="39">
        <f t="shared" si="290"/>
        <v>-0.22999999999999687</v>
      </c>
      <c r="M63" s="38"/>
      <c r="N63" s="40"/>
      <c r="O63" s="40"/>
      <c r="P63" s="40"/>
      <c r="Q63" s="40"/>
      <c r="R63" s="40"/>
      <c r="S63" s="40">
        <f t="shared" ref="S63:T63" si="291">(B62+B63)/2</f>
        <v>93.81</v>
      </c>
      <c r="T63" s="40">
        <f t="shared" si="291"/>
        <v>75.824999999999989</v>
      </c>
      <c r="U63" s="40">
        <f t="shared" si="6"/>
        <v>59.86</v>
      </c>
      <c r="V63" s="40">
        <f t="shared" ref="V63:W63" si="292">(E62+E63)/2</f>
        <v>40.909999999999997</v>
      </c>
      <c r="W63" s="40">
        <f t="shared" si="292"/>
        <v>29.625</v>
      </c>
      <c r="X63" s="41">
        <f t="shared" ref="X63:AB63" si="293">(SUM(B60:B63))/4</f>
        <v>93.254999999999995</v>
      </c>
      <c r="Y63" s="40">
        <f t="shared" si="293"/>
        <v>75.402500000000003</v>
      </c>
      <c r="Z63" s="40">
        <f t="shared" si="293"/>
        <v>59.037500000000001</v>
      </c>
      <c r="AA63" s="40">
        <f t="shared" si="293"/>
        <v>40.615000000000002</v>
      </c>
      <c r="AB63" s="47">
        <f t="shared" si="293"/>
        <v>29.5625</v>
      </c>
      <c r="AC63" s="42">
        <f t="shared" ref="AC63:AF63" si="294">(B63+C63)/2</f>
        <v>84.93</v>
      </c>
      <c r="AD63" s="42">
        <f t="shared" si="294"/>
        <v>67.834999999999994</v>
      </c>
      <c r="AE63" s="42">
        <f t="shared" si="294"/>
        <v>50.385000000000005</v>
      </c>
      <c r="AF63" s="42">
        <f t="shared" si="294"/>
        <v>35.285000000000004</v>
      </c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8"/>
      <c r="BK63" s="8"/>
      <c r="BL63" s="8"/>
      <c r="BM63" s="8"/>
    </row>
    <row r="64" spans="1:65" ht="15.75" hidden="1" customHeight="1" x14ac:dyDescent="0.45">
      <c r="A64" s="43">
        <f t="shared" si="3"/>
        <v>41327</v>
      </c>
      <c r="B64" s="44">
        <v>94.22</v>
      </c>
      <c r="C64" s="44">
        <v>76.260000000000005</v>
      </c>
      <c r="D64" s="44">
        <v>61.05</v>
      </c>
      <c r="E64" s="44">
        <v>41.37</v>
      </c>
      <c r="F64" s="44">
        <v>30.11</v>
      </c>
      <c r="G64" s="45">
        <v>94.05</v>
      </c>
      <c r="H64" s="37">
        <f t="shared" ref="H64:L64" si="295">B64-B63</f>
        <v>0.31999999999999318</v>
      </c>
      <c r="I64" s="38">
        <f t="shared" si="295"/>
        <v>0.30000000000001137</v>
      </c>
      <c r="J64" s="38">
        <f t="shared" si="295"/>
        <v>1.3399999999999963</v>
      </c>
      <c r="K64" s="38">
        <f t="shared" si="295"/>
        <v>0.30999999999999517</v>
      </c>
      <c r="L64" s="39">
        <f t="shared" si="295"/>
        <v>0.59999999999999787</v>
      </c>
      <c r="M64" s="38"/>
      <c r="N64" s="40"/>
      <c r="O64" s="40"/>
      <c r="P64" s="40"/>
      <c r="Q64" s="40"/>
      <c r="R64" s="40"/>
      <c r="S64" s="40">
        <f t="shared" ref="S64:T64" si="296">(B63+B64)/2</f>
        <v>94.06</v>
      </c>
      <c r="T64" s="40">
        <f t="shared" si="296"/>
        <v>76.11</v>
      </c>
      <c r="U64" s="40">
        <f t="shared" si="6"/>
        <v>60.379999999999995</v>
      </c>
      <c r="V64" s="40">
        <f t="shared" ref="V64:W64" si="297">(E63+E64)/2</f>
        <v>41.215000000000003</v>
      </c>
      <c r="W64" s="40">
        <f t="shared" si="297"/>
        <v>29.810000000000002</v>
      </c>
      <c r="X64" s="41">
        <f t="shared" ref="X64:AB64" si="298">(SUM(B61:B64))/4</f>
        <v>93.662499999999994</v>
      </c>
      <c r="Y64" s="40">
        <f t="shared" si="298"/>
        <v>75.847499999999997</v>
      </c>
      <c r="Z64" s="40">
        <f t="shared" si="298"/>
        <v>59.802499999999995</v>
      </c>
      <c r="AA64" s="40">
        <f t="shared" si="298"/>
        <v>40.8825</v>
      </c>
      <c r="AB64" s="47">
        <f t="shared" si="298"/>
        <v>29.7075</v>
      </c>
      <c r="AC64" s="42">
        <f t="shared" ref="AC64:AF64" si="299">(B64+C64)/2</f>
        <v>85.240000000000009</v>
      </c>
      <c r="AD64" s="42">
        <f t="shared" si="299"/>
        <v>68.655000000000001</v>
      </c>
      <c r="AE64" s="42">
        <f t="shared" si="299"/>
        <v>51.209999999999994</v>
      </c>
      <c r="AF64" s="42">
        <f t="shared" si="299"/>
        <v>35.739999999999995</v>
      </c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8"/>
      <c r="BK64" s="8"/>
      <c r="BL64" s="8"/>
      <c r="BM64" s="8"/>
    </row>
    <row r="65" spans="1:65" ht="15.75" hidden="1" customHeight="1" x14ac:dyDescent="0.45">
      <c r="A65" s="43">
        <f t="shared" si="3"/>
        <v>41334</v>
      </c>
      <c r="B65" s="44">
        <v>94.26</v>
      </c>
      <c r="C65" s="44">
        <v>76.45</v>
      </c>
      <c r="D65" s="44">
        <v>60.59</v>
      </c>
      <c r="E65" s="44">
        <v>41.81</v>
      </c>
      <c r="F65" s="44">
        <v>30.39</v>
      </c>
      <c r="G65" s="45">
        <v>93.46</v>
      </c>
      <c r="H65" s="37">
        <f t="shared" ref="H65:L65" si="300">B65-B64</f>
        <v>4.0000000000006253E-2</v>
      </c>
      <c r="I65" s="38">
        <f t="shared" si="300"/>
        <v>0.18999999999999773</v>
      </c>
      <c r="J65" s="38">
        <f t="shared" si="300"/>
        <v>-0.45999999999999375</v>
      </c>
      <c r="K65" s="38">
        <f t="shared" si="300"/>
        <v>0.44000000000000483</v>
      </c>
      <c r="L65" s="39">
        <f t="shared" si="300"/>
        <v>0.28000000000000114</v>
      </c>
      <c r="M65" s="38"/>
      <c r="N65" s="40"/>
      <c r="O65" s="40"/>
      <c r="P65" s="40"/>
      <c r="Q65" s="40"/>
      <c r="R65" s="40"/>
      <c r="S65" s="40">
        <f t="shared" ref="S65:T65" si="301">(B64+B65)/2</f>
        <v>94.240000000000009</v>
      </c>
      <c r="T65" s="40">
        <f t="shared" si="301"/>
        <v>76.355000000000004</v>
      </c>
      <c r="U65" s="40">
        <f t="shared" si="6"/>
        <v>60.82</v>
      </c>
      <c r="V65" s="40">
        <f t="shared" ref="V65:W65" si="302">(E64+E65)/2</f>
        <v>41.59</v>
      </c>
      <c r="W65" s="40">
        <f t="shared" si="302"/>
        <v>30.25</v>
      </c>
      <c r="X65" s="41">
        <f t="shared" ref="X65:AB65" si="303">(SUM(B62:B65))/4</f>
        <v>94.025000000000006</v>
      </c>
      <c r="Y65" s="40">
        <f t="shared" si="303"/>
        <v>76.089999999999989</v>
      </c>
      <c r="Z65" s="40">
        <f t="shared" si="303"/>
        <v>60.339999999999996</v>
      </c>
      <c r="AA65" s="40">
        <f t="shared" si="303"/>
        <v>41.25</v>
      </c>
      <c r="AB65" s="47">
        <f t="shared" si="303"/>
        <v>29.9375</v>
      </c>
      <c r="AC65" s="42">
        <f t="shared" ref="AC65:AF65" si="304">(B65+C65)/2</f>
        <v>85.355000000000004</v>
      </c>
      <c r="AD65" s="42">
        <f t="shared" si="304"/>
        <v>68.52000000000001</v>
      </c>
      <c r="AE65" s="42">
        <f t="shared" si="304"/>
        <v>51.2</v>
      </c>
      <c r="AF65" s="42">
        <f t="shared" si="304"/>
        <v>36.1</v>
      </c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8"/>
      <c r="BK65" s="8"/>
      <c r="BL65" s="8"/>
      <c r="BM65" s="8"/>
    </row>
    <row r="66" spans="1:65" ht="15.75" hidden="1" customHeight="1" x14ac:dyDescent="0.45">
      <c r="A66" s="43">
        <f t="shared" si="3"/>
        <v>41341</v>
      </c>
      <c r="B66" s="44">
        <v>93.77</v>
      </c>
      <c r="C66" s="44">
        <v>76.569999999999993</v>
      </c>
      <c r="D66" s="44">
        <v>60.59</v>
      </c>
      <c r="E66" s="44">
        <v>41.71</v>
      </c>
      <c r="F66" s="44">
        <v>30.41</v>
      </c>
      <c r="G66" s="45">
        <v>91.96</v>
      </c>
      <c r="H66" s="37">
        <f t="shared" ref="H66:L66" si="305">B66-B65</f>
        <v>-0.49000000000000909</v>
      </c>
      <c r="I66" s="38">
        <f t="shared" si="305"/>
        <v>0.11999999999999034</v>
      </c>
      <c r="J66" s="38">
        <f t="shared" si="305"/>
        <v>0</v>
      </c>
      <c r="K66" s="38">
        <f t="shared" si="305"/>
        <v>-0.10000000000000142</v>
      </c>
      <c r="L66" s="39">
        <f t="shared" si="305"/>
        <v>1.9999999999999574E-2</v>
      </c>
      <c r="M66" s="38"/>
      <c r="N66" s="40"/>
      <c r="O66" s="40"/>
      <c r="P66" s="40"/>
      <c r="Q66" s="40"/>
      <c r="R66" s="40"/>
      <c r="S66" s="40">
        <f t="shared" ref="S66:T66" si="306">(B65+B66)/2</f>
        <v>94.015000000000001</v>
      </c>
      <c r="T66" s="40">
        <f t="shared" si="306"/>
        <v>76.509999999999991</v>
      </c>
      <c r="U66" s="40">
        <f t="shared" si="6"/>
        <v>60.59</v>
      </c>
      <c r="V66" s="40">
        <f t="shared" ref="V66:W66" si="307">(E65+E66)/2</f>
        <v>41.760000000000005</v>
      </c>
      <c r="W66" s="40">
        <f t="shared" si="307"/>
        <v>30.4</v>
      </c>
      <c r="X66" s="41">
        <f t="shared" ref="X66:AB66" si="308">(SUM(B63:B66))/4</f>
        <v>94.037499999999994</v>
      </c>
      <c r="Y66" s="40">
        <f t="shared" si="308"/>
        <v>76.31</v>
      </c>
      <c r="Z66" s="40">
        <f t="shared" si="308"/>
        <v>60.484999999999999</v>
      </c>
      <c r="AA66" s="40">
        <f t="shared" si="308"/>
        <v>41.487500000000004</v>
      </c>
      <c r="AB66" s="47">
        <f t="shared" si="308"/>
        <v>30.105</v>
      </c>
      <c r="AC66" s="42">
        <f t="shared" ref="AC66:AF66" si="309">(B66+C66)/2</f>
        <v>85.169999999999987</v>
      </c>
      <c r="AD66" s="42">
        <f t="shared" si="309"/>
        <v>68.58</v>
      </c>
      <c r="AE66" s="42">
        <f t="shared" si="309"/>
        <v>51.150000000000006</v>
      </c>
      <c r="AF66" s="42">
        <f t="shared" si="309"/>
        <v>36.06</v>
      </c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8"/>
      <c r="BK66" s="8"/>
      <c r="BL66" s="8"/>
      <c r="BM66" s="8"/>
    </row>
    <row r="67" spans="1:65" ht="15.75" hidden="1" customHeight="1" x14ac:dyDescent="0.45">
      <c r="A67" s="43">
        <f t="shared" si="3"/>
        <v>41348</v>
      </c>
      <c r="B67" s="44">
        <v>93.2</v>
      </c>
      <c r="C67" s="44">
        <v>76.099999999999994</v>
      </c>
      <c r="D67" s="44">
        <v>60.61</v>
      </c>
      <c r="E67" s="44">
        <v>41.6</v>
      </c>
      <c r="F67" s="44">
        <v>30.13</v>
      </c>
      <c r="G67" s="45">
        <v>90.74</v>
      </c>
      <c r="H67" s="37">
        <f t="shared" ref="H67:L67" si="310">B67-B66</f>
        <v>-0.56999999999999318</v>
      </c>
      <c r="I67" s="38">
        <f t="shared" si="310"/>
        <v>-0.46999999999999886</v>
      </c>
      <c r="J67" s="38">
        <f t="shared" si="310"/>
        <v>1.9999999999996021E-2</v>
      </c>
      <c r="K67" s="38">
        <f t="shared" si="310"/>
        <v>-0.10999999999999943</v>
      </c>
      <c r="L67" s="39">
        <f t="shared" si="310"/>
        <v>-0.28000000000000114</v>
      </c>
      <c r="M67" s="38"/>
      <c r="N67" s="40"/>
      <c r="O67" s="40"/>
      <c r="P67" s="40"/>
      <c r="Q67" s="40"/>
      <c r="R67" s="40"/>
      <c r="S67" s="40">
        <f t="shared" ref="S67:T67" si="311">(B66+B67)/2</f>
        <v>93.484999999999999</v>
      </c>
      <c r="T67" s="40">
        <f t="shared" si="311"/>
        <v>76.334999999999994</v>
      </c>
      <c r="U67" s="40">
        <f t="shared" si="6"/>
        <v>60.6</v>
      </c>
      <c r="V67" s="40">
        <f t="shared" ref="V67:W67" si="312">(E66+E67)/2</f>
        <v>41.655000000000001</v>
      </c>
      <c r="W67" s="40">
        <f t="shared" si="312"/>
        <v>30.27</v>
      </c>
      <c r="X67" s="41">
        <f t="shared" ref="X67:AB67" si="313">(SUM(B64:B67))/4</f>
        <v>93.862499999999997</v>
      </c>
      <c r="Y67" s="40">
        <f t="shared" si="313"/>
        <v>76.344999999999999</v>
      </c>
      <c r="Z67" s="40">
        <f t="shared" si="313"/>
        <v>60.710000000000008</v>
      </c>
      <c r="AA67" s="40">
        <f t="shared" si="313"/>
        <v>41.622500000000002</v>
      </c>
      <c r="AB67" s="47">
        <f t="shared" si="313"/>
        <v>30.259999999999998</v>
      </c>
      <c r="AC67" s="42">
        <f t="shared" ref="AC67:AF67" si="314">(B67+C67)/2</f>
        <v>84.65</v>
      </c>
      <c r="AD67" s="42">
        <f t="shared" si="314"/>
        <v>68.35499999999999</v>
      </c>
      <c r="AE67" s="42">
        <f t="shared" si="314"/>
        <v>51.105000000000004</v>
      </c>
      <c r="AF67" s="42">
        <f t="shared" si="314"/>
        <v>35.865000000000002</v>
      </c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8"/>
      <c r="BK67" s="8"/>
      <c r="BL67" s="8"/>
      <c r="BM67" s="8"/>
    </row>
    <row r="68" spans="1:65" ht="15.75" hidden="1" customHeight="1" x14ac:dyDescent="0.45">
      <c r="A68" s="43">
        <f t="shared" si="3"/>
        <v>41355</v>
      </c>
      <c r="B68" s="44">
        <v>92.15</v>
      </c>
      <c r="C68" s="44">
        <v>76.38</v>
      </c>
      <c r="D68" s="44">
        <v>60.22</v>
      </c>
      <c r="E68" s="44">
        <v>41.71</v>
      </c>
      <c r="F68" s="44">
        <v>30.27</v>
      </c>
      <c r="G68" s="45">
        <v>91.22</v>
      </c>
      <c r="H68" s="37">
        <f t="shared" ref="H68:L68" si="315">B68-B67</f>
        <v>-1.0499999999999972</v>
      </c>
      <c r="I68" s="38">
        <f t="shared" si="315"/>
        <v>0.28000000000000114</v>
      </c>
      <c r="J68" s="38">
        <f t="shared" si="315"/>
        <v>-0.39000000000000057</v>
      </c>
      <c r="K68" s="38">
        <f t="shared" si="315"/>
        <v>0.10999999999999943</v>
      </c>
      <c r="L68" s="39">
        <f t="shared" si="315"/>
        <v>0.14000000000000057</v>
      </c>
      <c r="M68" s="38"/>
      <c r="N68" s="40"/>
      <c r="O68" s="40"/>
      <c r="P68" s="40"/>
      <c r="Q68" s="40"/>
      <c r="R68" s="40"/>
      <c r="S68" s="40">
        <f t="shared" ref="S68:T68" si="316">(B67+B68)/2</f>
        <v>92.675000000000011</v>
      </c>
      <c r="T68" s="40">
        <f t="shared" si="316"/>
        <v>76.239999999999995</v>
      </c>
      <c r="U68" s="40">
        <f t="shared" si="6"/>
        <v>60.414999999999999</v>
      </c>
      <c r="V68" s="40">
        <f t="shared" ref="V68:W68" si="317">(E67+E68)/2</f>
        <v>41.655000000000001</v>
      </c>
      <c r="W68" s="40">
        <f t="shared" si="317"/>
        <v>30.2</v>
      </c>
      <c r="X68" s="41">
        <f t="shared" ref="X68:AB68" si="318">(SUM(B65:B68))/4</f>
        <v>93.344999999999999</v>
      </c>
      <c r="Y68" s="40">
        <f t="shared" si="318"/>
        <v>76.375</v>
      </c>
      <c r="Z68" s="40">
        <f t="shared" si="318"/>
        <v>60.502500000000005</v>
      </c>
      <c r="AA68" s="40">
        <f t="shared" si="318"/>
        <v>41.707500000000003</v>
      </c>
      <c r="AB68" s="47">
        <f t="shared" si="318"/>
        <v>30.299999999999997</v>
      </c>
      <c r="AC68" s="42">
        <f t="shared" ref="AC68:AF68" si="319">(B68+C68)/2</f>
        <v>84.265000000000001</v>
      </c>
      <c r="AD68" s="42">
        <f t="shared" si="319"/>
        <v>68.3</v>
      </c>
      <c r="AE68" s="42">
        <f t="shared" si="319"/>
        <v>50.965000000000003</v>
      </c>
      <c r="AF68" s="42">
        <f t="shared" si="319"/>
        <v>35.99</v>
      </c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8"/>
      <c r="BK68" s="8"/>
      <c r="BL68" s="8"/>
      <c r="BM68" s="8"/>
    </row>
    <row r="69" spans="1:65" ht="15.75" hidden="1" customHeight="1" x14ac:dyDescent="0.45">
      <c r="A69" s="43">
        <f t="shared" si="3"/>
        <v>41362</v>
      </c>
      <c r="B69" s="44">
        <v>90.96</v>
      </c>
      <c r="C69" s="44">
        <v>74.8</v>
      </c>
      <c r="D69" s="44">
        <v>59.91</v>
      </c>
      <c r="E69" s="44">
        <v>41.84</v>
      </c>
      <c r="F69" s="44">
        <v>30.52</v>
      </c>
      <c r="G69" s="45">
        <v>90.27</v>
      </c>
      <c r="H69" s="37">
        <f t="shared" ref="H69:L69" si="320">B69-B68</f>
        <v>-1.1900000000000119</v>
      </c>
      <c r="I69" s="38">
        <f t="shared" si="320"/>
        <v>-1.5799999999999983</v>
      </c>
      <c r="J69" s="38">
        <f t="shared" si="320"/>
        <v>-0.31000000000000227</v>
      </c>
      <c r="K69" s="38">
        <f t="shared" si="320"/>
        <v>0.13000000000000256</v>
      </c>
      <c r="L69" s="39">
        <f t="shared" si="320"/>
        <v>0.25</v>
      </c>
      <c r="M69" s="38"/>
      <c r="N69" s="40"/>
      <c r="O69" s="40"/>
      <c r="P69" s="40"/>
      <c r="Q69" s="40"/>
      <c r="R69" s="40"/>
      <c r="S69" s="40">
        <f t="shared" ref="S69:T69" si="321">(B68+B69)/2</f>
        <v>91.555000000000007</v>
      </c>
      <c r="T69" s="40">
        <f t="shared" si="321"/>
        <v>75.59</v>
      </c>
      <c r="U69" s="40">
        <f t="shared" si="6"/>
        <v>60.064999999999998</v>
      </c>
      <c r="V69" s="40">
        <f t="shared" ref="V69:W69" si="322">(E68+E69)/2</f>
        <v>41.775000000000006</v>
      </c>
      <c r="W69" s="40">
        <f t="shared" si="322"/>
        <v>30.395</v>
      </c>
      <c r="X69" s="41">
        <f t="shared" ref="X69:AB69" si="323">(SUM(B66:B69))/4</f>
        <v>92.52</v>
      </c>
      <c r="Y69" s="40">
        <f t="shared" si="323"/>
        <v>75.962499999999991</v>
      </c>
      <c r="Z69" s="40">
        <f t="shared" si="323"/>
        <v>60.332500000000003</v>
      </c>
      <c r="AA69" s="40">
        <f t="shared" si="323"/>
        <v>41.715000000000003</v>
      </c>
      <c r="AB69" s="47">
        <f t="shared" si="323"/>
        <v>30.3325</v>
      </c>
      <c r="AC69" s="42">
        <f t="shared" ref="AC69:AF69" si="324">(B69+C69)/2</f>
        <v>82.88</v>
      </c>
      <c r="AD69" s="42">
        <f t="shared" si="324"/>
        <v>67.35499999999999</v>
      </c>
      <c r="AE69" s="42">
        <f t="shared" si="324"/>
        <v>50.875</v>
      </c>
      <c r="AF69" s="42">
        <f t="shared" si="324"/>
        <v>36.18</v>
      </c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8"/>
      <c r="BK69" s="8"/>
      <c r="BL69" s="8"/>
      <c r="BM69" s="8"/>
    </row>
    <row r="70" spans="1:65" ht="15.75" hidden="1" customHeight="1" x14ac:dyDescent="0.45">
      <c r="A70" s="43">
        <f t="shared" si="3"/>
        <v>41369</v>
      </c>
      <c r="B70" s="44">
        <v>89.77</v>
      </c>
      <c r="C70" s="44">
        <v>74.59</v>
      </c>
      <c r="D70" s="44">
        <v>59.8</v>
      </c>
      <c r="E70" s="44">
        <v>41.28</v>
      </c>
      <c r="F70" s="44">
        <v>30.11</v>
      </c>
      <c r="G70" s="45">
        <v>87.01</v>
      </c>
      <c r="H70" s="37">
        <f t="shared" ref="H70:L70" si="325">B70-B69</f>
        <v>-1.1899999999999977</v>
      </c>
      <c r="I70" s="38">
        <f t="shared" si="325"/>
        <v>-0.20999999999999375</v>
      </c>
      <c r="J70" s="38">
        <f t="shared" si="325"/>
        <v>-0.10999999999999943</v>
      </c>
      <c r="K70" s="38">
        <f t="shared" si="325"/>
        <v>-0.56000000000000227</v>
      </c>
      <c r="L70" s="39">
        <f t="shared" si="325"/>
        <v>-0.41000000000000014</v>
      </c>
      <c r="M70" s="38"/>
      <c r="N70" s="40"/>
      <c r="O70" s="40"/>
      <c r="P70" s="40"/>
      <c r="Q70" s="40"/>
      <c r="R70" s="40"/>
      <c r="S70" s="40">
        <f t="shared" ref="S70:T70" si="326">(B69+B70)/2</f>
        <v>90.364999999999995</v>
      </c>
      <c r="T70" s="40">
        <f t="shared" si="326"/>
        <v>74.694999999999993</v>
      </c>
      <c r="U70" s="40">
        <f t="shared" si="6"/>
        <v>59.854999999999997</v>
      </c>
      <c r="V70" s="40">
        <f t="shared" ref="V70:W70" si="327">(E69+E70)/2</f>
        <v>41.56</v>
      </c>
      <c r="W70" s="40">
        <f t="shared" si="327"/>
        <v>30.314999999999998</v>
      </c>
      <c r="X70" s="41">
        <f t="shared" ref="X70:AB70" si="328">(SUM(B67:B70))/4</f>
        <v>91.52</v>
      </c>
      <c r="Y70" s="40">
        <f t="shared" si="328"/>
        <v>75.467500000000001</v>
      </c>
      <c r="Z70" s="40">
        <f t="shared" si="328"/>
        <v>60.135000000000005</v>
      </c>
      <c r="AA70" s="40">
        <f t="shared" si="328"/>
        <v>41.607500000000002</v>
      </c>
      <c r="AB70" s="47">
        <f t="shared" si="328"/>
        <v>30.2575</v>
      </c>
      <c r="AC70" s="42">
        <f t="shared" ref="AC70:AF70" si="329">(B70+C70)/2</f>
        <v>82.18</v>
      </c>
      <c r="AD70" s="42">
        <f t="shared" si="329"/>
        <v>67.194999999999993</v>
      </c>
      <c r="AE70" s="42">
        <f t="shared" si="329"/>
        <v>50.54</v>
      </c>
      <c r="AF70" s="42">
        <f t="shared" si="329"/>
        <v>35.695</v>
      </c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8"/>
      <c r="BK70" s="8"/>
      <c r="BL70" s="8"/>
      <c r="BM70" s="8"/>
    </row>
    <row r="71" spans="1:65" ht="15.75" hidden="1" customHeight="1" x14ac:dyDescent="0.45">
      <c r="A71" s="43">
        <f t="shared" si="3"/>
        <v>41376</v>
      </c>
      <c r="B71" s="44">
        <v>89.58</v>
      </c>
      <c r="C71" s="44">
        <v>74.989999999999995</v>
      </c>
      <c r="D71" s="44">
        <v>60</v>
      </c>
      <c r="E71" s="44">
        <v>41.46</v>
      </c>
      <c r="F71" s="44">
        <v>30.34</v>
      </c>
      <c r="G71" s="45">
        <v>89.05</v>
      </c>
      <c r="H71" s="37">
        <f t="shared" ref="H71:L71" si="330">B71-B70</f>
        <v>-0.18999999999999773</v>
      </c>
      <c r="I71" s="38">
        <f t="shared" si="330"/>
        <v>0.39999999999999147</v>
      </c>
      <c r="J71" s="38">
        <f t="shared" si="330"/>
        <v>0.20000000000000284</v>
      </c>
      <c r="K71" s="38">
        <f t="shared" si="330"/>
        <v>0.17999999999999972</v>
      </c>
      <c r="L71" s="39">
        <f t="shared" si="330"/>
        <v>0.23000000000000043</v>
      </c>
      <c r="M71" s="38"/>
      <c r="N71" s="40"/>
      <c r="O71" s="40"/>
      <c r="P71" s="40"/>
      <c r="Q71" s="40"/>
      <c r="R71" s="40"/>
      <c r="S71" s="40">
        <f t="shared" ref="S71:T71" si="331">(B70+B71)/2</f>
        <v>89.674999999999997</v>
      </c>
      <c r="T71" s="40">
        <f t="shared" si="331"/>
        <v>74.789999999999992</v>
      </c>
      <c r="U71" s="40">
        <f t="shared" si="6"/>
        <v>59.9</v>
      </c>
      <c r="V71" s="40">
        <f t="shared" ref="V71:W71" si="332">(E70+E71)/2</f>
        <v>41.370000000000005</v>
      </c>
      <c r="W71" s="40">
        <f t="shared" si="332"/>
        <v>30.225000000000001</v>
      </c>
      <c r="X71" s="41">
        <f t="shared" ref="X71:AB71" si="333">(SUM(B68:B71))/4</f>
        <v>90.614999999999995</v>
      </c>
      <c r="Y71" s="40">
        <f t="shared" si="333"/>
        <v>75.19</v>
      </c>
      <c r="Z71" s="40">
        <f t="shared" si="333"/>
        <v>59.982500000000002</v>
      </c>
      <c r="AA71" s="40">
        <f t="shared" si="333"/>
        <v>41.572500000000005</v>
      </c>
      <c r="AB71" s="47">
        <f t="shared" si="333"/>
        <v>30.310000000000002</v>
      </c>
      <c r="AC71" s="42">
        <f t="shared" ref="AC71:AF71" si="334">(B71+C71)/2</f>
        <v>82.284999999999997</v>
      </c>
      <c r="AD71" s="42">
        <f t="shared" si="334"/>
        <v>67.495000000000005</v>
      </c>
      <c r="AE71" s="42">
        <f t="shared" si="334"/>
        <v>50.730000000000004</v>
      </c>
      <c r="AF71" s="42">
        <f t="shared" si="334"/>
        <v>35.9</v>
      </c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8"/>
      <c r="BK71" s="8"/>
      <c r="BL71" s="8"/>
      <c r="BM71" s="8"/>
    </row>
    <row r="72" spans="1:65" ht="15.75" hidden="1" customHeight="1" x14ac:dyDescent="0.45">
      <c r="A72" s="43">
        <f t="shared" si="3"/>
        <v>41383</v>
      </c>
      <c r="B72" s="44">
        <v>89.18</v>
      </c>
      <c r="C72" s="44">
        <v>73.069999999999993</v>
      </c>
      <c r="D72" s="44">
        <v>59.86</v>
      </c>
      <c r="E72" s="44">
        <v>41.73</v>
      </c>
      <c r="F72" s="44">
        <v>30.53</v>
      </c>
      <c r="G72" s="45">
        <v>86.64</v>
      </c>
      <c r="H72" s="37">
        <f t="shared" ref="H72:L72" si="335">B72-B71</f>
        <v>-0.39999999999999147</v>
      </c>
      <c r="I72" s="38">
        <f t="shared" si="335"/>
        <v>-1.9200000000000017</v>
      </c>
      <c r="J72" s="38">
        <f t="shared" si="335"/>
        <v>-0.14000000000000057</v>
      </c>
      <c r="K72" s="38">
        <f t="shared" si="335"/>
        <v>0.26999999999999602</v>
      </c>
      <c r="L72" s="39">
        <f t="shared" si="335"/>
        <v>0.19000000000000128</v>
      </c>
      <c r="M72" s="38"/>
      <c r="N72" s="40"/>
      <c r="O72" s="40"/>
      <c r="P72" s="40"/>
      <c r="Q72" s="40"/>
      <c r="R72" s="40"/>
      <c r="S72" s="40">
        <f t="shared" ref="S72:T72" si="336">(B71+B72)/2</f>
        <v>89.38</v>
      </c>
      <c r="T72" s="40">
        <f t="shared" si="336"/>
        <v>74.03</v>
      </c>
      <c r="U72" s="40">
        <f t="shared" si="6"/>
        <v>59.93</v>
      </c>
      <c r="V72" s="40">
        <f t="shared" ref="V72:W72" si="337">(E71+E72)/2</f>
        <v>41.594999999999999</v>
      </c>
      <c r="W72" s="40">
        <f t="shared" si="337"/>
        <v>30.435000000000002</v>
      </c>
      <c r="X72" s="41">
        <f t="shared" ref="X72:AB72" si="338">(SUM(B69:B72))/4</f>
        <v>89.872500000000002</v>
      </c>
      <c r="Y72" s="40">
        <f t="shared" si="338"/>
        <v>74.362499999999997</v>
      </c>
      <c r="Z72" s="40">
        <f t="shared" si="338"/>
        <v>59.892499999999998</v>
      </c>
      <c r="AA72" s="40">
        <f t="shared" si="338"/>
        <v>41.577500000000001</v>
      </c>
      <c r="AB72" s="47">
        <f t="shared" si="338"/>
        <v>30.375</v>
      </c>
      <c r="AC72" s="42">
        <f t="shared" ref="AC72:AF72" si="339">(B72+C72)/2</f>
        <v>81.125</v>
      </c>
      <c r="AD72" s="42">
        <f t="shared" si="339"/>
        <v>66.465000000000003</v>
      </c>
      <c r="AE72" s="42">
        <f t="shared" si="339"/>
        <v>50.795000000000002</v>
      </c>
      <c r="AF72" s="42">
        <f t="shared" si="339"/>
        <v>36.129999999999995</v>
      </c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8"/>
      <c r="BK72" s="8"/>
      <c r="BL72" s="8"/>
      <c r="BM72" s="8"/>
    </row>
    <row r="73" spans="1:65" ht="15.75" hidden="1" customHeight="1" x14ac:dyDescent="0.45">
      <c r="A73" s="43">
        <f t="shared" si="3"/>
        <v>41390</v>
      </c>
      <c r="B73" s="44">
        <v>89.51</v>
      </c>
      <c r="C73" s="44">
        <v>73.760000000000005</v>
      </c>
      <c r="D73" s="44">
        <v>59.87</v>
      </c>
      <c r="E73" s="44">
        <v>42.02</v>
      </c>
      <c r="F73" s="44">
        <v>30.6</v>
      </c>
      <c r="G73" s="45">
        <v>86.63</v>
      </c>
      <c r="H73" s="37">
        <f t="shared" ref="H73:L73" si="340">B73-B72</f>
        <v>0.32999999999999829</v>
      </c>
      <c r="I73" s="38">
        <f t="shared" si="340"/>
        <v>0.69000000000001194</v>
      </c>
      <c r="J73" s="38">
        <f t="shared" si="340"/>
        <v>9.9999999999980105E-3</v>
      </c>
      <c r="K73" s="38">
        <f t="shared" si="340"/>
        <v>0.29000000000000625</v>
      </c>
      <c r="L73" s="39">
        <f t="shared" si="340"/>
        <v>7.0000000000000284E-2</v>
      </c>
      <c r="M73" s="38"/>
      <c r="N73" s="40"/>
      <c r="O73" s="40"/>
      <c r="P73" s="40"/>
      <c r="Q73" s="40"/>
      <c r="R73" s="40"/>
      <c r="S73" s="40">
        <f t="shared" ref="S73:T73" si="341">(B72+B73)/2</f>
        <v>89.344999999999999</v>
      </c>
      <c r="T73" s="40">
        <f t="shared" si="341"/>
        <v>73.414999999999992</v>
      </c>
      <c r="U73" s="40">
        <f t="shared" si="6"/>
        <v>59.864999999999995</v>
      </c>
      <c r="V73" s="40">
        <f t="shared" ref="V73:W73" si="342">(E72+E73)/2</f>
        <v>41.875</v>
      </c>
      <c r="W73" s="40">
        <f t="shared" si="342"/>
        <v>30.565000000000001</v>
      </c>
      <c r="X73" s="41">
        <f t="shared" ref="X73:AB73" si="343">(SUM(B70:B73))/4</f>
        <v>89.509999999999991</v>
      </c>
      <c r="Y73" s="40">
        <f t="shared" si="343"/>
        <v>74.102499999999992</v>
      </c>
      <c r="Z73" s="40">
        <f t="shared" si="343"/>
        <v>59.8825</v>
      </c>
      <c r="AA73" s="40">
        <f t="shared" si="343"/>
        <v>41.622500000000002</v>
      </c>
      <c r="AB73" s="47">
        <f t="shared" si="343"/>
        <v>30.395000000000003</v>
      </c>
      <c r="AC73" s="42">
        <f t="shared" ref="AC73:AF73" si="344">(B73+C73)/2</f>
        <v>81.635000000000005</v>
      </c>
      <c r="AD73" s="42">
        <f t="shared" si="344"/>
        <v>66.814999999999998</v>
      </c>
      <c r="AE73" s="42">
        <f t="shared" si="344"/>
        <v>50.945</v>
      </c>
      <c r="AF73" s="42">
        <f t="shared" si="344"/>
        <v>36.31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8"/>
      <c r="BK73" s="8"/>
      <c r="BL73" s="8"/>
      <c r="BM73" s="8"/>
    </row>
    <row r="74" spans="1:65" ht="15.75" hidden="1" customHeight="1" x14ac:dyDescent="0.45">
      <c r="A74" s="43">
        <f t="shared" si="3"/>
        <v>41397</v>
      </c>
      <c r="B74" s="44">
        <v>89.19</v>
      </c>
      <c r="C74" s="44">
        <v>74.53</v>
      </c>
      <c r="D74" s="44">
        <v>60.15</v>
      </c>
      <c r="E74" s="44">
        <v>42.18</v>
      </c>
      <c r="F74" s="44">
        <v>30.95</v>
      </c>
      <c r="G74" s="45">
        <v>87.2</v>
      </c>
      <c r="H74" s="37">
        <f t="shared" ref="H74:L74" si="345">B74-B73</f>
        <v>-0.32000000000000739</v>
      </c>
      <c r="I74" s="38">
        <f t="shared" si="345"/>
        <v>0.76999999999999602</v>
      </c>
      <c r="J74" s="38">
        <f t="shared" si="345"/>
        <v>0.28000000000000114</v>
      </c>
      <c r="K74" s="38">
        <f t="shared" si="345"/>
        <v>0.15999999999999659</v>
      </c>
      <c r="L74" s="39">
        <f t="shared" si="345"/>
        <v>0.34999999999999787</v>
      </c>
      <c r="M74" s="38"/>
      <c r="N74" s="40"/>
      <c r="O74" s="40"/>
      <c r="P74" s="40"/>
      <c r="Q74" s="40"/>
      <c r="R74" s="40"/>
      <c r="S74" s="40">
        <f t="shared" ref="S74:T74" si="346">(B73+B74)/2</f>
        <v>89.35</v>
      </c>
      <c r="T74" s="40">
        <f t="shared" si="346"/>
        <v>74.14500000000001</v>
      </c>
      <c r="U74" s="40">
        <f t="shared" si="6"/>
        <v>60.01</v>
      </c>
      <c r="V74" s="40">
        <f t="shared" ref="V74:W74" si="347">(E73+E74)/2</f>
        <v>42.1</v>
      </c>
      <c r="W74" s="40">
        <f t="shared" si="347"/>
        <v>30.774999999999999</v>
      </c>
      <c r="X74" s="41">
        <f t="shared" ref="X74:AB74" si="348">(SUM(B71:B74))/4</f>
        <v>89.364999999999995</v>
      </c>
      <c r="Y74" s="40">
        <f t="shared" si="348"/>
        <v>74.087500000000006</v>
      </c>
      <c r="Z74" s="40">
        <f t="shared" si="348"/>
        <v>59.97</v>
      </c>
      <c r="AA74" s="40">
        <f t="shared" si="348"/>
        <v>41.847500000000004</v>
      </c>
      <c r="AB74" s="47">
        <f t="shared" si="348"/>
        <v>30.605</v>
      </c>
      <c r="AC74" s="42">
        <f t="shared" ref="AC74:AF74" si="349">(B74+C74)/2</f>
        <v>81.86</v>
      </c>
      <c r="AD74" s="42">
        <f t="shared" si="349"/>
        <v>67.34</v>
      </c>
      <c r="AE74" s="42">
        <f t="shared" si="349"/>
        <v>51.164999999999999</v>
      </c>
      <c r="AF74" s="42">
        <f t="shared" si="349"/>
        <v>36.564999999999998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8"/>
      <c r="BK74" s="8"/>
      <c r="BL74" s="8"/>
      <c r="BM74" s="8"/>
    </row>
    <row r="75" spans="1:65" ht="15.75" hidden="1" customHeight="1" x14ac:dyDescent="0.45">
      <c r="A75" s="43">
        <f t="shared" si="3"/>
        <v>41404</v>
      </c>
      <c r="B75" s="44">
        <v>89.18</v>
      </c>
      <c r="C75" s="44">
        <v>73.56</v>
      </c>
      <c r="D75" s="44">
        <v>60.1</v>
      </c>
      <c r="E75" s="44">
        <v>42.38</v>
      </c>
      <c r="F75" s="44">
        <v>30.58</v>
      </c>
      <c r="G75" s="45">
        <v>87.78</v>
      </c>
      <c r="H75" s="37">
        <f t="shared" ref="H75:L75" si="350">B75-B74</f>
        <v>-9.9999999999909051E-3</v>
      </c>
      <c r="I75" s="38">
        <f t="shared" si="350"/>
        <v>-0.96999999999999886</v>
      </c>
      <c r="J75" s="38">
        <f t="shared" si="350"/>
        <v>-4.9999999999997158E-2</v>
      </c>
      <c r="K75" s="38">
        <f t="shared" si="350"/>
        <v>0.20000000000000284</v>
      </c>
      <c r="L75" s="39">
        <f t="shared" si="350"/>
        <v>-0.37000000000000099</v>
      </c>
      <c r="M75" s="38"/>
      <c r="N75" s="40"/>
      <c r="O75" s="40"/>
      <c r="P75" s="40"/>
      <c r="Q75" s="40"/>
      <c r="R75" s="40"/>
      <c r="S75" s="40">
        <f t="shared" ref="S75:T75" si="351">(B74+B75)/2</f>
        <v>89.185000000000002</v>
      </c>
      <c r="T75" s="40">
        <f t="shared" si="351"/>
        <v>74.045000000000002</v>
      </c>
      <c r="U75" s="40">
        <f t="shared" si="6"/>
        <v>60.125</v>
      </c>
      <c r="V75" s="40">
        <f t="shared" ref="V75:W75" si="352">(E74+E75)/2</f>
        <v>42.28</v>
      </c>
      <c r="W75" s="40">
        <f t="shared" si="352"/>
        <v>30.765000000000001</v>
      </c>
      <c r="X75" s="41">
        <f t="shared" ref="X75:AB75" si="353">(SUM(B72:B75))/4</f>
        <v>89.265000000000001</v>
      </c>
      <c r="Y75" s="40">
        <f t="shared" si="353"/>
        <v>73.72999999999999</v>
      </c>
      <c r="Z75" s="40">
        <f t="shared" si="353"/>
        <v>59.994999999999997</v>
      </c>
      <c r="AA75" s="40">
        <f t="shared" si="353"/>
        <v>42.077500000000001</v>
      </c>
      <c r="AB75" s="47">
        <f t="shared" si="353"/>
        <v>30.664999999999999</v>
      </c>
      <c r="AC75" s="42">
        <f t="shared" ref="AC75:AF75" si="354">(B75+C75)/2</f>
        <v>81.37</v>
      </c>
      <c r="AD75" s="42">
        <f t="shared" si="354"/>
        <v>66.83</v>
      </c>
      <c r="AE75" s="42">
        <f t="shared" si="354"/>
        <v>51.24</v>
      </c>
      <c r="AF75" s="42">
        <f t="shared" si="354"/>
        <v>36.480000000000004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8"/>
      <c r="BK75" s="8"/>
      <c r="BL75" s="8"/>
      <c r="BM75" s="8"/>
    </row>
    <row r="76" spans="1:65" ht="15.75" hidden="1" customHeight="1" x14ac:dyDescent="0.45">
      <c r="A76" s="43">
        <f t="shared" si="3"/>
        <v>41411</v>
      </c>
      <c r="B76" s="44">
        <v>88.63</v>
      </c>
      <c r="C76" s="44">
        <v>73.69</v>
      </c>
      <c r="D76" s="44">
        <v>60.3</v>
      </c>
      <c r="E76" s="44">
        <v>42.51</v>
      </c>
      <c r="F76" s="44">
        <v>30.36</v>
      </c>
      <c r="G76" s="45">
        <v>87.93</v>
      </c>
      <c r="H76" s="37">
        <f t="shared" ref="H76:L76" si="355">B76-B75</f>
        <v>-0.55000000000001137</v>
      </c>
      <c r="I76" s="38">
        <f t="shared" si="355"/>
        <v>0.12999999999999545</v>
      </c>
      <c r="J76" s="38">
        <f t="shared" si="355"/>
        <v>0.19999999999999574</v>
      </c>
      <c r="K76" s="38">
        <f t="shared" si="355"/>
        <v>0.12999999999999545</v>
      </c>
      <c r="L76" s="39">
        <f t="shared" si="355"/>
        <v>-0.21999999999999886</v>
      </c>
      <c r="M76" s="38"/>
      <c r="N76" s="40"/>
      <c r="O76" s="40"/>
      <c r="P76" s="40"/>
      <c r="Q76" s="40"/>
      <c r="R76" s="40"/>
      <c r="S76" s="40">
        <f t="shared" ref="S76:T76" si="356">(B75+B76)/2</f>
        <v>88.905000000000001</v>
      </c>
      <c r="T76" s="40">
        <f t="shared" si="356"/>
        <v>73.625</v>
      </c>
      <c r="U76" s="40">
        <f t="shared" si="6"/>
        <v>60.2</v>
      </c>
      <c r="V76" s="40">
        <f t="shared" ref="V76:W76" si="357">(E75+E76)/2</f>
        <v>42.445</v>
      </c>
      <c r="W76" s="40">
        <f t="shared" si="357"/>
        <v>30.47</v>
      </c>
      <c r="X76" s="41">
        <f t="shared" ref="X76:AB76" si="358">(SUM(B73:B76))/4</f>
        <v>89.127499999999998</v>
      </c>
      <c r="Y76" s="40">
        <f t="shared" si="358"/>
        <v>73.885000000000005</v>
      </c>
      <c r="Z76" s="40">
        <f t="shared" si="358"/>
        <v>60.105000000000004</v>
      </c>
      <c r="AA76" s="40">
        <f t="shared" si="358"/>
        <v>42.272500000000001</v>
      </c>
      <c r="AB76" s="47">
        <f t="shared" si="358"/>
        <v>30.622499999999999</v>
      </c>
      <c r="AC76" s="42">
        <f t="shared" ref="AC76:AF76" si="359">(B76+C76)/2</f>
        <v>81.16</v>
      </c>
      <c r="AD76" s="42">
        <f t="shared" si="359"/>
        <v>66.995000000000005</v>
      </c>
      <c r="AE76" s="42">
        <f t="shared" si="359"/>
        <v>51.405000000000001</v>
      </c>
      <c r="AF76" s="42">
        <f t="shared" si="359"/>
        <v>36.435000000000002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8"/>
      <c r="BK76" s="8"/>
      <c r="BL76" s="8"/>
      <c r="BM76" s="8"/>
    </row>
    <row r="77" spans="1:65" ht="15.75" hidden="1" customHeight="1" x14ac:dyDescent="0.45">
      <c r="A77" s="43">
        <f t="shared" si="3"/>
        <v>41418</v>
      </c>
      <c r="B77" s="44">
        <v>89.46</v>
      </c>
      <c r="C77" s="44">
        <v>74.66</v>
      </c>
      <c r="D77" s="44">
        <v>60.12</v>
      </c>
      <c r="E77" s="44">
        <v>42.62</v>
      </c>
      <c r="F77" s="44">
        <v>30.81</v>
      </c>
      <c r="G77" s="45">
        <v>87.71</v>
      </c>
      <c r="H77" s="37">
        <f t="shared" ref="H77:L77" si="360">B77-B76</f>
        <v>0.82999999999999829</v>
      </c>
      <c r="I77" s="38">
        <f t="shared" si="360"/>
        <v>0.96999999999999886</v>
      </c>
      <c r="J77" s="38">
        <f t="shared" si="360"/>
        <v>-0.17999999999999972</v>
      </c>
      <c r="K77" s="38">
        <f t="shared" si="360"/>
        <v>0.10999999999999943</v>
      </c>
      <c r="L77" s="39">
        <f t="shared" si="360"/>
        <v>0.44999999999999929</v>
      </c>
      <c r="M77" s="38"/>
      <c r="N77" s="40"/>
      <c r="O77" s="40"/>
      <c r="P77" s="40"/>
      <c r="Q77" s="40"/>
      <c r="R77" s="40"/>
      <c r="S77" s="40">
        <f t="shared" ref="S77:T77" si="361">(B76+B77)/2</f>
        <v>89.044999999999987</v>
      </c>
      <c r="T77" s="40">
        <f t="shared" si="361"/>
        <v>74.174999999999997</v>
      </c>
      <c r="U77" s="40">
        <f t="shared" si="6"/>
        <v>60.209999999999994</v>
      </c>
      <c r="V77" s="40">
        <f t="shared" ref="V77:W77" si="362">(E76+E77)/2</f>
        <v>42.564999999999998</v>
      </c>
      <c r="W77" s="40">
        <f t="shared" si="362"/>
        <v>30.585000000000001</v>
      </c>
      <c r="X77" s="41">
        <f t="shared" ref="X77:AB77" si="363">(SUM(B74:B77))/4</f>
        <v>89.114999999999995</v>
      </c>
      <c r="Y77" s="40">
        <f t="shared" si="363"/>
        <v>74.11</v>
      </c>
      <c r="Z77" s="40">
        <f t="shared" si="363"/>
        <v>60.167500000000004</v>
      </c>
      <c r="AA77" s="40">
        <f t="shared" si="363"/>
        <v>42.422499999999999</v>
      </c>
      <c r="AB77" s="47">
        <f t="shared" si="363"/>
        <v>30.675000000000001</v>
      </c>
      <c r="AC77" s="42">
        <f t="shared" ref="AC77:AF77" si="364">(B77+C77)/2</f>
        <v>82.06</v>
      </c>
      <c r="AD77" s="42">
        <f t="shared" si="364"/>
        <v>67.39</v>
      </c>
      <c r="AE77" s="42">
        <f t="shared" si="364"/>
        <v>51.37</v>
      </c>
      <c r="AF77" s="42">
        <f t="shared" si="364"/>
        <v>36.714999999999996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8"/>
      <c r="BK77" s="8"/>
      <c r="BL77" s="8"/>
      <c r="BM77" s="8"/>
    </row>
    <row r="78" spans="1:65" ht="15.75" hidden="1" customHeight="1" x14ac:dyDescent="0.45">
      <c r="A78" s="43">
        <f t="shared" si="3"/>
        <v>41425</v>
      </c>
      <c r="B78" s="44">
        <v>88.93</v>
      </c>
      <c r="C78" s="44">
        <v>74.680000000000007</v>
      </c>
      <c r="D78" s="44">
        <v>60.42</v>
      </c>
      <c r="E78" s="44">
        <v>42.41</v>
      </c>
      <c r="F78" s="44">
        <v>30.86</v>
      </c>
      <c r="G78" s="45">
        <v>87.74</v>
      </c>
      <c r="H78" s="37">
        <f t="shared" ref="H78:L78" si="365">B78-B77</f>
        <v>-0.52999999999998693</v>
      </c>
      <c r="I78" s="38">
        <f t="shared" si="365"/>
        <v>2.0000000000010232E-2</v>
      </c>
      <c r="J78" s="38">
        <f t="shared" si="365"/>
        <v>0.30000000000000426</v>
      </c>
      <c r="K78" s="38">
        <f t="shared" si="365"/>
        <v>-0.21000000000000085</v>
      </c>
      <c r="L78" s="39">
        <f t="shared" si="365"/>
        <v>5.0000000000000711E-2</v>
      </c>
      <c r="M78" s="38"/>
      <c r="N78" s="40"/>
      <c r="O78" s="40"/>
      <c r="P78" s="40"/>
      <c r="Q78" s="40"/>
      <c r="R78" s="40"/>
      <c r="S78" s="40">
        <f t="shared" ref="S78:T78" si="366">(B77+B78)/2</f>
        <v>89.194999999999993</v>
      </c>
      <c r="T78" s="40">
        <f t="shared" si="366"/>
        <v>74.67</v>
      </c>
      <c r="U78" s="40">
        <f t="shared" si="6"/>
        <v>60.269999999999996</v>
      </c>
      <c r="V78" s="40">
        <f t="shared" ref="V78:W78" si="367">(E77+E78)/2</f>
        <v>42.515000000000001</v>
      </c>
      <c r="W78" s="40">
        <f t="shared" si="367"/>
        <v>30.835000000000001</v>
      </c>
      <c r="X78" s="41">
        <f t="shared" ref="X78:AB78" si="368">(SUM(B75:B78))/4</f>
        <v>89.05</v>
      </c>
      <c r="Y78" s="40">
        <f t="shared" si="368"/>
        <v>74.147500000000008</v>
      </c>
      <c r="Z78" s="40">
        <f t="shared" si="368"/>
        <v>60.234999999999999</v>
      </c>
      <c r="AA78" s="40">
        <f t="shared" si="368"/>
        <v>42.48</v>
      </c>
      <c r="AB78" s="47">
        <f t="shared" si="368"/>
        <v>30.6525</v>
      </c>
      <c r="AC78" s="42">
        <f t="shared" ref="AC78:AF78" si="369">(B78+C78)/2</f>
        <v>81.805000000000007</v>
      </c>
      <c r="AD78" s="42">
        <f t="shared" si="369"/>
        <v>67.550000000000011</v>
      </c>
      <c r="AE78" s="42">
        <f t="shared" si="369"/>
        <v>51.414999999999999</v>
      </c>
      <c r="AF78" s="42">
        <f t="shared" si="369"/>
        <v>36.634999999999998</v>
      </c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8"/>
      <c r="BK78" s="8"/>
      <c r="BL78" s="8"/>
      <c r="BM78" s="8"/>
    </row>
    <row r="79" spans="1:65" ht="15.75" hidden="1" customHeight="1" x14ac:dyDescent="0.45">
      <c r="A79" s="43">
        <f t="shared" si="3"/>
        <v>41432</v>
      </c>
      <c r="B79" s="44">
        <v>88.48</v>
      </c>
      <c r="C79" s="44">
        <v>74.05</v>
      </c>
      <c r="D79" s="44">
        <v>59.96</v>
      </c>
      <c r="E79" s="44">
        <v>42.22</v>
      </c>
      <c r="F79" s="44">
        <v>30.37</v>
      </c>
      <c r="G79" s="45">
        <v>86.62</v>
      </c>
      <c r="H79" s="37">
        <f t="shared" ref="H79:L79" si="370">B79-B78</f>
        <v>-0.45000000000000284</v>
      </c>
      <c r="I79" s="38">
        <f t="shared" si="370"/>
        <v>-0.63000000000000966</v>
      </c>
      <c r="J79" s="38">
        <f t="shared" si="370"/>
        <v>-0.46000000000000085</v>
      </c>
      <c r="K79" s="38">
        <f t="shared" si="370"/>
        <v>-0.18999999999999773</v>
      </c>
      <c r="L79" s="39">
        <f t="shared" si="370"/>
        <v>-0.48999999999999844</v>
      </c>
      <c r="M79" s="38"/>
      <c r="N79" s="40"/>
      <c r="O79" s="40"/>
      <c r="P79" s="40"/>
      <c r="Q79" s="40"/>
      <c r="R79" s="40"/>
      <c r="S79" s="40">
        <f t="shared" ref="S79:T79" si="371">(B78+B79)/2</f>
        <v>88.705000000000013</v>
      </c>
      <c r="T79" s="40">
        <f t="shared" si="371"/>
        <v>74.365000000000009</v>
      </c>
      <c r="U79" s="40">
        <f t="shared" si="6"/>
        <v>60.19</v>
      </c>
      <c r="V79" s="40">
        <f t="shared" ref="V79:W79" si="372">(E78+E79)/2</f>
        <v>42.314999999999998</v>
      </c>
      <c r="W79" s="40">
        <f t="shared" si="372"/>
        <v>30.615000000000002</v>
      </c>
      <c r="X79" s="41">
        <f t="shared" ref="X79:AB79" si="373">(SUM(B76:B79))/4</f>
        <v>88.875</v>
      </c>
      <c r="Y79" s="40">
        <f t="shared" si="373"/>
        <v>74.27</v>
      </c>
      <c r="Z79" s="40">
        <f t="shared" si="373"/>
        <v>60.199999999999996</v>
      </c>
      <c r="AA79" s="40">
        <f t="shared" si="373"/>
        <v>42.44</v>
      </c>
      <c r="AB79" s="47">
        <f t="shared" si="373"/>
        <v>30.6</v>
      </c>
      <c r="AC79" s="42">
        <f t="shared" ref="AC79:AF79" si="374">(B79+C79)/2</f>
        <v>81.265000000000001</v>
      </c>
      <c r="AD79" s="42">
        <f t="shared" si="374"/>
        <v>67.004999999999995</v>
      </c>
      <c r="AE79" s="42">
        <f t="shared" si="374"/>
        <v>51.09</v>
      </c>
      <c r="AF79" s="42">
        <f t="shared" si="374"/>
        <v>36.295000000000002</v>
      </c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8"/>
      <c r="BK79" s="8"/>
      <c r="BL79" s="8"/>
      <c r="BM79" s="8"/>
    </row>
    <row r="80" spans="1:65" ht="15.75" hidden="1" customHeight="1" x14ac:dyDescent="0.45">
      <c r="A80" s="43">
        <f t="shared" si="3"/>
        <v>41439</v>
      </c>
      <c r="B80" s="44">
        <v>84.64</v>
      </c>
      <c r="C80" s="44">
        <v>72.989999999999995</v>
      </c>
      <c r="D80" s="44">
        <v>60.08</v>
      </c>
      <c r="E80" s="44">
        <v>42.47</v>
      </c>
      <c r="F80" s="44">
        <v>30.39</v>
      </c>
      <c r="G80" s="45">
        <v>83.32</v>
      </c>
      <c r="H80" s="37">
        <f t="shared" ref="H80:L80" si="375">B80-B79</f>
        <v>-3.8400000000000034</v>
      </c>
      <c r="I80" s="38">
        <f t="shared" si="375"/>
        <v>-1.0600000000000023</v>
      </c>
      <c r="J80" s="38">
        <f t="shared" si="375"/>
        <v>0.11999999999999744</v>
      </c>
      <c r="K80" s="38">
        <f t="shared" si="375"/>
        <v>0.25</v>
      </c>
      <c r="L80" s="39">
        <f t="shared" si="375"/>
        <v>1.9999999999999574E-2</v>
      </c>
      <c r="M80" s="38"/>
      <c r="N80" s="40"/>
      <c r="O80" s="40"/>
      <c r="P80" s="40"/>
      <c r="Q80" s="40"/>
      <c r="R80" s="40"/>
      <c r="S80" s="40">
        <f t="shared" ref="S80:T80" si="376">(B79+B80)/2</f>
        <v>86.56</v>
      </c>
      <c r="T80" s="40">
        <f t="shared" si="376"/>
        <v>73.52</v>
      </c>
      <c r="U80" s="40">
        <f t="shared" si="6"/>
        <v>60.019999999999996</v>
      </c>
      <c r="V80" s="40">
        <f t="shared" ref="V80:W80" si="377">(E79+E80)/2</f>
        <v>42.344999999999999</v>
      </c>
      <c r="W80" s="40">
        <f t="shared" si="377"/>
        <v>30.380000000000003</v>
      </c>
      <c r="X80" s="41">
        <f t="shared" ref="X80:AB80" si="378">(SUM(B77:B80))/4</f>
        <v>87.877499999999998</v>
      </c>
      <c r="Y80" s="40">
        <f t="shared" si="378"/>
        <v>74.094999999999999</v>
      </c>
      <c r="Z80" s="40">
        <f t="shared" si="378"/>
        <v>60.144999999999996</v>
      </c>
      <c r="AA80" s="40">
        <f t="shared" si="378"/>
        <v>42.43</v>
      </c>
      <c r="AB80" s="47">
        <f t="shared" si="378"/>
        <v>30.607500000000002</v>
      </c>
      <c r="AC80" s="42">
        <f t="shared" ref="AC80:AF80" si="379">(B80+C80)/2</f>
        <v>78.814999999999998</v>
      </c>
      <c r="AD80" s="42">
        <f t="shared" si="379"/>
        <v>66.534999999999997</v>
      </c>
      <c r="AE80" s="42">
        <f t="shared" si="379"/>
        <v>51.274999999999999</v>
      </c>
      <c r="AF80" s="42">
        <f t="shared" si="379"/>
        <v>36.43</v>
      </c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8"/>
      <c r="BK80" s="8"/>
      <c r="BL80" s="8"/>
      <c r="BM80" s="8"/>
    </row>
    <row r="81" spans="1:65" ht="15.75" hidden="1" customHeight="1" x14ac:dyDescent="0.45">
      <c r="A81" s="43">
        <f t="shared" si="3"/>
        <v>41446</v>
      </c>
      <c r="B81" s="44">
        <v>83.65</v>
      </c>
      <c r="C81" s="44">
        <v>72.930000000000007</v>
      </c>
      <c r="D81" s="44">
        <v>59.65</v>
      </c>
      <c r="E81" s="44">
        <v>42.4</v>
      </c>
      <c r="F81" s="44">
        <v>30.51</v>
      </c>
      <c r="G81" s="45">
        <v>82.26</v>
      </c>
      <c r="H81" s="37">
        <f t="shared" ref="H81:L81" si="380">B81-B80</f>
        <v>-0.98999999999999488</v>
      </c>
      <c r="I81" s="38">
        <f t="shared" si="380"/>
        <v>-5.9999999999988063E-2</v>
      </c>
      <c r="J81" s="38">
        <f t="shared" si="380"/>
        <v>-0.42999999999999972</v>
      </c>
      <c r="K81" s="38">
        <f t="shared" si="380"/>
        <v>-7.0000000000000284E-2</v>
      </c>
      <c r="L81" s="39">
        <f t="shared" si="380"/>
        <v>0.12000000000000099</v>
      </c>
      <c r="M81" s="38"/>
      <c r="N81" s="40"/>
      <c r="O81" s="40"/>
      <c r="P81" s="40"/>
      <c r="Q81" s="40"/>
      <c r="R81" s="40"/>
      <c r="S81" s="40">
        <f t="shared" ref="S81:T81" si="381">(B80+B81)/2</f>
        <v>84.14500000000001</v>
      </c>
      <c r="T81" s="40">
        <f t="shared" si="381"/>
        <v>72.960000000000008</v>
      </c>
      <c r="U81" s="40">
        <f t="shared" si="6"/>
        <v>59.864999999999995</v>
      </c>
      <c r="V81" s="40">
        <f t="shared" ref="V81:W81" si="382">(E80+E81)/2</f>
        <v>42.435000000000002</v>
      </c>
      <c r="W81" s="40">
        <f t="shared" si="382"/>
        <v>30.450000000000003</v>
      </c>
      <c r="X81" s="41">
        <f t="shared" ref="X81:AB81" si="383">(SUM(B78:B81))/4</f>
        <v>86.425000000000011</v>
      </c>
      <c r="Y81" s="40">
        <f t="shared" si="383"/>
        <v>73.662500000000009</v>
      </c>
      <c r="Z81" s="40">
        <f t="shared" si="383"/>
        <v>60.027499999999996</v>
      </c>
      <c r="AA81" s="40">
        <f t="shared" si="383"/>
        <v>42.375</v>
      </c>
      <c r="AB81" s="47">
        <f t="shared" si="383"/>
        <v>30.532500000000002</v>
      </c>
      <c r="AC81" s="42">
        <f t="shared" ref="AC81:AF81" si="384">(B81+C81)/2</f>
        <v>78.290000000000006</v>
      </c>
      <c r="AD81" s="42">
        <f t="shared" si="384"/>
        <v>66.290000000000006</v>
      </c>
      <c r="AE81" s="42">
        <f t="shared" si="384"/>
        <v>51.024999999999999</v>
      </c>
      <c r="AF81" s="42">
        <f t="shared" si="384"/>
        <v>36.454999999999998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8"/>
      <c r="BK81" s="8"/>
      <c r="BL81" s="8"/>
      <c r="BM81" s="8"/>
    </row>
    <row r="82" spans="1:65" ht="15.75" hidden="1" customHeight="1" x14ac:dyDescent="0.45">
      <c r="A82" s="43">
        <f t="shared" si="3"/>
        <v>41453</v>
      </c>
      <c r="B82" s="44">
        <v>80.7</v>
      </c>
      <c r="C82" s="44">
        <v>71.959999999999994</v>
      </c>
      <c r="D82" s="44">
        <v>59.3</v>
      </c>
      <c r="E82" s="44">
        <v>42.24</v>
      </c>
      <c r="F82" s="44">
        <v>30.27</v>
      </c>
      <c r="G82" s="45">
        <v>78.89</v>
      </c>
      <c r="H82" s="37">
        <f t="shared" ref="H82:L82" si="385">B82-B81</f>
        <v>-2.9500000000000028</v>
      </c>
      <c r="I82" s="38">
        <f t="shared" si="385"/>
        <v>-0.97000000000001307</v>
      </c>
      <c r="J82" s="38">
        <f t="shared" si="385"/>
        <v>-0.35000000000000142</v>
      </c>
      <c r="K82" s="38">
        <f t="shared" si="385"/>
        <v>-0.15999999999999659</v>
      </c>
      <c r="L82" s="39">
        <f t="shared" si="385"/>
        <v>-0.24000000000000199</v>
      </c>
      <c r="M82" s="38"/>
      <c r="N82" s="40"/>
      <c r="O82" s="40"/>
      <c r="P82" s="40"/>
      <c r="Q82" s="40"/>
      <c r="R82" s="40"/>
      <c r="S82" s="40">
        <f t="shared" ref="S82:T82" si="386">(B81+B82)/2</f>
        <v>82.175000000000011</v>
      </c>
      <c r="T82" s="40">
        <f t="shared" si="386"/>
        <v>72.444999999999993</v>
      </c>
      <c r="U82" s="40">
        <f t="shared" si="6"/>
        <v>59.474999999999994</v>
      </c>
      <c r="V82" s="40">
        <f t="shared" ref="V82:W82" si="387">(E81+E82)/2</f>
        <v>42.32</v>
      </c>
      <c r="W82" s="40">
        <f t="shared" si="387"/>
        <v>30.39</v>
      </c>
      <c r="X82" s="41">
        <f t="shared" ref="X82:AB82" si="388">(SUM(B79:B82))/4</f>
        <v>84.367499999999993</v>
      </c>
      <c r="Y82" s="40">
        <f t="shared" si="388"/>
        <v>72.982500000000002</v>
      </c>
      <c r="Z82" s="40">
        <f t="shared" si="388"/>
        <v>59.747500000000002</v>
      </c>
      <c r="AA82" s="40">
        <f t="shared" si="388"/>
        <v>42.332500000000003</v>
      </c>
      <c r="AB82" s="47">
        <f t="shared" si="388"/>
        <v>30.385000000000002</v>
      </c>
      <c r="AC82" s="42">
        <f t="shared" ref="AC82:AF82" si="389">(B82+C82)/2</f>
        <v>76.33</v>
      </c>
      <c r="AD82" s="42">
        <f t="shared" si="389"/>
        <v>65.63</v>
      </c>
      <c r="AE82" s="42">
        <f t="shared" si="389"/>
        <v>50.769999999999996</v>
      </c>
      <c r="AF82" s="42">
        <f t="shared" si="389"/>
        <v>36.255000000000003</v>
      </c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8"/>
      <c r="BK82" s="8"/>
      <c r="BL82" s="8"/>
      <c r="BM82" s="8"/>
    </row>
    <row r="83" spans="1:65" ht="15.75" hidden="1" customHeight="1" x14ac:dyDescent="0.45">
      <c r="A83" s="43">
        <f t="shared" si="3"/>
        <v>41460</v>
      </c>
      <c r="B83" s="44">
        <v>79.760000000000005</v>
      </c>
      <c r="C83" s="44">
        <v>70.81</v>
      </c>
      <c r="D83" s="44">
        <v>59.49</v>
      </c>
      <c r="E83" s="44">
        <v>42.55</v>
      </c>
      <c r="F83" s="44">
        <v>30.45</v>
      </c>
      <c r="G83" s="45">
        <v>77.040000000000006</v>
      </c>
      <c r="H83" s="37">
        <f t="shared" ref="H83:L83" si="390">B83-B82</f>
        <v>-0.93999999999999773</v>
      </c>
      <c r="I83" s="38">
        <f t="shared" si="390"/>
        <v>-1.1499999999999915</v>
      </c>
      <c r="J83" s="38">
        <f t="shared" si="390"/>
        <v>0.19000000000000483</v>
      </c>
      <c r="K83" s="38">
        <f t="shared" si="390"/>
        <v>0.30999999999999517</v>
      </c>
      <c r="L83" s="39">
        <f t="shared" si="390"/>
        <v>0.17999999999999972</v>
      </c>
      <c r="M83" s="38"/>
      <c r="N83" s="40"/>
      <c r="O83" s="40"/>
      <c r="P83" s="40"/>
      <c r="Q83" s="40"/>
      <c r="R83" s="40"/>
      <c r="S83" s="40">
        <f t="shared" ref="S83:T83" si="391">(B82+B83)/2</f>
        <v>80.23</v>
      </c>
      <c r="T83" s="40">
        <f t="shared" si="391"/>
        <v>71.384999999999991</v>
      </c>
      <c r="U83" s="40">
        <f t="shared" si="6"/>
        <v>59.394999999999996</v>
      </c>
      <c r="V83" s="40">
        <f t="shared" ref="V83:W83" si="392">(E82+E83)/2</f>
        <v>42.394999999999996</v>
      </c>
      <c r="W83" s="40">
        <f t="shared" si="392"/>
        <v>30.36</v>
      </c>
      <c r="X83" s="41">
        <f t="shared" ref="X83:AB83" si="393">(SUM(B80:B83))/4</f>
        <v>82.1875</v>
      </c>
      <c r="Y83" s="40">
        <f t="shared" si="393"/>
        <v>72.172499999999999</v>
      </c>
      <c r="Z83" s="40">
        <f t="shared" si="393"/>
        <v>59.629999999999995</v>
      </c>
      <c r="AA83" s="40">
        <f t="shared" si="393"/>
        <v>42.415000000000006</v>
      </c>
      <c r="AB83" s="47">
        <f t="shared" si="393"/>
        <v>30.405000000000001</v>
      </c>
      <c r="AC83" s="42">
        <f t="shared" ref="AC83:AF83" si="394">(B83+C83)/2</f>
        <v>75.284999999999997</v>
      </c>
      <c r="AD83" s="42">
        <f t="shared" si="394"/>
        <v>65.150000000000006</v>
      </c>
      <c r="AE83" s="42">
        <f t="shared" si="394"/>
        <v>51.019999999999996</v>
      </c>
      <c r="AF83" s="42">
        <f t="shared" si="394"/>
        <v>36.5</v>
      </c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8"/>
      <c r="BK83" s="8"/>
      <c r="BL83" s="8"/>
      <c r="BM83" s="8"/>
    </row>
    <row r="84" spans="1:65" ht="15.75" hidden="1" customHeight="1" x14ac:dyDescent="0.45">
      <c r="A84" s="43">
        <f t="shared" si="3"/>
        <v>41467</v>
      </c>
      <c r="B84" s="44">
        <v>79.28</v>
      </c>
      <c r="C84" s="44">
        <v>70.84</v>
      </c>
      <c r="D84" s="44">
        <v>59.05</v>
      </c>
      <c r="E84" s="44">
        <v>42.44</v>
      </c>
      <c r="F84" s="44">
        <v>30.5</v>
      </c>
      <c r="G84" s="45">
        <v>77.11</v>
      </c>
      <c r="H84" s="37">
        <f t="shared" ref="H84:L84" si="395">B84-B83</f>
        <v>-0.48000000000000398</v>
      </c>
      <c r="I84" s="38">
        <f t="shared" si="395"/>
        <v>3.0000000000001137E-2</v>
      </c>
      <c r="J84" s="38">
        <f t="shared" si="395"/>
        <v>-0.44000000000000483</v>
      </c>
      <c r="K84" s="38">
        <f t="shared" si="395"/>
        <v>-0.10999999999999943</v>
      </c>
      <c r="L84" s="39">
        <f t="shared" si="395"/>
        <v>5.0000000000000711E-2</v>
      </c>
      <c r="M84" s="38"/>
      <c r="N84" s="40"/>
      <c r="O84" s="40"/>
      <c r="P84" s="40"/>
      <c r="Q84" s="40"/>
      <c r="R84" s="40"/>
      <c r="S84" s="40">
        <f t="shared" ref="S84:T84" si="396">(B83+B84)/2</f>
        <v>79.52000000000001</v>
      </c>
      <c r="T84" s="40">
        <f t="shared" si="396"/>
        <v>70.825000000000003</v>
      </c>
      <c r="U84" s="40">
        <f t="shared" si="6"/>
        <v>59.269999999999996</v>
      </c>
      <c r="V84" s="40">
        <f t="shared" ref="V84:W84" si="397">(E83+E84)/2</f>
        <v>42.494999999999997</v>
      </c>
      <c r="W84" s="40">
        <f t="shared" si="397"/>
        <v>30.475000000000001</v>
      </c>
      <c r="X84" s="41">
        <f t="shared" ref="X84:AB84" si="398">(SUM(B81:B84))/4</f>
        <v>80.847499999999997</v>
      </c>
      <c r="Y84" s="40">
        <f t="shared" si="398"/>
        <v>71.634999999999991</v>
      </c>
      <c r="Z84" s="40">
        <f t="shared" si="398"/>
        <v>59.372500000000002</v>
      </c>
      <c r="AA84" s="40">
        <f t="shared" si="398"/>
        <v>42.407499999999999</v>
      </c>
      <c r="AB84" s="47">
        <f t="shared" si="398"/>
        <v>30.432500000000001</v>
      </c>
      <c r="AC84" s="42">
        <f t="shared" ref="AC84:AF84" si="399">(B84+C84)/2</f>
        <v>75.06</v>
      </c>
      <c r="AD84" s="42">
        <f t="shared" si="399"/>
        <v>64.944999999999993</v>
      </c>
      <c r="AE84" s="42">
        <f t="shared" si="399"/>
        <v>50.744999999999997</v>
      </c>
      <c r="AF84" s="42">
        <f t="shared" si="399"/>
        <v>36.47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8"/>
      <c r="BK84" s="8"/>
      <c r="BL84" s="8"/>
      <c r="BM84" s="8"/>
    </row>
    <row r="85" spans="1:65" ht="15.75" hidden="1" customHeight="1" x14ac:dyDescent="0.45">
      <c r="A85" s="43">
        <f t="shared" si="3"/>
        <v>41474</v>
      </c>
      <c r="B85" s="44">
        <v>78.95</v>
      </c>
      <c r="C85" s="44">
        <v>69.88</v>
      </c>
      <c r="D85" s="44">
        <v>58.44</v>
      </c>
      <c r="E85" s="44">
        <v>42.2</v>
      </c>
      <c r="F85" s="44">
        <v>30.11</v>
      </c>
      <c r="G85" s="45">
        <v>77.53</v>
      </c>
      <c r="H85" s="37">
        <f t="shared" ref="H85:L85" si="400">B85-B84</f>
        <v>-0.32999999999999829</v>
      </c>
      <c r="I85" s="38">
        <f t="shared" si="400"/>
        <v>-0.96000000000000796</v>
      </c>
      <c r="J85" s="38">
        <f t="shared" si="400"/>
        <v>-0.60999999999999943</v>
      </c>
      <c r="K85" s="38">
        <f t="shared" si="400"/>
        <v>-0.23999999999999488</v>
      </c>
      <c r="L85" s="39">
        <f t="shared" si="400"/>
        <v>-0.39000000000000057</v>
      </c>
      <c r="M85" s="38"/>
      <c r="N85" s="40"/>
      <c r="O85" s="40"/>
      <c r="P85" s="40"/>
      <c r="Q85" s="40"/>
      <c r="R85" s="40"/>
      <c r="S85" s="40">
        <f t="shared" ref="S85:T85" si="401">(B84+B85)/2</f>
        <v>79.115000000000009</v>
      </c>
      <c r="T85" s="40">
        <f t="shared" si="401"/>
        <v>70.36</v>
      </c>
      <c r="U85" s="40">
        <f t="shared" si="6"/>
        <v>58.744999999999997</v>
      </c>
      <c r="V85" s="40">
        <f t="shared" ref="V85:W85" si="402">(E84+E85)/2</f>
        <v>42.32</v>
      </c>
      <c r="W85" s="40">
        <f t="shared" si="402"/>
        <v>30.305</v>
      </c>
      <c r="X85" s="41">
        <f t="shared" ref="X85:AB85" si="403">(SUM(B82:B85))/4</f>
        <v>79.672499999999999</v>
      </c>
      <c r="Y85" s="40">
        <f t="shared" si="403"/>
        <v>70.872500000000002</v>
      </c>
      <c r="Z85" s="40">
        <f t="shared" si="403"/>
        <v>59.069999999999993</v>
      </c>
      <c r="AA85" s="40">
        <f t="shared" si="403"/>
        <v>42.357500000000002</v>
      </c>
      <c r="AB85" s="47">
        <f t="shared" si="403"/>
        <v>30.3325</v>
      </c>
      <c r="AC85" s="42">
        <f t="shared" ref="AC85:AF85" si="404">(B85+C85)/2</f>
        <v>74.414999999999992</v>
      </c>
      <c r="AD85" s="42">
        <f t="shared" si="404"/>
        <v>64.16</v>
      </c>
      <c r="AE85" s="42">
        <f t="shared" si="404"/>
        <v>50.32</v>
      </c>
      <c r="AF85" s="42">
        <f t="shared" si="404"/>
        <v>36.155000000000001</v>
      </c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8"/>
      <c r="BK85" s="8"/>
      <c r="BL85" s="8"/>
      <c r="BM85" s="8"/>
    </row>
    <row r="86" spans="1:65" ht="15.75" hidden="1" customHeight="1" x14ac:dyDescent="0.45">
      <c r="A86" s="43">
        <f t="shared" si="3"/>
        <v>41481</v>
      </c>
      <c r="B86" s="44">
        <v>79.02</v>
      </c>
      <c r="C86" s="44">
        <v>69.72</v>
      </c>
      <c r="D86" s="44">
        <v>58.03</v>
      </c>
      <c r="E86" s="44">
        <v>41.82</v>
      </c>
      <c r="F86" s="44">
        <v>31.02</v>
      </c>
      <c r="G86" s="45">
        <v>77.55</v>
      </c>
      <c r="H86" s="37">
        <f t="shared" ref="H86:L86" si="405">B86-B85</f>
        <v>6.9999999999993179E-2</v>
      </c>
      <c r="I86" s="38">
        <f t="shared" si="405"/>
        <v>-0.15999999999999659</v>
      </c>
      <c r="J86" s="38">
        <f t="shared" si="405"/>
        <v>-0.40999999999999659</v>
      </c>
      <c r="K86" s="38">
        <f t="shared" si="405"/>
        <v>-0.38000000000000256</v>
      </c>
      <c r="L86" s="39">
        <f t="shared" si="405"/>
        <v>0.91000000000000014</v>
      </c>
      <c r="M86" s="38"/>
      <c r="N86" s="40"/>
      <c r="O86" s="40"/>
      <c r="P86" s="40"/>
      <c r="Q86" s="40"/>
      <c r="R86" s="40"/>
      <c r="S86" s="40">
        <f t="shared" ref="S86:T86" si="406">(B85+B86)/2</f>
        <v>78.984999999999999</v>
      </c>
      <c r="T86" s="40">
        <f t="shared" si="406"/>
        <v>69.8</v>
      </c>
      <c r="U86" s="40">
        <f t="shared" si="6"/>
        <v>58.234999999999999</v>
      </c>
      <c r="V86" s="40">
        <f t="shared" ref="V86:W86" si="407">(E85+E86)/2</f>
        <v>42.010000000000005</v>
      </c>
      <c r="W86" s="40">
        <f t="shared" si="407"/>
        <v>30.564999999999998</v>
      </c>
      <c r="X86" s="41">
        <f t="shared" ref="X86:AB86" si="408">(SUM(B83:B86))/4</f>
        <v>79.252499999999998</v>
      </c>
      <c r="Y86" s="40">
        <f t="shared" si="408"/>
        <v>70.3125</v>
      </c>
      <c r="Z86" s="40">
        <f t="shared" si="408"/>
        <v>58.752499999999998</v>
      </c>
      <c r="AA86" s="40">
        <f t="shared" si="408"/>
        <v>42.252499999999998</v>
      </c>
      <c r="AB86" s="47">
        <f t="shared" si="408"/>
        <v>30.52</v>
      </c>
      <c r="AC86" s="42">
        <f t="shared" ref="AC86:AF86" si="409">(B86+C86)/2</f>
        <v>74.37</v>
      </c>
      <c r="AD86" s="42">
        <f t="shared" si="409"/>
        <v>63.875</v>
      </c>
      <c r="AE86" s="42">
        <f t="shared" si="409"/>
        <v>49.924999999999997</v>
      </c>
      <c r="AF86" s="42">
        <f t="shared" si="409"/>
        <v>36.42</v>
      </c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8"/>
      <c r="BK86" s="8"/>
      <c r="BL86" s="8"/>
      <c r="BM86" s="8"/>
    </row>
    <row r="87" spans="1:65" ht="15.75" hidden="1" customHeight="1" x14ac:dyDescent="0.45">
      <c r="A87" s="43">
        <f t="shared" si="3"/>
        <v>41488</v>
      </c>
      <c r="B87" s="44">
        <v>79.06</v>
      </c>
      <c r="C87" s="44">
        <v>69.17</v>
      </c>
      <c r="D87" s="44">
        <v>58.41</v>
      </c>
      <c r="E87" s="44">
        <v>41.84</v>
      </c>
      <c r="F87" s="44">
        <v>30.69</v>
      </c>
      <c r="G87" s="45">
        <v>77.17</v>
      </c>
      <c r="H87" s="37">
        <f t="shared" ref="H87:L87" si="410">B87-B86</f>
        <v>4.0000000000006253E-2</v>
      </c>
      <c r="I87" s="38">
        <f t="shared" si="410"/>
        <v>-0.54999999999999716</v>
      </c>
      <c r="J87" s="38">
        <f t="shared" si="410"/>
        <v>0.37999999999999545</v>
      </c>
      <c r="K87" s="38">
        <f t="shared" si="410"/>
        <v>2.0000000000003126E-2</v>
      </c>
      <c r="L87" s="39">
        <f t="shared" si="410"/>
        <v>-0.32999999999999829</v>
      </c>
      <c r="M87" s="38"/>
      <c r="N87" s="40"/>
      <c r="O87" s="40"/>
      <c r="P87" s="40"/>
      <c r="Q87" s="40"/>
      <c r="R87" s="40"/>
      <c r="S87" s="40">
        <f t="shared" ref="S87:T87" si="411">(B86+B87)/2</f>
        <v>79.039999999999992</v>
      </c>
      <c r="T87" s="40">
        <f t="shared" si="411"/>
        <v>69.444999999999993</v>
      </c>
      <c r="U87" s="40">
        <f t="shared" si="6"/>
        <v>58.22</v>
      </c>
      <c r="V87" s="40">
        <f t="shared" ref="V87:W87" si="412">(E86+E87)/2</f>
        <v>41.83</v>
      </c>
      <c r="W87" s="40">
        <f t="shared" si="412"/>
        <v>30.855</v>
      </c>
      <c r="X87" s="41">
        <f t="shared" ref="X87:AB87" si="413">(SUM(B84:B87))/4</f>
        <v>79.077500000000001</v>
      </c>
      <c r="Y87" s="40">
        <f t="shared" si="413"/>
        <v>69.902500000000003</v>
      </c>
      <c r="Z87" s="40">
        <f t="shared" si="413"/>
        <v>58.482499999999995</v>
      </c>
      <c r="AA87" s="40">
        <f t="shared" si="413"/>
        <v>42.075000000000003</v>
      </c>
      <c r="AB87" s="47">
        <f t="shared" si="413"/>
        <v>30.58</v>
      </c>
      <c r="AC87" s="42">
        <f t="shared" ref="AC87:AF87" si="414">(B87+C87)/2</f>
        <v>74.115000000000009</v>
      </c>
      <c r="AD87" s="42">
        <f t="shared" si="414"/>
        <v>63.79</v>
      </c>
      <c r="AE87" s="42">
        <f t="shared" si="414"/>
        <v>50.125</v>
      </c>
      <c r="AF87" s="42">
        <f t="shared" si="414"/>
        <v>36.265000000000001</v>
      </c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8"/>
      <c r="BK87" s="8"/>
      <c r="BL87" s="8"/>
      <c r="BM87" s="8"/>
    </row>
    <row r="88" spans="1:65" ht="15.75" hidden="1" customHeight="1" x14ac:dyDescent="0.45">
      <c r="A88" s="43">
        <f t="shared" si="3"/>
        <v>41495</v>
      </c>
      <c r="B88" s="44">
        <v>79.03</v>
      </c>
      <c r="C88" s="44">
        <v>69.81</v>
      </c>
      <c r="D88" s="44">
        <v>58.38</v>
      </c>
      <c r="E88" s="44">
        <v>41.86</v>
      </c>
      <c r="F88" s="44">
        <v>30.57</v>
      </c>
      <c r="G88" s="45">
        <v>76.94</v>
      </c>
      <c r="H88" s="37">
        <f t="shared" ref="H88:L88" si="415">B88-B87</f>
        <v>-3.0000000000001137E-2</v>
      </c>
      <c r="I88" s="38">
        <f t="shared" si="415"/>
        <v>0.64000000000000057</v>
      </c>
      <c r="J88" s="38">
        <f t="shared" si="415"/>
        <v>-2.9999999999994031E-2</v>
      </c>
      <c r="K88" s="38">
        <f t="shared" si="415"/>
        <v>1.9999999999996021E-2</v>
      </c>
      <c r="L88" s="39">
        <f t="shared" si="415"/>
        <v>-0.12000000000000099</v>
      </c>
      <c r="M88" s="38"/>
      <c r="N88" s="40"/>
      <c r="O88" s="40"/>
      <c r="P88" s="40"/>
      <c r="Q88" s="40"/>
      <c r="R88" s="40"/>
      <c r="S88" s="40">
        <f t="shared" ref="S88:T88" si="416">(B87+B88)/2</f>
        <v>79.045000000000002</v>
      </c>
      <c r="T88" s="40">
        <f t="shared" si="416"/>
        <v>69.490000000000009</v>
      </c>
      <c r="U88" s="40">
        <f t="shared" si="6"/>
        <v>58.394999999999996</v>
      </c>
      <c r="V88" s="40">
        <f t="shared" ref="V88:W88" si="417">(E87+E88)/2</f>
        <v>41.85</v>
      </c>
      <c r="W88" s="40">
        <f t="shared" si="417"/>
        <v>30.630000000000003</v>
      </c>
      <c r="X88" s="41">
        <f t="shared" ref="X88:AB88" si="418">(SUM(B85:B88))/4</f>
        <v>79.015000000000001</v>
      </c>
      <c r="Y88" s="40">
        <f t="shared" si="418"/>
        <v>69.644999999999996</v>
      </c>
      <c r="Z88" s="40">
        <f t="shared" si="418"/>
        <v>58.314999999999998</v>
      </c>
      <c r="AA88" s="40">
        <f t="shared" si="418"/>
        <v>41.930000000000007</v>
      </c>
      <c r="AB88" s="47">
        <f t="shared" si="418"/>
        <v>30.597499999999997</v>
      </c>
      <c r="AC88" s="42">
        <f t="shared" ref="AC88:AF88" si="419">(B88+C88)/2</f>
        <v>74.42</v>
      </c>
      <c r="AD88" s="42">
        <f t="shared" si="419"/>
        <v>64.094999999999999</v>
      </c>
      <c r="AE88" s="42">
        <f t="shared" si="419"/>
        <v>50.120000000000005</v>
      </c>
      <c r="AF88" s="42">
        <f t="shared" si="419"/>
        <v>36.215000000000003</v>
      </c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8"/>
      <c r="BK88" s="8"/>
      <c r="BL88" s="8"/>
      <c r="BM88" s="8"/>
    </row>
    <row r="89" spans="1:65" ht="15.75" hidden="1" customHeight="1" x14ac:dyDescent="0.45">
      <c r="A89" s="43">
        <f t="shared" si="3"/>
        <v>41502</v>
      </c>
      <c r="B89" s="44">
        <v>78.8</v>
      </c>
      <c r="C89" s="44">
        <v>69.31</v>
      </c>
      <c r="D89" s="44">
        <v>58.29</v>
      </c>
      <c r="E89" s="44">
        <v>41.63</v>
      </c>
      <c r="F89" s="44">
        <v>30.15</v>
      </c>
      <c r="G89" s="45">
        <v>79.58</v>
      </c>
      <c r="H89" s="37">
        <f t="shared" ref="H89:L89" si="420">B89-B88</f>
        <v>-0.23000000000000398</v>
      </c>
      <c r="I89" s="38">
        <f t="shared" si="420"/>
        <v>-0.5</v>
      </c>
      <c r="J89" s="38">
        <f t="shared" si="420"/>
        <v>-9.0000000000003411E-2</v>
      </c>
      <c r="K89" s="38">
        <f t="shared" si="420"/>
        <v>-0.22999999999999687</v>
      </c>
      <c r="L89" s="39">
        <f t="shared" si="420"/>
        <v>-0.42000000000000171</v>
      </c>
      <c r="M89" s="38"/>
      <c r="N89" s="40"/>
      <c r="O89" s="40"/>
      <c r="P89" s="40"/>
      <c r="Q89" s="40"/>
      <c r="R89" s="40"/>
      <c r="S89" s="40">
        <f t="shared" ref="S89:T89" si="421">(B88+B89)/2</f>
        <v>78.914999999999992</v>
      </c>
      <c r="T89" s="40">
        <f t="shared" si="421"/>
        <v>69.56</v>
      </c>
      <c r="U89" s="40">
        <f t="shared" si="6"/>
        <v>58.335000000000001</v>
      </c>
      <c r="V89" s="40">
        <f t="shared" ref="V89:W89" si="422">(E88+E89)/2</f>
        <v>41.745000000000005</v>
      </c>
      <c r="W89" s="40">
        <f t="shared" si="422"/>
        <v>30.36</v>
      </c>
      <c r="X89" s="41">
        <f t="shared" ref="X89:AB89" si="423">(SUM(B86:B89))/4</f>
        <v>78.977499999999992</v>
      </c>
      <c r="Y89" s="40">
        <f t="shared" si="423"/>
        <v>69.502499999999998</v>
      </c>
      <c r="Z89" s="40">
        <f t="shared" si="423"/>
        <v>58.277499999999996</v>
      </c>
      <c r="AA89" s="40">
        <f t="shared" si="423"/>
        <v>41.787500000000001</v>
      </c>
      <c r="AB89" s="47">
        <f t="shared" si="423"/>
        <v>30.607500000000002</v>
      </c>
      <c r="AC89" s="42">
        <f t="shared" ref="AC89:AF89" si="424">(B89+C89)/2</f>
        <v>74.055000000000007</v>
      </c>
      <c r="AD89" s="42">
        <f t="shared" si="424"/>
        <v>63.8</v>
      </c>
      <c r="AE89" s="42">
        <f t="shared" si="424"/>
        <v>49.96</v>
      </c>
      <c r="AF89" s="42">
        <f t="shared" si="424"/>
        <v>35.89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8"/>
      <c r="BK89" s="8"/>
      <c r="BL89" s="8"/>
      <c r="BM89" s="8"/>
    </row>
    <row r="90" spans="1:65" ht="15.75" hidden="1" customHeight="1" x14ac:dyDescent="0.45">
      <c r="A90" s="43">
        <f t="shared" si="3"/>
        <v>41509</v>
      </c>
      <c r="B90" s="44">
        <v>79.2</v>
      </c>
      <c r="C90" s="44">
        <v>68.91</v>
      </c>
      <c r="D90" s="44">
        <v>59.2</v>
      </c>
      <c r="E90" s="44">
        <v>41.59</v>
      </c>
      <c r="F90" s="44">
        <v>30.09</v>
      </c>
      <c r="G90" s="45">
        <v>79.27</v>
      </c>
      <c r="H90" s="37">
        <f t="shared" ref="H90:L90" si="425">B90-B89</f>
        <v>0.40000000000000568</v>
      </c>
      <c r="I90" s="38">
        <f t="shared" si="425"/>
        <v>-0.40000000000000568</v>
      </c>
      <c r="J90" s="38">
        <f t="shared" si="425"/>
        <v>0.91000000000000369</v>
      </c>
      <c r="K90" s="38">
        <f t="shared" si="425"/>
        <v>-3.9999999999999147E-2</v>
      </c>
      <c r="L90" s="39">
        <f t="shared" si="425"/>
        <v>-5.9999999999998721E-2</v>
      </c>
      <c r="M90" s="38"/>
      <c r="N90" s="40"/>
      <c r="O90" s="40"/>
      <c r="P90" s="40"/>
      <c r="Q90" s="40"/>
      <c r="R90" s="40"/>
      <c r="S90" s="40">
        <f t="shared" ref="S90:T90" si="426">(B89+B90)/2</f>
        <v>79</v>
      </c>
      <c r="T90" s="40">
        <f t="shared" si="426"/>
        <v>69.11</v>
      </c>
      <c r="U90" s="40">
        <f t="shared" si="6"/>
        <v>58.745000000000005</v>
      </c>
      <c r="V90" s="40">
        <f t="shared" ref="V90:W90" si="427">(E89+E90)/2</f>
        <v>41.61</v>
      </c>
      <c r="W90" s="40">
        <f t="shared" si="427"/>
        <v>30.119999999999997</v>
      </c>
      <c r="X90" s="41">
        <f t="shared" ref="X90:AB90" si="428">(SUM(B87:B90))/4</f>
        <v>79.022499999999994</v>
      </c>
      <c r="Y90" s="40">
        <f t="shared" si="428"/>
        <v>69.300000000000011</v>
      </c>
      <c r="Z90" s="40">
        <f t="shared" si="428"/>
        <v>58.569999999999993</v>
      </c>
      <c r="AA90" s="40">
        <f t="shared" si="428"/>
        <v>41.730000000000004</v>
      </c>
      <c r="AB90" s="47">
        <f t="shared" si="428"/>
        <v>30.375</v>
      </c>
      <c r="AC90" s="42">
        <f t="shared" ref="AC90:AF90" si="429">(B90+C90)/2</f>
        <v>74.055000000000007</v>
      </c>
      <c r="AD90" s="42">
        <f t="shared" si="429"/>
        <v>64.055000000000007</v>
      </c>
      <c r="AE90" s="42">
        <f t="shared" si="429"/>
        <v>50.395000000000003</v>
      </c>
      <c r="AF90" s="42">
        <f t="shared" si="429"/>
        <v>35.840000000000003</v>
      </c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8"/>
      <c r="BK90" s="8"/>
      <c r="BL90" s="8"/>
      <c r="BM90" s="8"/>
    </row>
    <row r="91" spans="1:65" ht="15.75" hidden="1" customHeight="1" x14ac:dyDescent="0.45">
      <c r="A91" s="43">
        <f t="shared" si="3"/>
        <v>41516</v>
      </c>
      <c r="B91" s="44">
        <v>79.08</v>
      </c>
      <c r="C91" s="44">
        <v>69.89</v>
      </c>
      <c r="D91" s="44">
        <v>58.58</v>
      </c>
      <c r="E91" s="44">
        <v>41.38</v>
      </c>
      <c r="F91" s="44">
        <v>30.07</v>
      </c>
      <c r="G91" s="45">
        <v>78.61</v>
      </c>
      <c r="H91" s="37">
        <f t="shared" ref="H91:L91" si="430">B91-B90</f>
        <v>-0.12000000000000455</v>
      </c>
      <c r="I91" s="38">
        <f t="shared" si="430"/>
        <v>0.98000000000000398</v>
      </c>
      <c r="J91" s="38">
        <f t="shared" si="430"/>
        <v>-0.62000000000000455</v>
      </c>
      <c r="K91" s="38">
        <f t="shared" si="430"/>
        <v>-0.21000000000000085</v>
      </c>
      <c r="L91" s="39">
        <f t="shared" si="430"/>
        <v>-1.9999999999999574E-2</v>
      </c>
      <c r="M91" s="38"/>
      <c r="N91" s="40"/>
      <c r="O91" s="40"/>
      <c r="P91" s="40"/>
      <c r="Q91" s="40"/>
      <c r="R91" s="40"/>
      <c r="S91" s="40">
        <f t="shared" ref="S91:T91" si="431">(B90+B91)/2</f>
        <v>79.14</v>
      </c>
      <c r="T91" s="40">
        <f t="shared" si="431"/>
        <v>69.400000000000006</v>
      </c>
      <c r="U91" s="40">
        <f t="shared" si="6"/>
        <v>58.89</v>
      </c>
      <c r="V91" s="40">
        <f t="shared" ref="V91:W91" si="432">(E90+E91)/2</f>
        <v>41.484999999999999</v>
      </c>
      <c r="W91" s="40">
        <f t="shared" si="432"/>
        <v>30.08</v>
      </c>
      <c r="X91" s="41">
        <f t="shared" ref="X91:AB91" si="433">(SUM(B88:B91))/4</f>
        <v>79.027499999999989</v>
      </c>
      <c r="Y91" s="40">
        <f t="shared" si="433"/>
        <v>69.48</v>
      </c>
      <c r="Z91" s="40">
        <f t="shared" si="433"/>
        <v>58.612499999999997</v>
      </c>
      <c r="AA91" s="40">
        <f t="shared" si="433"/>
        <v>41.615000000000002</v>
      </c>
      <c r="AB91" s="47">
        <f t="shared" si="433"/>
        <v>30.22</v>
      </c>
      <c r="AC91" s="42">
        <f t="shared" ref="AC91:AF91" si="434">(B91+C91)/2</f>
        <v>74.484999999999999</v>
      </c>
      <c r="AD91" s="42">
        <f t="shared" si="434"/>
        <v>64.234999999999999</v>
      </c>
      <c r="AE91" s="42">
        <f t="shared" si="434"/>
        <v>49.980000000000004</v>
      </c>
      <c r="AF91" s="42">
        <f t="shared" si="434"/>
        <v>35.725000000000001</v>
      </c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8"/>
      <c r="BK91" s="8"/>
      <c r="BL91" s="8"/>
      <c r="BM91" s="8"/>
    </row>
    <row r="92" spans="1:65" ht="15.75" hidden="1" customHeight="1" x14ac:dyDescent="0.45">
      <c r="A92" s="43">
        <f t="shared" si="3"/>
        <v>41523</v>
      </c>
      <c r="B92" s="44">
        <v>79.040000000000006</v>
      </c>
      <c r="C92" s="44">
        <v>68.760000000000005</v>
      </c>
      <c r="D92" s="44">
        <v>58.17</v>
      </c>
      <c r="E92" s="44">
        <v>41.6</v>
      </c>
      <c r="F92" s="44">
        <v>30.46</v>
      </c>
      <c r="G92" s="45">
        <v>76.7</v>
      </c>
      <c r="H92" s="37">
        <f t="shared" ref="H92:L92" si="435">B92-B91</f>
        <v>-3.9999999999992042E-2</v>
      </c>
      <c r="I92" s="38">
        <f t="shared" si="435"/>
        <v>-1.1299999999999955</v>
      </c>
      <c r="J92" s="38">
        <f t="shared" si="435"/>
        <v>-0.40999999999999659</v>
      </c>
      <c r="K92" s="38">
        <f t="shared" si="435"/>
        <v>0.21999999999999886</v>
      </c>
      <c r="L92" s="39">
        <f t="shared" si="435"/>
        <v>0.39000000000000057</v>
      </c>
      <c r="M92" s="38"/>
      <c r="N92" s="40"/>
      <c r="O92" s="40"/>
      <c r="P92" s="40"/>
      <c r="Q92" s="40"/>
      <c r="R92" s="40"/>
      <c r="S92" s="40">
        <f t="shared" ref="S92:T92" si="436">(B91+B92)/2</f>
        <v>79.06</v>
      </c>
      <c r="T92" s="40">
        <f t="shared" si="436"/>
        <v>69.325000000000003</v>
      </c>
      <c r="U92" s="40">
        <f t="shared" si="6"/>
        <v>58.375</v>
      </c>
      <c r="V92" s="40">
        <f t="shared" ref="V92:W92" si="437">(E91+E92)/2</f>
        <v>41.49</v>
      </c>
      <c r="W92" s="40">
        <f t="shared" si="437"/>
        <v>30.265000000000001</v>
      </c>
      <c r="X92" s="41">
        <f t="shared" ref="X92:AB92" si="438">(SUM(B89:B92))/4</f>
        <v>79.03</v>
      </c>
      <c r="Y92" s="40">
        <f t="shared" si="438"/>
        <v>69.217500000000001</v>
      </c>
      <c r="Z92" s="40">
        <f t="shared" si="438"/>
        <v>58.56</v>
      </c>
      <c r="AA92" s="40">
        <f t="shared" si="438"/>
        <v>41.55</v>
      </c>
      <c r="AB92" s="47">
        <f t="shared" si="438"/>
        <v>30.192500000000003</v>
      </c>
      <c r="AC92" s="42">
        <f t="shared" ref="AC92:AF92" si="439">(B92+C92)/2</f>
        <v>73.900000000000006</v>
      </c>
      <c r="AD92" s="42">
        <f t="shared" si="439"/>
        <v>63.465000000000003</v>
      </c>
      <c r="AE92" s="42">
        <f t="shared" si="439"/>
        <v>49.885000000000005</v>
      </c>
      <c r="AF92" s="42">
        <f t="shared" si="439"/>
        <v>36.03</v>
      </c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8"/>
      <c r="BK92" s="8"/>
      <c r="BL92" s="8"/>
      <c r="BM92" s="8"/>
    </row>
    <row r="93" spans="1:65" ht="15.75" hidden="1" customHeight="1" x14ac:dyDescent="0.45">
      <c r="A93" s="43">
        <f t="shared" si="3"/>
        <v>41530</v>
      </c>
      <c r="B93" s="44">
        <v>78.349999999999994</v>
      </c>
      <c r="C93" s="44">
        <v>68.16</v>
      </c>
      <c r="D93" s="44">
        <v>57.96</v>
      </c>
      <c r="E93" s="44">
        <v>41.18</v>
      </c>
      <c r="F93" s="44">
        <v>30.17</v>
      </c>
      <c r="G93" s="45">
        <v>77.73</v>
      </c>
      <c r="H93" s="37">
        <f t="shared" ref="H93:L93" si="440">B93-B92</f>
        <v>-0.69000000000001194</v>
      </c>
      <c r="I93" s="38">
        <f t="shared" si="440"/>
        <v>-0.60000000000000853</v>
      </c>
      <c r="J93" s="38">
        <f t="shared" si="440"/>
        <v>-0.21000000000000085</v>
      </c>
      <c r="K93" s="38">
        <f t="shared" si="440"/>
        <v>-0.42000000000000171</v>
      </c>
      <c r="L93" s="39">
        <f t="shared" si="440"/>
        <v>-0.28999999999999915</v>
      </c>
      <c r="M93" s="38"/>
      <c r="N93" s="40"/>
      <c r="O93" s="40"/>
      <c r="P93" s="40"/>
      <c r="Q93" s="40"/>
      <c r="R93" s="40"/>
      <c r="S93" s="40">
        <f t="shared" ref="S93:T93" si="441">(B92+B93)/2</f>
        <v>78.694999999999993</v>
      </c>
      <c r="T93" s="40">
        <f t="shared" si="441"/>
        <v>68.460000000000008</v>
      </c>
      <c r="U93" s="40">
        <f t="shared" si="6"/>
        <v>58.064999999999998</v>
      </c>
      <c r="V93" s="40">
        <f t="shared" ref="V93:W93" si="442">(E92+E93)/2</f>
        <v>41.39</v>
      </c>
      <c r="W93" s="40">
        <f t="shared" si="442"/>
        <v>30.315000000000001</v>
      </c>
      <c r="X93" s="41">
        <f t="shared" ref="X93:AB93" si="443">(SUM(B90:B93))/4</f>
        <v>78.91749999999999</v>
      </c>
      <c r="Y93" s="40">
        <f t="shared" si="443"/>
        <v>68.930000000000007</v>
      </c>
      <c r="Z93" s="40">
        <f t="shared" si="443"/>
        <v>58.477499999999999</v>
      </c>
      <c r="AA93" s="40">
        <f t="shared" si="443"/>
        <v>41.4375</v>
      </c>
      <c r="AB93" s="47">
        <f t="shared" si="443"/>
        <v>30.197500000000002</v>
      </c>
      <c r="AC93" s="42">
        <f t="shared" ref="AC93:AF93" si="444">(B93+C93)/2</f>
        <v>73.254999999999995</v>
      </c>
      <c r="AD93" s="42">
        <f t="shared" si="444"/>
        <v>63.06</v>
      </c>
      <c r="AE93" s="42">
        <f t="shared" si="444"/>
        <v>49.57</v>
      </c>
      <c r="AF93" s="42">
        <f t="shared" si="444"/>
        <v>35.674999999999997</v>
      </c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8"/>
      <c r="BK93" s="8"/>
      <c r="BL93" s="8"/>
      <c r="BM93" s="8"/>
    </row>
    <row r="94" spans="1:65" ht="15.75" hidden="1" customHeight="1" x14ac:dyDescent="0.45">
      <c r="A94" s="43">
        <f t="shared" si="3"/>
        <v>41537</v>
      </c>
      <c r="B94" s="44">
        <v>78.55</v>
      </c>
      <c r="C94" s="44">
        <v>68.09</v>
      </c>
      <c r="D94" s="44">
        <v>56.88</v>
      </c>
      <c r="E94" s="44">
        <v>40.56</v>
      </c>
      <c r="F94" s="44">
        <v>29.31</v>
      </c>
      <c r="G94" s="45">
        <v>79.540000000000006</v>
      </c>
      <c r="H94" s="37">
        <f t="shared" ref="H94:L94" si="445">B94-B93</f>
        <v>0.20000000000000284</v>
      </c>
      <c r="I94" s="38">
        <f t="shared" si="445"/>
        <v>-6.9999999999993179E-2</v>
      </c>
      <c r="J94" s="38">
        <f t="shared" si="445"/>
        <v>-1.0799999999999983</v>
      </c>
      <c r="K94" s="38">
        <f t="shared" si="445"/>
        <v>-0.61999999999999744</v>
      </c>
      <c r="L94" s="39">
        <f t="shared" si="445"/>
        <v>-0.86000000000000298</v>
      </c>
      <c r="M94" s="38"/>
      <c r="N94" s="40"/>
      <c r="O94" s="40"/>
      <c r="P94" s="40"/>
      <c r="Q94" s="40"/>
      <c r="R94" s="40"/>
      <c r="S94" s="40">
        <f t="shared" ref="S94:T94" si="446">(B93+B94)/2</f>
        <v>78.449999999999989</v>
      </c>
      <c r="T94" s="40">
        <f t="shared" si="446"/>
        <v>68.125</v>
      </c>
      <c r="U94" s="40">
        <f t="shared" si="6"/>
        <v>57.42</v>
      </c>
      <c r="V94" s="40">
        <f t="shared" ref="V94:W94" si="447">(E93+E94)/2</f>
        <v>40.870000000000005</v>
      </c>
      <c r="W94" s="40">
        <f t="shared" si="447"/>
        <v>29.740000000000002</v>
      </c>
      <c r="X94" s="41">
        <f t="shared" ref="X94:AB94" si="448">(SUM(B91:B94))/4</f>
        <v>78.754999999999995</v>
      </c>
      <c r="Y94" s="40">
        <f t="shared" si="448"/>
        <v>68.724999999999994</v>
      </c>
      <c r="Z94" s="40">
        <f t="shared" si="448"/>
        <v>57.897500000000001</v>
      </c>
      <c r="AA94" s="40">
        <f t="shared" si="448"/>
        <v>41.18</v>
      </c>
      <c r="AB94" s="47">
        <f t="shared" si="448"/>
        <v>30.002500000000001</v>
      </c>
      <c r="AC94" s="42">
        <f t="shared" ref="AC94:AF94" si="449">(B94+C94)/2</f>
        <v>73.319999999999993</v>
      </c>
      <c r="AD94" s="42">
        <f t="shared" si="449"/>
        <v>62.484999999999999</v>
      </c>
      <c r="AE94" s="42">
        <f t="shared" si="449"/>
        <v>48.72</v>
      </c>
      <c r="AF94" s="42">
        <f t="shared" si="449"/>
        <v>34.935000000000002</v>
      </c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8"/>
      <c r="BK94" s="8"/>
      <c r="BL94" s="8"/>
      <c r="BM94" s="8"/>
    </row>
    <row r="95" spans="1:65" ht="15.75" hidden="1" customHeight="1" x14ac:dyDescent="0.45">
      <c r="A95" s="43">
        <f t="shared" si="3"/>
        <v>41544</v>
      </c>
      <c r="B95" s="44">
        <v>79.5</v>
      </c>
      <c r="C95" s="44">
        <v>67.81</v>
      </c>
      <c r="D95" s="44">
        <v>56.71</v>
      </c>
      <c r="E95" s="44">
        <v>40.4</v>
      </c>
      <c r="F95" s="44">
        <v>29.13</v>
      </c>
      <c r="G95" s="45">
        <v>79.59</v>
      </c>
      <c r="H95" s="37">
        <f t="shared" ref="H95:L95" si="450">B95-B94</f>
        <v>0.95000000000000284</v>
      </c>
      <c r="I95" s="38">
        <f t="shared" si="450"/>
        <v>-0.28000000000000114</v>
      </c>
      <c r="J95" s="38">
        <f t="shared" si="450"/>
        <v>-0.17000000000000171</v>
      </c>
      <c r="K95" s="38">
        <f t="shared" si="450"/>
        <v>-0.16000000000000369</v>
      </c>
      <c r="L95" s="39">
        <f t="shared" si="450"/>
        <v>-0.17999999999999972</v>
      </c>
      <c r="M95" s="38"/>
      <c r="N95" s="40"/>
      <c r="O95" s="40"/>
      <c r="P95" s="40"/>
      <c r="Q95" s="40"/>
      <c r="R95" s="40"/>
      <c r="S95" s="40">
        <f t="shared" ref="S95:T95" si="451">(B94+B95)/2</f>
        <v>79.025000000000006</v>
      </c>
      <c r="T95" s="40">
        <f t="shared" si="451"/>
        <v>67.95</v>
      </c>
      <c r="U95" s="40">
        <f t="shared" si="6"/>
        <v>56.795000000000002</v>
      </c>
      <c r="V95" s="40">
        <f t="shared" ref="V95:W95" si="452">(E94+E95)/2</f>
        <v>40.480000000000004</v>
      </c>
      <c r="W95" s="40">
        <f t="shared" si="452"/>
        <v>29.22</v>
      </c>
      <c r="X95" s="41">
        <f t="shared" ref="X95:AB95" si="453">(SUM(B92:B95))/4</f>
        <v>78.86</v>
      </c>
      <c r="Y95" s="40">
        <f t="shared" si="453"/>
        <v>68.205000000000013</v>
      </c>
      <c r="Z95" s="40">
        <f t="shared" si="453"/>
        <v>57.43</v>
      </c>
      <c r="AA95" s="40">
        <f t="shared" si="453"/>
        <v>40.935000000000002</v>
      </c>
      <c r="AB95" s="47">
        <f t="shared" si="453"/>
        <v>29.767499999999998</v>
      </c>
      <c r="AC95" s="42">
        <f t="shared" ref="AC95:AF95" si="454">(B95+C95)/2</f>
        <v>73.655000000000001</v>
      </c>
      <c r="AD95" s="42">
        <f t="shared" si="454"/>
        <v>62.260000000000005</v>
      </c>
      <c r="AE95" s="42">
        <f t="shared" si="454"/>
        <v>48.555</v>
      </c>
      <c r="AF95" s="42">
        <f t="shared" si="454"/>
        <v>34.765000000000001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8"/>
      <c r="BK95" s="8"/>
      <c r="BL95" s="8"/>
      <c r="BM95" s="8"/>
    </row>
    <row r="96" spans="1:65" ht="15.75" hidden="1" customHeight="1" x14ac:dyDescent="0.45">
      <c r="A96" s="43">
        <f t="shared" si="3"/>
        <v>41551</v>
      </c>
      <c r="B96" s="44">
        <v>79.73</v>
      </c>
      <c r="C96" s="44">
        <v>67.86</v>
      </c>
      <c r="D96" s="44">
        <v>57.35</v>
      </c>
      <c r="E96" s="44">
        <v>39.58</v>
      </c>
      <c r="F96" s="44">
        <v>29.27</v>
      </c>
      <c r="G96" s="45">
        <v>80.14</v>
      </c>
      <c r="H96" s="37">
        <f t="shared" ref="H96:L96" si="455">B96-B95</f>
        <v>0.23000000000000398</v>
      </c>
      <c r="I96" s="38">
        <f t="shared" si="455"/>
        <v>4.9999999999997158E-2</v>
      </c>
      <c r="J96" s="38">
        <f t="shared" si="455"/>
        <v>0.64000000000000057</v>
      </c>
      <c r="K96" s="38">
        <f t="shared" si="455"/>
        <v>-0.82000000000000028</v>
      </c>
      <c r="L96" s="39">
        <f t="shared" si="455"/>
        <v>0.14000000000000057</v>
      </c>
      <c r="M96" s="38"/>
      <c r="N96" s="40"/>
      <c r="O96" s="40"/>
      <c r="P96" s="40"/>
      <c r="Q96" s="40"/>
      <c r="R96" s="40"/>
      <c r="S96" s="40">
        <f t="shared" ref="S96:T96" si="456">(B95+B96)/2</f>
        <v>79.615000000000009</v>
      </c>
      <c r="T96" s="40">
        <f t="shared" si="456"/>
        <v>67.835000000000008</v>
      </c>
      <c r="U96" s="40">
        <f t="shared" si="6"/>
        <v>57.03</v>
      </c>
      <c r="V96" s="40">
        <f t="shared" ref="V96:W96" si="457">(E95+E96)/2</f>
        <v>39.989999999999995</v>
      </c>
      <c r="W96" s="40">
        <f t="shared" si="457"/>
        <v>29.2</v>
      </c>
      <c r="X96" s="41">
        <f t="shared" ref="X96:AB96" si="458">(SUM(B93:B96))/4</f>
        <v>79.032499999999999</v>
      </c>
      <c r="Y96" s="40">
        <f t="shared" si="458"/>
        <v>67.98</v>
      </c>
      <c r="Z96" s="40">
        <f t="shared" si="458"/>
        <v>57.225000000000001</v>
      </c>
      <c r="AA96" s="40">
        <f t="shared" si="458"/>
        <v>40.430000000000007</v>
      </c>
      <c r="AB96" s="47">
        <f t="shared" si="458"/>
        <v>29.47</v>
      </c>
      <c r="AC96" s="42">
        <f t="shared" ref="AC96:AF96" si="459">(B96+C96)/2</f>
        <v>73.795000000000002</v>
      </c>
      <c r="AD96" s="42">
        <f t="shared" si="459"/>
        <v>62.605000000000004</v>
      </c>
      <c r="AE96" s="42">
        <f t="shared" si="459"/>
        <v>48.465000000000003</v>
      </c>
      <c r="AF96" s="42">
        <f t="shared" si="459"/>
        <v>34.424999999999997</v>
      </c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8"/>
      <c r="BK96" s="8"/>
      <c r="BL96" s="8"/>
      <c r="BM96" s="8"/>
    </row>
    <row r="97" spans="1:65" ht="15.75" hidden="1" customHeight="1" x14ac:dyDescent="0.45">
      <c r="A97" s="43">
        <f t="shared" si="3"/>
        <v>41558</v>
      </c>
      <c r="B97" s="44">
        <v>80.510000000000005</v>
      </c>
      <c r="C97" s="44">
        <v>67.69</v>
      </c>
      <c r="D97" s="44">
        <v>55.85</v>
      </c>
      <c r="E97" s="44">
        <v>39.340000000000003</v>
      </c>
      <c r="F97" s="44">
        <v>28.64</v>
      </c>
      <c r="G97" s="45">
        <v>80.540000000000006</v>
      </c>
      <c r="H97" s="37">
        <f t="shared" ref="H97:L97" si="460">B97-B96</f>
        <v>0.78000000000000114</v>
      </c>
      <c r="I97" s="38">
        <f t="shared" si="460"/>
        <v>-0.17000000000000171</v>
      </c>
      <c r="J97" s="38">
        <f t="shared" si="460"/>
        <v>-1.5</v>
      </c>
      <c r="K97" s="38">
        <f t="shared" si="460"/>
        <v>-0.23999999999999488</v>
      </c>
      <c r="L97" s="39">
        <f t="shared" si="460"/>
        <v>-0.62999999999999901</v>
      </c>
      <c r="M97" s="38"/>
      <c r="N97" s="40"/>
      <c r="O97" s="40"/>
      <c r="P97" s="40"/>
      <c r="Q97" s="40"/>
      <c r="R97" s="40"/>
      <c r="S97" s="40">
        <f t="shared" ref="S97:T97" si="461">(B96+B97)/2</f>
        <v>80.12</v>
      </c>
      <c r="T97" s="40">
        <f t="shared" si="461"/>
        <v>67.775000000000006</v>
      </c>
      <c r="U97" s="40">
        <f t="shared" si="6"/>
        <v>56.6</v>
      </c>
      <c r="V97" s="40">
        <f t="shared" ref="V97:W97" si="462">(E96+E97)/2</f>
        <v>39.46</v>
      </c>
      <c r="W97" s="40">
        <f t="shared" si="462"/>
        <v>28.954999999999998</v>
      </c>
      <c r="X97" s="41">
        <f t="shared" ref="X97:AB97" si="463">(SUM(B94:B97))/4</f>
        <v>79.572500000000005</v>
      </c>
      <c r="Y97" s="40">
        <f t="shared" si="463"/>
        <v>67.862499999999997</v>
      </c>
      <c r="Z97" s="40">
        <f t="shared" si="463"/>
        <v>56.697499999999998</v>
      </c>
      <c r="AA97" s="40">
        <f t="shared" si="463"/>
        <v>39.97</v>
      </c>
      <c r="AB97" s="47">
        <f t="shared" si="463"/>
        <v>29.087499999999999</v>
      </c>
      <c r="AC97" s="42">
        <f t="shared" ref="AC97:AF97" si="464">(B97+C97)/2</f>
        <v>74.099999999999994</v>
      </c>
      <c r="AD97" s="42">
        <f t="shared" si="464"/>
        <v>61.769999999999996</v>
      </c>
      <c r="AE97" s="42">
        <f t="shared" si="464"/>
        <v>47.594999999999999</v>
      </c>
      <c r="AF97" s="42">
        <f t="shared" si="464"/>
        <v>33.99</v>
      </c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8"/>
      <c r="BK97" s="8"/>
      <c r="BL97" s="8"/>
      <c r="BM97" s="8"/>
    </row>
    <row r="98" spans="1:65" ht="15.75" hidden="1" customHeight="1" x14ac:dyDescent="0.45">
      <c r="A98" s="43">
        <f t="shared" si="3"/>
        <v>41565</v>
      </c>
      <c r="B98" s="44">
        <v>80.86</v>
      </c>
      <c r="C98" s="44">
        <v>67.8</v>
      </c>
      <c r="D98" s="44">
        <v>55.72</v>
      </c>
      <c r="E98" s="44">
        <v>39.21</v>
      </c>
      <c r="F98" s="44">
        <v>28.65</v>
      </c>
      <c r="G98" s="45">
        <v>80.98</v>
      </c>
      <c r="H98" s="37">
        <f t="shared" ref="H98:L98" si="465">B98-B97</f>
        <v>0.34999999999999432</v>
      </c>
      <c r="I98" s="38">
        <f t="shared" si="465"/>
        <v>0.10999999999999943</v>
      </c>
      <c r="J98" s="38">
        <f t="shared" si="465"/>
        <v>-0.13000000000000256</v>
      </c>
      <c r="K98" s="38">
        <f t="shared" si="465"/>
        <v>-0.13000000000000256</v>
      </c>
      <c r="L98" s="39">
        <f t="shared" si="465"/>
        <v>9.9999999999980105E-3</v>
      </c>
      <c r="M98" s="38"/>
      <c r="N98" s="40"/>
      <c r="O98" s="40"/>
      <c r="P98" s="40"/>
      <c r="Q98" s="40"/>
      <c r="R98" s="40"/>
      <c r="S98" s="40">
        <f t="shared" ref="S98:T98" si="466">(B97+B98)/2</f>
        <v>80.685000000000002</v>
      </c>
      <c r="T98" s="40">
        <f t="shared" si="466"/>
        <v>67.745000000000005</v>
      </c>
      <c r="U98" s="40">
        <f t="shared" si="6"/>
        <v>55.784999999999997</v>
      </c>
      <c r="V98" s="40">
        <f t="shared" ref="V98:W98" si="467">(E97+E98)/2</f>
        <v>39.275000000000006</v>
      </c>
      <c r="W98" s="40">
        <f t="shared" si="467"/>
        <v>28.645</v>
      </c>
      <c r="X98" s="41">
        <f t="shared" ref="X98:AB98" si="468">(SUM(B95:B98))/4</f>
        <v>80.150000000000006</v>
      </c>
      <c r="Y98" s="40">
        <f t="shared" si="468"/>
        <v>67.790000000000006</v>
      </c>
      <c r="Z98" s="40">
        <f t="shared" si="468"/>
        <v>56.407499999999999</v>
      </c>
      <c r="AA98" s="40">
        <f t="shared" si="468"/>
        <v>39.6325</v>
      </c>
      <c r="AB98" s="47">
        <f t="shared" si="468"/>
        <v>28.922499999999999</v>
      </c>
      <c r="AC98" s="42">
        <f t="shared" ref="AC98:AF98" si="469">(B98+C98)/2</f>
        <v>74.33</v>
      </c>
      <c r="AD98" s="42">
        <f t="shared" si="469"/>
        <v>61.76</v>
      </c>
      <c r="AE98" s="42">
        <f t="shared" si="469"/>
        <v>47.465000000000003</v>
      </c>
      <c r="AF98" s="42">
        <f t="shared" si="469"/>
        <v>33.93</v>
      </c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8"/>
      <c r="BK98" s="8"/>
      <c r="BL98" s="8"/>
      <c r="BM98" s="8"/>
    </row>
    <row r="99" spans="1:65" ht="15.75" hidden="1" customHeight="1" x14ac:dyDescent="0.45">
      <c r="A99" s="43">
        <f t="shared" si="3"/>
        <v>41572</v>
      </c>
      <c r="B99" s="44">
        <v>81.069999999999993</v>
      </c>
      <c r="C99" s="44">
        <v>67.31</v>
      </c>
      <c r="D99" s="44">
        <v>55.89</v>
      </c>
      <c r="E99" s="44">
        <v>38.89</v>
      </c>
      <c r="F99" s="44">
        <v>28.41</v>
      </c>
      <c r="G99" s="45">
        <v>83.86</v>
      </c>
      <c r="H99" s="37">
        <f t="shared" ref="H99:L99" si="470">B99-B98</f>
        <v>0.20999999999999375</v>
      </c>
      <c r="I99" s="38">
        <f t="shared" si="470"/>
        <v>-0.48999999999999488</v>
      </c>
      <c r="J99" s="38">
        <f t="shared" si="470"/>
        <v>0.17000000000000171</v>
      </c>
      <c r="K99" s="38">
        <f t="shared" si="470"/>
        <v>-0.32000000000000028</v>
      </c>
      <c r="L99" s="39">
        <f t="shared" si="470"/>
        <v>-0.23999999999999844</v>
      </c>
      <c r="M99" s="38"/>
      <c r="N99" s="40"/>
      <c r="O99" s="40"/>
      <c r="P99" s="40"/>
      <c r="Q99" s="40"/>
      <c r="R99" s="40"/>
      <c r="S99" s="40">
        <f t="shared" ref="S99:T99" si="471">(B98+B99)/2</f>
        <v>80.965000000000003</v>
      </c>
      <c r="T99" s="40">
        <f t="shared" si="471"/>
        <v>67.555000000000007</v>
      </c>
      <c r="U99" s="40">
        <f t="shared" si="6"/>
        <v>55.805</v>
      </c>
      <c r="V99" s="40">
        <f t="shared" ref="V99:W99" si="472">(E98+E99)/2</f>
        <v>39.049999999999997</v>
      </c>
      <c r="W99" s="40">
        <f t="shared" si="472"/>
        <v>28.53</v>
      </c>
      <c r="X99" s="41">
        <f t="shared" ref="X99:AB99" si="473">(SUM(B96:B99))/4</f>
        <v>80.542500000000004</v>
      </c>
      <c r="Y99" s="40">
        <f t="shared" si="473"/>
        <v>67.665000000000006</v>
      </c>
      <c r="Z99" s="40">
        <f t="shared" si="473"/>
        <v>56.202500000000001</v>
      </c>
      <c r="AA99" s="40">
        <f t="shared" si="473"/>
        <v>39.254999999999995</v>
      </c>
      <c r="AB99" s="47">
        <f t="shared" si="473"/>
        <v>28.7425</v>
      </c>
      <c r="AC99" s="42">
        <f t="shared" ref="AC99:AF99" si="474">(B99+C99)/2</f>
        <v>74.19</v>
      </c>
      <c r="AD99" s="42">
        <f t="shared" si="474"/>
        <v>61.6</v>
      </c>
      <c r="AE99" s="42">
        <f t="shared" si="474"/>
        <v>47.39</v>
      </c>
      <c r="AF99" s="42">
        <f t="shared" si="474"/>
        <v>33.65</v>
      </c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8"/>
      <c r="BK99" s="8"/>
      <c r="BL99" s="8"/>
      <c r="BM99" s="8"/>
    </row>
    <row r="100" spans="1:65" ht="15.75" hidden="1" customHeight="1" x14ac:dyDescent="0.45">
      <c r="A100" s="43">
        <f t="shared" si="3"/>
        <v>41579</v>
      </c>
      <c r="B100" s="44">
        <v>81.61</v>
      </c>
      <c r="C100" s="44">
        <v>66.88</v>
      </c>
      <c r="D100" s="44">
        <v>55.36</v>
      </c>
      <c r="E100" s="44">
        <v>38.770000000000003</v>
      </c>
      <c r="F100" s="44">
        <v>28.36</v>
      </c>
      <c r="G100" s="45">
        <v>84.56</v>
      </c>
      <c r="H100" s="37">
        <f t="shared" ref="H100:L100" si="475">B100-B99</f>
        <v>0.54000000000000625</v>
      </c>
      <c r="I100" s="38">
        <f t="shared" si="475"/>
        <v>-0.43000000000000682</v>
      </c>
      <c r="J100" s="38">
        <f t="shared" si="475"/>
        <v>-0.53000000000000114</v>
      </c>
      <c r="K100" s="38">
        <f t="shared" si="475"/>
        <v>-0.11999999999999744</v>
      </c>
      <c r="L100" s="39">
        <f t="shared" si="475"/>
        <v>-5.0000000000000711E-2</v>
      </c>
      <c r="M100" s="38"/>
      <c r="N100" s="40"/>
      <c r="O100" s="40"/>
      <c r="P100" s="40"/>
      <c r="Q100" s="40"/>
      <c r="R100" s="40"/>
      <c r="S100" s="40">
        <f t="shared" ref="S100:T100" si="476">(B99+B100)/2</f>
        <v>81.34</v>
      </c>
      <c r="T100" s="40">
        <f t="shared" si="476"/>
        <v>67.094999999999999</v>
      </c>
      <c r="U100" s="40">
        <f t="shared" si="6"/>
        <v>55.625</v>
      </c>
      <c r="V100" s="40">
        <f t="shared" ref="V100:W100" si="477">(E99+E100)/2</f>
        <v>38.83</v>
      </c>
      <c r="W100" s="40">
        <f t="shared" si="477"/>
        <v>28.384999999999998</v>
      </c>
      <c r="X100" s="41">
        <f t="shared" ref="X100:AB100" si="478">(SUM(B97:B100))/4</f>
        <v>81.012500000000003</v>
      </c>
      <c r="Y100" s="40">
        <f t="shared" si="478"/>
        <v>67.42</v>
      </c>
      <c r="Z100" s="40">
        <f t="shared" si="478"/>
        <v>55.704999999999998</v>
      </c>
      <c r="AA100" s="40">
        <f t="shared" si="478"/>
        <v>39.052500000000002</v>
      </c>
      <c r="AB100" s="47">
        <f t="shared" si="478"/>
        <v>28.515000000000001</v>
      </c>
      <c r="AC100" s="42">
        <f t="shared" ref="AC100:AF100" si="479">(B100+C100)/2</f>
        <v>74.245000000000005</v>
      </c>
      <c r="AD100" s="42">
        <f t="shared" si="479"/>
        <v>61.12</v>
      </c>
      <c r="AE100" s="42">
        <f t="shared" si="479"/>
        <v>47.064999999999998</v>
      </c>
      <c r="AF100" s="42">
        <f t="shared" si="479"/>
        <v>33.564999999999998</v>
      </c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8"/>
      <c r="BK100" s="8"/>
      <c r="BL100" s="8"/>
      <c r="BM100" s="8"/>
    </row>
    <row r="101" spans="1:65" ht="15.75" hidden="1" customHeight="1" x14ac:dyDescent="0.45">
      <c r="A101" s="43">
        <f t="shared" si="3"/>
        <v>41586</v>
      </c>
      <c r="B101" s="44">
        <v>82.36</v>
      </c>
      <c r="C101" s="44">
        <v>67.88</v>
      </c>
      <c r="D101" s="44">
        <v>55.97</v>
      </c>
      <c r="E101" s="44">
        <v>39.31</v>
      </c>
      <c r="F101" s="44">
        <v>28.52</v>
      </c>
      <c r="G101" s="45">
        <v>84.43</v>
      </c>
      <c r="H101" s="37">
        <f t="shared" ref="H101:L101" si="480">B101-B100</f>
        <v>0.75</v>
      </c>
      <c r="I101" s="38">
        <f t="shared" si="480"/>
        <v>1</v>
      </c>
      <c r="J101" s="38">
        <f t="shared" si="480"/>
        <v>0.60999999999999943</v>
      </c>
      <c r="K101" s="38">
        <f t="shared" si="480"/>
        <v>0.53999999999999915</v>
      </c>
      <c r="L101" s="39">
        <f t="shared" si="480"/>
        <v>0.16000000000000014</v>
      </c>
      <c r="M101" s="38"/>
      <c r="N101" s="40"/>
      <c r="O101" s="40"/>
      <c r="P101" s="40"/>
      <c r="Q101" s="40"/>
      <c r="R101" s="40"/>
      <c r="S101" s="40">
        <f t="shared" ref="S101:T101" si="481">(B100+B101)/2</f>
        <v>81.984999999999999</v>
      </c>
      <c r="T101" s="40">
        <f t="shared" si="481"/>
        <v>67.38</v>
      </c>
      <c r="U101" s="40">
        <f t="shared" si="6"/>
        <v>55.664999999999999</v>
      </c>
      <c r="V101" s="40">
        <f t="shared" ref="V101:W101" si="482">(E100+E101)/2</f>
        <v>39.040000000000006</v>
      </c>
      <c r="W101" s="40">
        <f t="shared" si="482"/>
        <v>28.439999999999998</v>
      </c>
      <c r="X101" s="41">
        <f t="shared" ref="X101:AB101" si="483">(SUM(B98:B101))/4</f>
        <v>81.475000000000009</v>
      </c>
      <c r="Y101" s="40">
        <f t="shared" si="483"/>
        <v>67.467500000000001</v>
      </c>
      <c r="Z101" s="40">
        <f t="shared" si="483"/>
        <v>55.734999999999999</v>
      </c>
      <c r="AA101" s="40">
        <f t="shared" si="483"/>
        <v>39.045000000000002</v>
      </c>
      <c r="AB101" s="47">
        <f t="shared" si="483"/>
        <v>28.484999999999999</v>
      </c>
      <c r="AC101" s="42">
        <f t="shared" ref="AC101:AF101" si="484">(B101+C101)/2</f>
        <v>75.12</v>
      </c>
      <c r="AD101" s="42">
        <f t="shared" si="484"/>
        <v>61.924999999999997</v>
      </c>
      <c r="AE101" s="42">
        <f t="shared" si="484"/>
        <v>47.64</v>
      </c>
      <c r="AF101" s="42">
        <f t="shared" si="484"/>
        <v>33.914999999999999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8"/>
      <c r="BK101" s="8"/>
      <c r="BL101" s="8"/>
      <c r="BM101" s="8"/>
    </row>
    <row r="102" spans="1:65" ht="15.75" hidden="1" customHeight="1" x14ac:dyDescent="0.45">
      <c r="A102" s="43">
        <f t="shared" si="3"/>
        <v>41593</v>
      </c>
      <c r="B102" s="44">
        <v>81.819999999999993</v>
      </c>
      <c r="C102" s="44">
        <v>67.98</v>
      </c>
      <c r="D102" s="44">
        <v>56.08</v>
      </c>
      <c r="E102" s="44">
        <v>38.770000000000003</v>
      </c>
      <c r="F102" s="44">
        <v>28.53</v>
      </c>
      <c r="G102" s="45">
        <v>84.63</v>
      </c>
      <c r="H102" s="37">
        <f t="shared" ref="H102:L102" si="485">B102-B101</f>
        <v>-0.54000000000000625</v>
      </c>
      <c r="I102" s="38">
        <f t="shared" si="485"/>
        <v>0.10000000000000853</v>
      </c>
      <c r="J102" s="38">
        <f t="shared" si="485"/>
        <v>0.10999999999999943</v>
      </c>
      <c r="K102" s="38">
        <f t="shared" si="485"/>
        <v>-0.53999999999999915</v>
      </c>
      <c r="L102" s="39">
        <f t="shared" si="485"/>
        <v>1.0000000000001563E-2</v>
      </c>
      <c r="M102" s="38"/>
      <c r="N102" s="40"/>
      <c r="O102" s="40"/>
      <c r="P102" s="40"/>
      <c r="Q102" s="40"/>
      <c r="R102" s="40"/>
      <c r="S102" s="40">
        <f t="shared" ref="S102:T102" si="486">(B101+B102)/2</f>
        <v>82.09</v>
      </c>
      <c r="T102" s="40">
        <f t="shared" si="486"/>
        <v>67.930000000000007</v>
      </c>
      <c r="U102" s="40">
        <f t="shared" si="6"/>
        <v>56.024999999999999</v>
      </c>
      <c r="V102" s="40">
        <f t="shared" ref="V102:W102" si="487">(E101+E102)/2</f>
        <v>39.040000000000006</v>
      </c>
      <c r="W102" s="40">
        <f t="shared" si="487"/>
        <v>28.524999999999999</v>
      </c>
      <c r="X102" s="41">
        <f t="shared" ref="X102:AB102" si="488">(SUM(B99:B102))/4</f>
        <v>81.715000000000003</v>
      </c>
      <c r="Y102" s="40">
        <f t="shared" si="488"/>
        <v>67.512500000000003</v>
      </c>
      <c r="Z102" s="40">
        <f t="shared" si="488"/>
        <v>55.825000000000003</v>
      </c>
      <c r="AA102" s="40">
        <f t="shared" si="488"/>
        <v>38.935000000000002</v>
      </c>
      <c r="AB102" s="47">
        <f t="shared" si="488"/>
        <v>28.454999999999998</v>
      </c>
      <c r="AC102" s="42">
        <f t="shared" ref="AC102:AF102" si="489">(B102+C102)/2</f>
        <v>74.900000000000006</v>
      </c>
      <c r="AD102" s="42">
        <f t="shared" si="489"/>
        <v>62.03</v>
      </c>
      <c r="AE102" s="42">
        <f t="shared" si="489"/>
        <v>47.424999999999997</v>
      </c>
      <c r="AF102" s="42">
        <f t="shared" si="489"/>
        <v>33.650000000000006</v>
      </c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8"/>
      <c r="BK102" s="8"/>
      <c r="BL102" s="8"/>
      <c r="BM102" s="8"/>
    </row>
    <row r="103" spans="1:65" ht="15.75" hidden="1" customHeight="1" x14ac:dyDescent="0.45">
      <c r="A103" s="43">
        <f t="shared" si="3"/>
        <v>41600</v>
      </c>
      <c r="B103" s="44">
        <v>82.2</v>
      </c>
      <c r="C103" s="44">
        <v>68.58</v>
      </c>
      <c r="D103" s="44">
        <v>56.99</v>
      </c>
      <c r="E103" s="44">
        <v>39.26</v>
      </c>
      <c r="F103" s="44">
        <v>28.69</v>
      </c>
      <c r="G103" s="45">
        <v>84.22</v>
      </c>
      <c r="H103" s="37">
        <f t="shared" ref="H103:L103" si="490">B103-B102</f>
        <v>0.38000000000000966</v>
      </c>
      <c r="I103" s="38">
        <f t="shared" si="490"/>
        <v>0.59999999999999432</v>
      </c>
      <c r="J103" s="38">
        <f t="shared" si="490"/>
        <v>0.91000000000000369</v>
      </c>
      <c r="K103" s="38">
        <f t="shared" si="490"/>
        <v>0.48999999999999488</v>
      </c>
      <c r="L103" s="39">
        <f t="shared" si="490"/>
        <v>0.16000000000000014</v>
      </c>
      <c r="M103" s="38"/>
      <c r="N103" s="40"/>
      <c r="O103" s="40"/>
      <c r="P103" s="40"/>
      <c r="Q103" s="40"/>
      <c r="R103" s="40"/>
      <c r="S103" s="40">
        <f t="shared" ref="S103:T103" si="491">(B102+B103)/2</f>
        <v>82.009999999999991</v>
      </c>
      <c r="T103" s="40">
        <f t="shared" si="491"/>
        <v>68.28</v>
      </c>
      <c r="U103" s="40">
        <f t="shared" si="6"/>
        <v>56.534999999999997</v>
      </c>
      <c r="V103" s="40">
        <f t="shared" ref="V103:W103" si="492">(E102+E103)/2</f>
        <v>39.015000000000001</v>
      </c>
      <c r="W103" s="40">
        <f t="shared" si="492"/>
        <v>28.61</v>
      </c>
      <c r="X103" s="41">
        <f t="shared" ref="X103:AB103" si="493">(SUM(B100:B103))/4</f>
        <v>81.997500000000002</v>
      </c>
      <c r="Y103" s="40">
        <f t="shared" si="493"/>
        <v>67.83</v>
      </c>
      <c r="Z103" s="40">
        <f t="shared" si="493"/>
        <v>56.1</v>
      </c>
      <c r="AA103" s="40">
        <f t="shared" si="493"/>
        <v>39.027500000000003</v>
      </c>
      <c r="AB103" s="47">
        <f t="shared" si="493"/>
        <v>28.524999999999999</v>
      </c>
      <c r="AC103" s="42">
        <f t="shared" ref="AC103:AF103" si="494">(B103+C103)/2</f>
        <v>75.39</v>
      </c>
      <c r="AD103" s="42">
        <f t="shared" si="494"/>
        <v>62.784999999999997</v>
      </c>
      <c r="AE103" s="42">
        <f t="shared" si="494"/>
        <v>48.125</v>
      </c>
      <c r="AF103" s="42">
        <f t="shared" si="494"/>
        <v>33.975000000000001</v>
      </c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8"/>
      <c r="BK103" s="8"/>
      <c r="BL103" s="8"/>
      <c r="BM103" s="8"/>
    </row>
    <row r="104" spans="1:65" ht="15.75" hidden="1" customHeight="1" x14ac:dyDescent="0.45">
      <c r="A104" s="43">
        <f t="shared" si="3"/>
        <v>41607</v>
      </c>
      <c r="B104" s="44">
        <v>83.89</v>
      </c>
      <c r="C104" s="44">
        <v>70.09</v>
      </c>
      <c r="D104" s="44">
        <v>57.84</v>
      </c>
      <c r="E104" s="44">
        <v>39.65</v>
      </c>
      <c r="F104" s="44">
        <v>28.72</v>
      </c>
      <c r="G104" s="45">
        <v>84.91</v>
      </c>
      <c r="H104" s="37">
        <f t="shared" ref="H104:L104" si="495">B104-B103</f>
        <v>1.6899999999999977</v>
      </c>
      <c r="I104" s="38">
        <f t="shared" si="495"/>
        <v>1.5100000000000051</v>
      </c>
      <c r="J104" s="38">
        <f t="shared" si="495"/>
        <v>0.85000000000000142</v>
      </c>
      <c r="K104" s="38">
        <f t="shared" si="495"/>
        <v>0.39000000000000057</v>
      </c>
      <c r="L104" s="39">
        <f t="shared" si="495"/>
        <v>2.9999999999997584E-2</v>
      </c>
      <c r="M104" s="38"/>
      <c r="N104" s="40"/>
      <c r="O104" s="40"/>
      <c r="P104" s="40"/>
      <c r="Q104" s="40"/>
      <c r="R104" s="40"/>
      <c r="S104" s="40">
        <f t="shared" ref="S104:T104" si="496">(B103+B104)/2</f>
        <v>83.045000000000002</v>
      </c>
      <c r="T104" s="40">
        <f t="shared" si="496"/>
        <v>69.335000000000008</v>
      </c>
      <c r="U104" s="40">
        <f t="shared" si="6"/>
        <v>57.415000000000006</v>
      </c>
      <c r="V104" s="40">
        <f t="shared" ref="V104:W104" si="497">(E103+E104)/2</f>
        <v>39.454999999999998</v>
      </c>
      <c r="W104" s="40">
        <f t="shared" si="497"/>
        <v>28.704999999999998</v>
      </c>
      <c r="X104" s="41">
        <f t="shared" ref="X104:AB104" si="498">(SUM(B101:B104))/4</f>
        <v>82.567499999999995</v>
      </c>
      <c r="Y104" s="40">
        <f t="shared" si="498"/>
        <v>68.632499999999993</v>
      </c>
      <c r="Z104" s="40">
        <f t="shared" si="498"/>
        <v>56.72</v>
      </c>
      <c r="AA104" s="40">
        <f t="shared" si="498"/>
        <v>39.247500000000002</v>
      </c>
      <c r="AB104" s="47">
        <f t="shared" si="498"/>
        <v>28.614999999999998</v>
      </c>
      <c r="AC104" s="42">
        <f t="shared" ref="AC104:AF104" si="499">(B104+C104)/2</f>
        <v>76.990000000000009</v>
      </c>
      <c r="AD104" s="42">
        <f t="shared" si="499"/>
        <v>63.965000000000003</v>
      </c>
      <c r="AE104" s="42">
        <f t="shared" si="499"/>
        <v>48.745000000000005</v>
      </c>
      <c r="AF104" s="42">
        <f t="shared" si="499"/>
        <v>34.185000000000002</v>
      </c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8"/>
      <c r="BK104" s="8"/>
      <c r="BL104" s="8"/>
      <c r="BM104" s="8"/>
    </row>
    <row r="105" spans="1:65" ht="15.75" hidden="1" customHeight="1" x14ac:dyDescent="0.45">
      <c r="A105" s="43">
        <f t="shared" si="3"/>
        <v>41614</v>
      </c>
      <c r="B105" s="44">
        <v>83.26</v>
      </c>
      <c r="C105" s="44">
        <v>69.849999999999994</v>
      </c>
      <c r="D105" s="44">
        <v>57.69</v>
      </c>
      <c r="E105" s="44">
        <v>39.049999999999997</v>
      </c>
      <c r="F105" s="44">
        <v>27.7</v>
      </c>
      <c r="G105" s="45">
        <v>85.28</v>
      </c>
      <c r="H105" s="37">
        <f t="shared" ref="H105:L105" si="500">B105-B104</f>
        <v>-0.62999999999999545</v>
      </c>
      <c r="I105" s="38">
        <f t="shared" si="500"/>
        <v>-0.24000000000000909</v>
      </c>
      <c r="J105" s="38">
        <f t="shared" si="500"/>
        <v>-0.15000000000000568</v>
      </c>
      <c r="K105" s="38">
        <f t="shared" si="500"/>
        <v>-0.60000000000000142</v>
      </c>
      <c r="L105" s="39">
        <f t="shared" si="500"/>
        <v>-1.0199999999999996</v>
      </c>
      <c r="M105" s="38"/>
      <c r="N105" s="40"/>
      <c r="O105" s="40"/>
      <c r="P105" s="40"/>
      <c r="Q105" s="40"/>
      <c r="R105" s="40"/>
      <c r="S105" s="40">
        <f t="shared" ref="S105:T105" si="501">(B104+B105)/2</f>
        <v>83.575000000000003</v>
      </c>
      <c r="T105" s="40">
        <f t="shared" si="501"/>
        <v>69.97</v>
      </c>
      <c r="U105" s="40">
        <f t="shared" si="6"/>
        <v>57.765000000000001</v>
      </c>
      <c r="V105" s="40">
        <f t="shared" ref="V105:W105" si="502">(E104+E105)/2</f>
        <v>39.349999999999994</v>
      </c>
      <c r="W105" s="40">
        <f t="shared" si="502"/>
        <v>28.21</v>
      </c>
      <c r="X105" s="41">
        <f t="shared" ref="X105:AB105" si="503">(SUM(B102:B105))/4</f>
        <v>82.79249999999999</v>
      </c>
      <c r="Y105" s="40">
        <f t="shared" si="503"/>
        <v>69.125</v>
      </c>
      <c r="Z105" s="40">
        <f t="shared" si="503"/>
        <v>57.15</v>
      </c>
      <c r="AA105" s="40">
        <f t="shared" si="503"/>
        <v>39.182500000000005</v>
      </c>
      <c r="AB105" s="47">
        <f t="shared" si="503"/>
        <v>28.41</v>
      </c>
      <c r="AC105" s="42">
        <f t="shared" ref="AC105:AF105" si="504">(B105+C105)/2</f>
        <v>76.555000000000007</v>
      </c>
      <c r="AD105" s="42">
        <f t="shared" si="504"/>
        <v>63.769999999999996</v>
      </c>
      <c r="AE105" s="42">
        <f t="shared" si="504"/>
        <v>48.37</v>
      </c>
      <c r="AF105" s="42">
        <f t="shared" si="504"/>
        <v>33.375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8"/>
      <c r="BK105" s="8"/>
      <c r="BL105" s="8"/>
      <c r="BM105" s="8"/>
    </row>
    <row r="106" spans="1:65" ht="15.75" hidden="1" customHeight="1" x14ac:dyDescent="0.45">
      <c r="A106" s="43">
        <f t="shared" si="3"/>
        <v>41621</v>
      </c>
      <c r="B106" s="44">
        <v>83.62</v>
      </c>
      <c r="C106" s="44">
        <v>70.72</v>
      </c>
      <c r="D106" s="44">
        <v>57.55</v>
      </c>
      <c r="E106" s="44">
        <v>39.369999999999997</v>
      </c>
      <c r="F106" s="44">
        <v>27.8</v>
      </c>
      <c r="G106" s="45">
        <v>85.51</v>
      </c>
      <c r="H106" s="37">
        <f t="shared" ref="H106:L106" si="505">B106-B105</f>
        <v>0.35999999999999943</v>
      </c>
      <c r="I106" s="38">
        <f t="shared" si="505"/>
        <v>0.87000000000000455</v>
      </c>
      <c r="J106" s="38">
        <f t="shared" si="505"/>
        <v>-0.14000000000000057</v>
      </c>
      <c r="K106" s="38">
        <f t="shared" si="505"/>
        <v>0.32000000000000028</v>
      </c>
      <c r="L106" s="39">
        <f t="shared" si="505"/>
        <v>0.10000000000000142</v>
      </c>
      <c r="M106" s="38"/>
      <c r="N106" s="40"/>
      <c r="O106" s="40"/>
      <c r="P106" s="40"/>
      <c r="Q106" s="40"/>
      <c r="R106" s="40"/>
      <c r="S106" s="40">
        <f t="shared" ref="S106:T106" si="506">(B105+B106)/2</f>
        <v>83.44</v>
      </c>
      <c r="T106" s="40">
        <f t="shared" si="506"/>
        <v>70.284999999999997</v>
      </c>
      <c r="U106" s="40">
        <f t="shared" si="6"/>
        <v>57.62</v>
      </c>
      <c r="V106" s="40">
        <f t="shared" ref="V106:W106" si="507">(E105+E106)/2</f>
        <v>39.209999999999994</v>
      </c>
      <c r="W106" s="40">
        <f t="shared" si="507"/>
        <v>27.75</v>
      </c>
      <c r="X106" s="41">
        <f t="shared" ref="X106:AB106" si="508">(SUM(B103:B106))/4</f>
        <v>83.242500000000007</v>
      </c>
      <c r="Y106" s="40">
        <f t="shared" si="508"/>
        <v>69.81</v>
      </c>
      <c r="Z106" s="40">
        <f t="shared" si="508"/>
        <v>57.517499999999998</v>
      </c>
      <c r="AA106" s="40">
        <f t="shared" si="508"/>
        <v>39.332499999999996</v>
      </c>
      <c r="AB106" s="47">
        <f t="shared" si="508"/>
        <v>28.227499999999999</v>
      </c>
      <c r="AC106" s="42">
        <f t="shared" ref="AC106:AF106" si="509">(B106+C106)/2</f>
        <v>77.17</v>
      </c>
      <c r="AD106" s="42">
        <f t="shared" si="509"/>
        <v>64.134999999999991</v>
      </c>
      <c r="AE106" s="42">
        <f t="shared" si="509"/>
        <v>48.459999999999994</v>
      </c>
      <c r="AF106" s="42">
        <f t="shared" si="509"/>
        <v>33.585000000000001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8"/>
      <c r="BK106" s="8"/>
      <c r="BL106" s="8"/>
      <c r="BM106" s="8"/>
    </row>
    <row r="107" spans="1:65" ht="15.75" hidden="1" customHeight="1" x14ac:dyDescent="0.45">
      <c r="A107" s="43">
        <f t="shared" si="3"/>
        <v>41628</v>
      </c>
      <c r="B107" s="44">
        <v>83.82</v>
      </c>
      <c r="C107" s="44">
        <v>70.739999999999995</v>
      </c>
      <c r="D107" s="44">
        <v>57.53</v>
      </c>
      <c r="E107" s="44">
        <v>39.64</v>
      </c>
      <c r="F107" s="44">
        <v>28</v>
      </c>
      <c r="G107" s="45">
        <v>85.95</v>
      </c>
      <c r="H107" s="37">
        <f t="shared" ref="H107:L107" si="510">B107-B106</f>
        <v>0.19999999999998863</v>
      </c>
      <c r="I107" s="38">
        <f t="shared" si="510"/>
        <v>1.9999999999996021E-2</v>
      </c>
      <c r="J107" s="38">
        <f t="shared" si="510"/>
        <v>-1.9999999999996021E-2</v>
      </c>
      <c r="K107" s="38">
        <f t="shared" si="510"/>
        <v>0.27000000000000313</v>
      </c>
      <c r="L107" s="39">
        <f t="shared" si="510"/>
        <v>0.19999999999999929</v>
      </c>
      <c r="M107" s="38"/>
      <c r="N107" s="40"/>
      <c r="O107" s="40"/>
      <c r="P107" s="40"/>
      <c r="Q107" s="40"/>
      <c r="R107" s="40"/>
      <c r="S107" s="40">
        <f t="shared" ref="S107:T107" si="511">(B106+B107)/2</f>
        <v>83.72</v>
      </c>
      <c r="T107" s="40">
        <f t="shared" si="511"/>
        <v>70.72999999999999</v>
      </c>
      <c r="U107" s="40">
        <f t="shared" si="6"/>
        <v>57.54</v>
      </c>
      <c r="V107" s="40">
        <f t="shared" ref="V107:W107" si="512">(E106+E107)/2</f>
        <v>39.504999999999995</v>
      </c>
      <c r="W107" s="40">
        <f t="shared" si="512"/>
        <v>27.9</v>
      </c>
      <c r="X107" s="41">
        <f t="shared" ref="X107:AB107" si="513">(SUM(B104:B107))/4</f>
        <v>83.647500000000008</v>
      </c>
      <c r="Y107" s="40">
        <f t="shared" si="513"/>
        <v>70.349999999999994</v>
      </c>
      <c r="Z107" s="40">
        <f t="shared" si="513"/>
        <v>57.652499999999996</v>
      </c>
      <c r="AA107" s="40">
        <f t="shared" si="513"/>
        <v>39.427499999999995</v>
      </c>
      <c r="AB107" s="47">
        <f t="shared" si="513"/>
        <v>28.055</v>
      </c>
      <c r="AC107" s="42">
        <f t="shared" ref="AC107:AF107" si="514">(B107+C107)/2</f>
        <v>77.28</v>
      </c>
      <c r="AD107" s="42">
        <f t="shared" si="514"/>
        <v>64.134999999999991</v>
      </c>
      <c r="AE107" s="42">
        <f t="shared" si="514"/>
        <v>48.585000000000001</v>
      </c>
      <c r="AF107" s="42">
        <f t="shared" si="514"/>
        <v>33.82</v>
      </c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8"/>
      <c r="BK107" s="8"/>
      <c r="BL107" s="8"/>
      <c r="BM107" s="8"/>
    </row>
    <row r="108" spans="1:65" ht="15.75" hidden="1" customHeight="1" x14ac:dyDescent="0.45">
      <c r="A108" s="43">
        <f t="shared" si="3"/>
        <v>41635</v>
      </c>
      <c r="B108" s="44">
        <v>84.11</v>
      </c>
      <c r="C108" s="44">
        <v>70.69</v>
      </c>
      <c r="D108" s="44">
        <v>58.26</v>
      </c>
      <c r="E108" s="44">
        <v>39.25</v>
      </c>
      <c r="F108" s="44">
        <v>27.32</v>
      </c>
      <c r="G108" s="45">
        <v>86.3</v>
      </c>
      <c r="H108" s="37">
        <f t="shared" ref="H108:L108" si="515">B108-B107</f>
        <v>0.29000000000000625</v>
      </c>
      <c r="I108" s="38">
        <f t="shared" si="515"/>
        <v>-4.9999999999997158E-2</v>
      </c>
      <c r="J108" s="38">
        <f t="shared" si="515"/>
        <v>0.72999999999999687</v>
      </c>
      <c r="K108" s="38">
        <f t="shared" si="515"/>
        <v>-0.39000000000000057</v>
      </c>
      <c r="L108" s="39">
        <f t="shared" si="515"/>
        <v>-0.67999999999999972</v>
      </c>
      <c r="M108" s="38"/>
      <c r="N108" s="40"/>
      <c r="O108" s="40"/>
      <c r="P108" s="40"/>
      <c r="Q108" s="40"/>
      <c r="R108" s="40"/>
      <c r="S108" s="40">
        <f t="shared" ref="S108:T108" si="516">(B107+B108)/2</f>
        <v>83.965000000000003</v>
      </c>
      <c r="T108" s="40">
        <f t="shared" si="516"/>
        <v>70.715000000000003</v>
      </c>
      <c r="U108" s="40">
        <f t="shared" si="6"/>
        <v>57.894999999999996</v>
      </c>
      <c r="V108" s="40">
        <f t="shared" ref="V108:W108" si="517">(E107+E108)/2</f>
        <v>39.445</v>
      </c>
      <c r="W108" s="40">
        <f t="shared" si="517"/>
        <v>27.66</v>
      </c>
      <c r="X108" s="41">
        <f t="shared" ref="X108:AB108" si="518">(SUM(B105:B108))/4</f>
        <v>83.702500000000001</v>
      </c>
      <c r="Y108" s="40">
        <f t="shared" si="518"/>
        <v>70.5</v>
      </c>
      <c r="Z108" s="40">
        <f t="shared" si="518"/>
        <v>57.757499999999993</v>
      </c>
      <c r="AA108" s="40">
        <f t="shared" si="518"/>
        <v>39.327500000000001</v>
      </c>
      <c r="AB108" s="47">
        <f t="shared" si="518"/>
        <v>27.704999999999998</v>
      </c>
      <c r="AC108" s="42">
        <f t="shared" ref="AC108:AF108" si="519">(B108+C108)/2</f>
        <v>77.400000000000006</v>
      </c>
      <c r="AD108" s="42">
        <f t="shared" si="519"/>
        <v>64.474999999999994</v>
      </c>
      <c r="AE108" s="42">
        <f t="shared" si="519"/>
        <v>48.754999999999995</v>
      </c>
      <c r="AF108" s="42">
        <f t="shared" si="519"/>
        <v>33.284999999999997</v>
      </c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8"/>
      <c r="BK108" s="8"/>
      <c r="BL108" s="8"/>
      <c r="BM108" s="8"/>
    </row>
    <row r="109" spans="1:65" ht="15.75" hidden="1" customHeight="1" x14ac:dyDescent="0.45">
      <c r="A109" s="49">
        <f t="shared" si="3"/>
        <v>41642</v>
      </c>
      <c r="B109" s="44">
        <v>84.47</v>
      </c>
      <c r="C109" s="44">
        <v>71.12</v>
      </c>
      <c r="D109" s="44">
        <v>58.44</v>
      </c>
      <c r="E109" s="44">
        <v>39.049999999999997</v>
      </c>
      <c r="F109" s="44">
        <v>27.72</v>
      </c>
      <c r="G109" s="45">
        <v>85.41</v>
      </c>
      <c r="H109" s="37">
        <f t="shared" ref="H109:L109" si="520">B109-B108</f>
        <v>0.35999999999999943</v>
      </c>
      <c r="I109" s="38">
        <f t="shared" si="520"/>
        <v>0.43000000000000682</v>
      </c>
      <c r="J109" s="38">
        <f t="shared" si="520"/>
        <v>0.17999999999999972</v>
      </c>
      <c r="K109" s="38">
        <f t="shared" si="520"/>
        <v>-0.20000000000000284</v>
      </c>
      <c r="L109" s="39">
        <f t="shared" si="520"/>
        <v>0.39999999999999858</v>
      </c>
      <c r="M109" s="38"/>
      <c r="N109" s="40"/>
      <c r="O109" s="40"/>
      <c r="P109" s="40"/>
      <c r="Q109" s="40"/>
      <c r="R109" s="40"/>
      <c r="S109" s="40">
        <f t="shared" ref="S109:T109" si="521">(B108+B109)/2</f>
        <v>84.289999999999992</v>
      </c>
      <c r="T109" s="40">
        <f t="shared" si="521"/>
        <v>70.905000000000001</v>
      </c>
      <c r="U109" s="40">
        <f t="shared" si="6"/>
        <v>58.349999999999994</v>
      </c>
      <c r="V109" s="40">
        <f t="shared" ref="V109:W109" si="522">(E108+E109)/2</f>
        <v>39.15</v>
      </c>
      <c r="W109" s="40">
        <f t="shared" si="522"/>
        <v>27.52</v>
      </c>
      <c r="X109" s="41">
        <f t="shared" ref="X109:AB109" si="523">(SUM(B106:B109))/4</f>
        <v>84.004999999999995</v>
      </c>
      <c r="Y109" s="40">
        <f t="shared" si="523"/>
        <v>70.817499999999995</v>
      </c>
      <c r="Z109" s="40">
        <f t="shared" si="523"/>
        <v>57.945</v>
      </c>
      <c r="AA109" s="40">
        <f t="shared" si="523"/>
        <v>39.327500000000001</v>
      </c>
      <c r="AB109" s="47">
        <f t="shared" si="523"/>
        <v>27.71</v>
      </c>
      <c r="AC109" s="42">
        <f t="shared" ref="AC109:AF109" si="524">(B109+C109)/2</f>
        <v>77.795000000000002</v>
      </c>
      <c r="AD109" s="42">
        <f t="shared" si="524"/>
        <v>64.78</v>
      </c>
      <c r="AE109" s="42">
        <f t="shared" si="524"/>
        <v>48.744999999999997</v>
      </c>
      <c r="AF109" s="42">
        <f t="shared" si="524"/>
        <v>33.384999999999998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8"/>
      <c r="BK109" s="8"/>
      <c r="BL109" s="8"/>
      <c r="BM109" s="8"/>
    </row>
    <row r="110" spans="1:65" ht="15.75" hidden="1" customHeight="1" x14ac:dyDescent="0.45">
      <c r="A110" s="49">
        <f t="shared" si="3"/>
        <v>41649</v>
      </c>
      <c r="B110" s="44">
        <v>84.04</v>
      </c>
      <c r="C110" s="44">
        <v>70.52</v>
      </c>
      <c r="D110" s="44">
        <v>57.58</v>
      </c>
      <c r="E110" s="44">
        <v>38.72</v>
      </c>
      <c r="F110" s="44">
        <v>27.21</v>
      </c>
      <c r="G110" s="45">
        <v>83.23</v>
      </c>
      <c r="H110" s="37">
        <f t="shared" ref="H110:L110" si="525">B110-B109</f>
        <v>-0.42999999999999261</v>
      </c>
      <c r="I110" s="38">
        <f t="shared" si="525"/>
        <v>-0.60000000000000853</v>
      </c>
      <c r="J110" s="38">
        <f t="shared" si="525"/>
        <v>-0.85999999999999943</v>
      </c>
      <c r="K110" s="38">
        <f t="shared" si="525"/>
        <v>-0.32999999999999829</v>
      </c>
      <c r="L110" s="39">
        <f t="shared" si="525"/>
        <v>-0.50999999999999801</v>
      </c>
      <c r="M110" s="38"/>
      <c r="N110" s="40"/>
      <c r="O110" s="40"/>
      <c r="P110" s="40"/>
      <c r="Q110" s="40"/>
      <c r="R110" s="40"/>
      <c r="S110" s="40">
        <f t="shared" ref="S110:T110" si="526">(B109+B110)/2</f>
        <v>84.254999999999995</v>
      </c>
      <c r="T110" s="40">
        <f t="shared" si="526"/>
        <v>70.819999999999993</v>
      </c>
      <c r="U110" s="40">
        <f t="shared" si="6"/>
        <v>58.01</v>
      </c>
      <c r="V110" s="40">
        <f t="shared" ref="V110:W110" si="527">(E109+E110)/2</f>
        <v>38.884999999999998</v>
      </c>
      <c r="W110" s="40">
        <f t="shared" si="527"/>
        <v>27.465</v>
      </c>
      <c r="X110" s="41">
        <f t="shared" ref="X110:AB110" si="528">(SUM(B107:B110))/4</f>
        <v>84.11</v>
      </c>
      <c r="Y110" s="40">
        <f t="shared" si="528"/>
        <v>70.767499999999998</v>
      </c>
      <c r="Z110" s="40">
        <f t="shared" si="528"/>
        <v>57.952500000000001</v>
      </c>
      <c r="AA110" s="40">
        <f t="shared" si="528"/>
        <v>39.164999999999999</v>
      </c>
      <c r="AB110" s="47">
        <f t="shared" si="528"/>
        <v>27.5625</v>
      </c>
      <c r="AC110" s="42">
        <f t="shared" ref="AC110:AF110" si="529">(B110+C110)/2</f>
        <v>77.28</v>
      </c>
      <c r="AD110" s="42">
        <f t="shared" si="529"/>
        <v>64.05</v>
      </c>
      <c r="AE110" s="42">
        <f t="shared" si="529"/>
        <v>48.15</v>
      </c>
      <c r="AF110" s="42">
        <f t="shared" si="529"/>
        <v>32.965000000000003</v>
      </c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8"/>
      <c r="BK110" s="8"/>
      <c r="BL110" s="8"/>
      <c r="BM110" s="8"/>
    </row>
    <row r="111" spans="1:65" ht="15.75" hidden="1" customHeight="1" x14ac:dyDescent="0.45">
      <c r="A111" s="49">
        <f t="shared" si="3"/>
        <v>41656</v>
      </c>
      <c r="B111" s="44">
        <v>83.22</v>
      </c>
      <c r="C111" s="44">
        <v>71.010000000000005</v>
      </c>
      <c r="D111" s="44">
        <v>57.07</v>
      </c>
      <c r="E111" s="44">
        <v>38.6</v>
      </c>
      <c r="F111" s="44">
        <v>27.65</v>
      </c>
      <c r="G111" s="45">
        <v>82.3</v>
      </c>
      <c r="H111" s="37">
        <f t="shared" ref="H111:L111" si="530">B111-B110</f>
        <v>-0.82000000000000739</v>
      </c>
      <c r="I111" s="38">
        <f t="shared" si="530"/>
        <v>0.49000000000000909</v>
      </c>
      <c r="J111" s="38">
        <f t="shared" si="530"/>
        <v>-0.50999999999999801</v>
      </c>
      <c r="K111" s="38">
        <f t="shared" si="530"/>
        <v>-0.11999999999999744</v>
      </c>
      <c r="L111" s="39">
        <f t="shared" si="530"/>
        <v>0.43999999999999773</v>
      </c>
      <c r="M111" s="38"/>
      <c r="N111" s="40"/>
      <c r="O111" s="40"/>
      <c r="P111" s="40"/>
      <c r="Q111" s="40"/>
      <c r="R111" s="40"/>
      <c r="S111" s="40">
        <f t="shared" ref="S111:T111" si="531">(B110+B111)/2</f>
        <v>83.63</v>
      </c>
      <c r="T111" s="40">
        <f t="shared" si="531"/>
        <v>70.765000000000001</v>
      </c>
      <c r="U111" s="40">
        <f t="shared" si="6"/>
        <v>57.325000000000003</v>
      </c>
      <c r="V111" s="40">
        <f t="shared" ref="V111:W111" si="532">(E110+E111)/2</f>
        <v>38.659999999999997</v>
      </c>
      <c r="W111" s="40">
        <f t="shared" si="532"/>
        <v>27.43</v>
      </c>
      <c r="X111" s="41">
        <f t="shared" ref="X111:AB111" si="533">(SUM(B108:B111))/4</f>
        <v>83.960000000000008</v>
      </c>
      <c r="Y111" s="40">
        <f t="shared" si="533"/>
        <v>70.834999999999994</v>
      </c>
      <c r="Z111" s="40">
        <f t="shared" si="533"/>
        <v>57.837499999999991</v>
      </c>
      <c r="AA111" s="40">
        <f t="shared" si="533"/>
        <v>38.905000000000001</v>
      </c>
      <c r="AB111" s="47">
        <f t="shared" si="533"/>
        <v>27.475000000000001</v>
      </c>
      <c r="AC111" s="42">
        <f t="shared" ref="AC111:AF111" si="534">(B111+C111)/2</f>
        <v>77.115000000000009</v>
      </c>
      <c r="AD111" s="42">
        <f t="shared" si="534"/>
        <v>64.040000000000006</v>
      </c>
      <c r="AE111" s="42">
        <f t="shared" si="534"/>
        <v>47.835000000000001</v>
      </c>
      <c r="AF111" s="42">
        <f t="shared" si="534"/>
        <v>33.125</v>
      </c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8"/>
      <c r="BK111" s="8"/>
      <c r="BL111" s="8"/>
      <c r="BM111" s="8"/>
    </row>
    <row r="112" spans="1:65" ht="15.75" hidden="1" customHeight="1" x14ac:dyDescent="0.45">
      <c r="A112" s="49">
        <f t="shared" si="3"/>
        <v>41663</v>
      </c>
      <c r="B112" s="44">
        <v>82.5</v>
      </c>
      <c r="C112" s="44">
        <v>71.709999999999994</v>
      </c>
      <c r="D112" s="44">
        <v>57.2</v>
      </c>
      <c r="E112" s="44">
        <v>38.68</v>
      </c>
      <c r="F112" s="44">
        <v>27.32</v>
      </c>
      <c r="G112" s="45">
        <v>81.52</v>
      </c>
      <c r="H112" s="37">
        <f t="shared" ref="H112:L112" si="535">B112-B111</f>
        <v>-0.71999999999999886</v>
      </c>
      <c r="I112" s="38">
        <f t="shared" si="535"/>
        <v>0.69999999999998863</v>
      </c>
      <c r="J112" s="38">
        <f t="shared" si="535"/>
        <v>0.13000000000000256</v>
      </c>
      <c r="K112" s="38">
        <f t="shared" si="535"/>
        <v>7.9999999999998295E-2</v>
      </c>
      <c r="L112" s="39">
        <f t="shared" si="535"/>
        <v>-0.32999999999999829</v>
      </c>
      <c r="M112" s="38"/>
      <c r="N112" s="40"/>
      <c r="O112" s="40"/>
      <c r="P112" s="40"/>
      <c r="Q112" s="40"/>
      <c r="R112" s="40"/>
      <c r="S112" s="40">
        <f t="shared" ref="S112:T112" si="536">(B111+B112)/2</f>
        <v>82.86</v>
      </c>
      <c r="T112" s="40">
        <f t="shared" si="536"/>
        <v>71.36</v>
      </c>
      <c r="U112" s="40">
        <f t="shared" si="6"/>
        <v>57.135000000000005</v>
      </c>
      <c r="V112" s="40">
        <f t="shared" ref="V112:W112" si="537">(E111+E112)/2</f>
        <v>38.64</v>
      </c>
      <c r="W112" s="40">
        <f t="shared" si="537"/>
        <v>27.484999999999999</v>
      </c>
      <c r="X112" s="41">
        <f t="shared" ref="X112:AB112" si="538">(SUM(B109:B112))/4</f>
        <v>83.557500000000005</v>
      </c>
      <c r="Y112" s="40">
        <f t="shared" si="538"/>
        <v>71.089999999999989</v>
      </c>
      <c r="Z112" s="40">
        <f t="shared" si="538"/>
        <v>57.572500000000005</v>
      </c>
      <c r="AA112" s="40">
        <f t="shared" si="538"/>
        <v>38.762500000000003</v>
      </c>
      <c r="AB112" s="47">
        <f t="shared" si="538"/>
        <v>27.475000000000001</v>
      </c>
      <c r="AC112" s="42">
        <f t="shared" ref="AC112:AF112" si="539">(B112+C112)/2</f>
        <v>77.10499999999999</v>
      </c>
      <c r="AD112" s="42">
        <f t="shared" si="539"/>
        <v>64.454999999999998</v>
      </c>
      <c r="AE112" s="42">
        <f t="shared" si="539"/>
        <v>47.94</v>
      </c>
      <c r="AF112" s="42">
        <f t="shared" si="539"/>
        <v>33</v>
      </c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8"/>
      <c r="BK112" s="8"/>
      <c r="BL112" s="8"/>
      <c r="BM112" s="8"/>
    </row>
    <row r="113" spans="1:65" ht="15.75" hidden="1" customHeight="1" x14ac:dyDescent="0.45">
      <c r="A113" s="49">
        <f t="shared" si="3"/>
        <v>41670</v>
      </c>
      <c r="B113" s="44">
        <v>81.89</v>
      </c>
      <c r="C113" s="44">
        <v>70.87</v>
      </c>
      <c r="D113" s="44">
        <v>57.39</v>
      </c>
      <c r="E113" s="44">
        <v>38.68</v>
      </c>
      <c r="F113" s="44">
        <v>27.27</v>
      </c>
      <c r="G113" s="45">
        <v>81.89</v>
      </c>
      <c r="H113" s="37">
        <f t="shared" ref="H113:L113" si="540">B113-B112</f>
        <v>-0.60999999999999943</v>
      </c>
      <c r="I113" s="38">
        <f t="shared" si="540"/>
        <v>-0.8399999999999892</v>
      </c>
      <c r="J113" s="38">
        <f t="shared" si="540"/>
        <v>0.18999999999999773</v>
      </c>
      <c r="K113" s="38">
        <f t="shared" si="540"/>
        <v>0</v>
      </c>
      <c r="L113" s="39">
        <f t="shared" si="540"/>
        <v>-5.0000000000000711E-2</v>
      </c>
      <c r="M113" s="38"/>
      <c r="N113" s="40"/>
      <c r="O113" s="40"/>
      <c r="P113" s="40"/>
      <c r="Q113" s="40"/>
      <c r="R113" s="40"/>
      <c r="S113" s="40">
        <f t="shared" ref="S113:T113" si="541">(B112+B113)/2</f>
        <v>82.194999999999993</v>
      </c>
      <c r="T113" s="40">
        <f t="shared" si="541"/>
        <v>71.289999999999992</v>
      </c>
      <c r="U113" s="40">
        <f t="shared" si="6"/>
        <v>57.295000000000002</v>
      </c>
      <c r="V113" s="40">
        <f t="shared" ref="V113:W113" si="542">(E112+E113)/2</f>
        <v>38.68</v>
      </c>
      <c r="W113" s="40">
        <f t="shared" si="542"/>
        <v>27.295000000000002</v>
      </c>
      <c r="X113" s="41">
        <f t="shared" ref="X113:AB113" si="543">(SUM(B110:B113))/4</f>
        <v>82.912499999999994</v>
      </c>
      <c r="Y113" s="40">
        <f t="shared" si="543"/>
        <v>71.027500000000003</v>
      </c>
      <c r="Z113" s="40">
        <f t="shared" si="543"/>
        <v>57.31</v>
      </c>
      <c r="AA113" s="40">
        <f t="shared" si="543"/>
        <v>38.67</v>
      </c>
      <c r="AB113" s="47">
        <f t="shared" si="543"/>
        <v>27.362500000000001</v>
      </c>
      <c r="AC113" s="42">
        <f t="shared" ref="AC113:AF113" si="544">(B113+C113)/2</f>
        <v>76.38</v>
      </c>
      <c r="AD113" s="42">
        <f t="shared" si="544"/>
        <v>64.13</v>
      </c>
      <c r="AE113" s="42">
        <f t="shared" si="544"/>
        <v>48.034999999999997</v>
      </c>
      <c r="AF113" s="42">
        <f t="shared" si="544"/>
        <v>32.975000000000001</v>
      </c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8"/>
      <c r="BK113" s="8"/>
      <c r="BL113" s="8"/>
      <c r="BM113" s="8"/>
    </row>
    <row r="114" spans="1:65" ht="15.75" hidden="1" customHeight="1" x14ac:dyDescent="0.45">
      <c r="A114" s="49">
        <f t="shared" si="3"/>
        <v>41677</v>
      </c>
      <c r="B114" s="44">
        <v>81.900000000000006</v>
      </c>
      <c r="C114" s="44">
        <v>70.739999999999995</v>
      </c>
      <c r="D114" s="44">
        <v>57.64</v>
      </c>
      <c r="E114" s="44">
        <v>39.19</v>
      </c>
      <c r="F114" s="44">
        <v>27.12</v>
      </c>
      <c r="G114" s="45">
        <v>81.900000000000006</v>
      </c>
      <c r="H114" s="37">
        <f t="shared" ref="H114:L114" si="545">B114-B113</f>
        <v>1.0000000000005116E-2</v>
      </c>
      <c r="I114" s="38">
        <f t="shared" si="545"/>
        <v>-0.13000000000000966</v>
      </c>
      <c r="J114" s="38">
        <f t="shared" si="545"/>
        <v>0.25</v>
      </c>
      <c r="K114" s="38">
        <f t="shared" si="545"/>
        <v>0.50999999999999801</v>
      </c>
      <c r="L114" s="39">
        <f t="shared" si="545"/>
        <v>-0.14999999999999858</v>
      </c>
      <c r="M114" s="38"/>
      <c r="N114" s="40"/>
      <c r="O114" s="40"/>
      <c r="P114" s="40"/>
      <c r="Q114" s="40"/>
      <c r="R114" s="40"/>
      <c r="S114" s="40">
        <f t="shared" ref="S114:T114" si="546">(B113+B114)/2</f>
        <v>81.89500000000001</v>
      </c>
      <c r="T114" s="40">
        <f t="shared" si="546"/>
        <v>70.805000000000007</v>
      </c>
      <c r="U114" s="40">
        <f t="shared" si="6"/>
        <v>57.515000000000001</v>
      </c>
      <c r="V114" s="40">
        <f t="shared" ref="V114:W114" si="547">(E113+E114)/2</f>
        <v>38.935000000000002</v>
      </c>
      <c r="W114" s="40">
        <f t="shared" si="547"/>
        <v>27.195</v>
      </c>
      <c r="X114" s="41">
        <f t="shared" ref="X114:AB114" si="548">(SUM(B111:B114))/4</f>
        <v>82.377499999999998</v>
      </c>
      <c r="Y114" s="40">
        <f t="shared" si="548"/>
        <v>71.082499999999996</v>
      </c>
      <c r="Z114" s="40">
        <f t="shared" si="548"/>
        <v>57.325000000000003</v>
      </c>
      <c r="AA114" s="40">
        <f t="shared" si="548"/>
        <v>38.787500000000001</v>
      </c>
      <c r="AB114" s="47">
        <f t="shared" si="548"/>
        <v>27.34</v>
      </c>
      <c r="AC114" s="42">
        <f t="shared" ref="AC114:AF114" si="549">(B114+C114)/2</f>
        <v>76.319999999999993</v>
      </c>
      <c r="AD114" s="42">
        <f t="shared" si="549"/>
        <v>64.19</v>
      </c>
      <c r="AE114" s="42">
        <f t="shared" si="549"/>
        <v>48.414999999999999</v>
      </c>
      <c r="AF114" s="42">
        <f t="shared" si="549"/>
        <v>33.155000000000001</v>
      </c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8"/>
      <c r="BK114" s="8"/>
      <c r="BL114" s="8"/>
      <c r="BM114" s="8"/>
    </row>
    <row r="115" spans="1:65" ht="15.75" hidden="1" customHeight="1" x14ac:dyDescent="0.45">
      <c r="A115" s="49">
        <f t="shared" si="3"/>
        <v>41684</v>
      </c>
      <c r="B115" s="44">
        <v>80.53</v>
      </c>
      <c r="C115" s="44">
        <v>70.44</v>
      </c>
      <c r="D115" s="44">
        <v>56.98</v>
      </c>
      <c r="E115" s="44">
        <v>38.76</v>
      </c>
      <c r="F115" s="44">
        <v>26.58</v>
      </c>
      <c r="G115" s="45">
        <v>77.16</v>
      </c>
      <c r="H115" s="37">
        <f t="shared" ref="H115:L115" si="550">B115-B114</f>
        <v>-1.3700000000000045</v>
      </c>
      <c r="I115" s="38">
        <f t="shared" si="550"/>
        <v>-0.29999999999999716</v>
      </c>
      <c r="J115" s="38">
        <f t="shared" si="550"/>
        <v>-0.66000000000000369</v>
      </c>
      <c r="K115" s="38">
        <f t="shared" si="550"/>
        <v>-0.42999999999999972</v>
      </c>
      <c r="L115" s="39">
        <f t="shared" si="550"/>
        <v>-0.5400000000000027</v>
      </c>
      <c r="M115" s="38"/>
      <c r="N115" s="40"/>
      <c r="O115" s="40"/>
      <c r="P115" s="40"/>
      <c r="Q115" s="40"/>
      <c r="R115" s="40"/>
      <c r="S115" s="40">
        <f t="shared" ref="S115:T115" si="551">(B114+B115)/2</f>
        <v>81.215000000000003</v>
      </c>
      <c r="T115" s="40">
        <f t="shared" si="551"/>
        <v>70.59</v>
      </c>
      <c r="U115" s="40">
        <f t="shared" si="6"/>
        <v>57.31</v>
      </c>
      <c r="V115" s="40">
        <f t="shared" ref="V115:W115" si="552">(E114+E115)/2</f>
        <v>38.974999999999994</v>
      </c>
      <c r="W115" s="40">
        <f t="shared" si="552"/>
        <v>26.85</v>
      </c>
      <c r="X115" s="41">
        <f t="shared" ref="X115:AB115" si="553">(SUM(B112:B115))/4</f>
        <v>81.704999999999998</v>
      </c>
      <c r="Y115" s="40">
        <f t="shared" si="553"/>
        <v>70.94</v>
      </c>
      <c r="Z115" s="40">
        <f t="shared" si="553"/>
        <v>57.302500000000002</v>
      </c>
      <c r="AA115" s="40">
        <f t="shared" si="553"/>
        <v>38.827500000000001</v>
      </c>
      <c r="AB115" s="47">
        <f t="shared" si="553"/>
        <v>27.072500000000002</v>
      </c>
      <c r="AC115" s="42">
        <f t="shared" ref="AC115:AF115" si="554">(B115+C115)/2</f>
        <v>75.484999999999999</v>
      </c>
      <c r="AD115" s="42">
        <f t="shared" si="554"/>
        <v>63.709999999999994</v>
      </c>
      <c r="AE115" s="42">
        <f t="shared" si="554"/>
        <v>47.87</v>
      </c>
      <c r="AF115" s="42">
        <f t="shared" si="554"/>
        <v>32.67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8"/>
      <c r="BK115" s="8"/>
      <c r="BL115" s="8"/>
      <c r="BM115" s="8"/>
    </row>
    <row r="116" spans="1:65" ht="15.75" hidden="1" customHeight="1" x14ac:dyDescent="0.45">
      <c r="A116" s="49">
        <f t="shared" si="3"/>
        <v>41691</v>
      </c>
      <c r="B116" s="44">
        <v>79.27</v>
      </c>
      <c r="C116" s="44">
        <v>69.75</v>
      </c>
      <c r="D116" s="44">
        <v>56.88</v>
      </c>
      <c r="E116" s="44">
        <v>38.72</v>
      </c>
      <c r="F116" s="44">
        <v>26.41</v>
      </c>
      <c r="G116" s="45">
        <v>77.3</v>
      </c>
      <c r="H116" s="37">
        <f t="shared" ref="H116:L116" si="555">B116-B115</f>
        <v>-1.2600000000000051</v>
      </c>
      <c r="I116" s="38">
        <f t="shared" si="555"/>
        <v>-0.68999999999999773</v>
      </c>
      <c r="J116" s="38">
        <f t="shared" si="555"/>
        <v>-9.9999999999994316E-2</v>
      </c>
      <c r="K116" s="38">
        <f t="shared" si="555"/>
        <v>-3.9999999999999147E-2</v>
      </c>
      <c r="L116" s="39">
        <f t="shared" si="555"/>
        <v>-0.16999999999999815</v>
      </c>
      <c r="M116" s="38"/>
      <c r="N116" s="40"/>
      <c r="O116" s="40"/>
      <c r="P116" s="40"/>
      <c r="Q116" s="40"/>
      <c r="R116" s="40"/>
      <c r="S116" s="40">
        <f t="shared" ref="S116:T116" si="556">(B115+B116)/2</f>
        <v>79.900000000000006</v>
      </c>
      <c r="T116" s="40">
        <f t="shared" si="556"/>
        <v>70.094999999999999</v>
      </c>
      <c r="U116" s="40">
        <f t="shared" si="6"/>
        <v>56.93</v>
      </c>
      <c r="V116" s="40">
        <f t="shared" ref="V116:W116" si="557">(E115+E116)/2</f>
        <v>38.739999999999995</v>
      </c>
      <c r="W116" s="40">
        <f t="shared" si="557"/>
        <v>26.494999999999997</v>
      </c>
      <c r="X116" s="41">
        <f t="shared" ref="X116:AB116" si="558">(SUM(B113:B116))/4</f>
        <v>80.897500000000008</v>
      </c>
      <c r="Y116" s="40">
        <f t="shared" si="558"/>
        <v>70.45</v>
      </c>
      <c r="Z116" s="40">
        <f t="shared" si="558"/>
        <v>57.222499999999997</v>
      </c>
      <c r="AA116" s="40">
        <f t="shared" si="558"/>
        <v>38.837499999999999</v>
      </c>
      <c r="AB116" s="47">
        <f t="shared" si="558"/>
        <v>26.844999999999999</v>
      </c>
      <c r="AC116" s="42">
        <f t="shared" ref="AC116:AF116" si="559">(B116+C116)/2</f>
        <v>74.509999999999991</v>
      </c>
      <c r="AD116" s="42">
        <f t="shared" si="559"/>
        <v>63.314999999999998</v>
      </c>
      <c r="AE116" s="42">
        <f t="shared" si="559"/>
        <v>47.8</v>
      </c>
      <c r="AF116" s="42">
        <f t="shared" si="559"/>
        <v>32.564999999999998</v>
      </c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8"/>
      <c r="BK116" s="8"/>
      <c r="BL116" s="8"/>
      <c r="BM116" s="8"/>
    </row>
    <row r="117" spans="1:65" ht="15.75" hidden="1" customHeight="1" x14ac:dyDescent="0.45">
      <c r="A117" s="49">
        <f t="shared" si="3"/>
        <v>41698</v>
      </c>
      <c r="B117" s="44">
        <v>79.92</v>
      </c>
      <c r="C117" s="44">
        <v>69.58</v>
      </c>
      <c r="D117" s="44">
        <v>56.96</v>
      </c>
      <c r="E117" s="44">
        <v>38.65</v>
      </c>
      <c r="F117" s="44">
        <v>25.91</v>
      </c>
      <c r="G117" s="45">
        <v>77.180000000000007</v>
      </c>
      <c r="H117" s="37">
        <f t="shared" ref="H117:L117" si="560">B117-B116</f>
        <v>0.65000000000000568</v>
      </c>
      <c r="I117" s="38">
        <f t="shared" si="560"/>
        <v>-0.17000000000000171</v>
      </c>
      <c r="J117" s="38">
        <f t="shared" si="560"/>
        <v>7.9999999999998295E-2</v>
      </c>
      <c r="K117" s="38">
        <f t="shared" si="560"/>
        <v>-7.0000000000000284E-2</v>
      </c>
      <c r="L117" s="39">
        <f t="shared" si="560"/>
        <v>-0.5</v>
      </c>
      <c r="M117" s="38"/>
      <c r="N117" s="40"/>
      <c r="O117" s="40"/>
      <c r="P117" s="40"/>
      <c r="Q117" s="40"/>
      <c r="R117" s="40"/>
      <c r="S117" s="40">
        <f t="shared" ref="S117:T117" si="561">(B116+B117)/2</f>
        <v>79.594999999999999</v>
      </c>
      <c r="T117" s="40">
        <f t="shared" si="561"/>
        <v>69.664999999999992</v>
      </c>
      <c r="U117" s="40">
        <f t="shared" si="6"/>
        <v>56.92</v>
      </c>
      <c r="V117" s="40">
        <f t="shared" ref="V117:W117" si="562">(E116+E117)/2</f>
        <v>38.685000000000002</v>
      </c>
      <c r="W117" s="40">
        <f t="shared" si="562"/>
        <v>26.16</v>
      </c>
      <c r="X117" s="41">
        <f t="shared" ref="X117:AB117" si="563">(SUM(B114:B117))/4</f>
        <v>80.405000000000001</v>
      </c>
      <c r="Y117" s="40">
        <f t="shared" si="563"/>
        <v>70.127499999999998</v>
      </c>
      <c r="Z117" s="40">
        <f t="shared" si="563"/>
        <v>57.115000000000002</v>
      </c>
      <c r="AA117" s="40">
        <f t="shared" si="563"/>
        <v>38.83</v>
      </c>
      <c r="AB117" s="47">
        <f t="shared" si="563"/>
        <v>26.504999999999999</v>
      </c>
      <c r="AC117" s="42">
        <f t="shared" ref="AC117:AF117" si="564">(B117+C117)/2</f>
        <v>74.75</v>
      </c>
      <c r="AD117" s="42">
        <f t="shared" si="564"/>
        <v>63.269999999999996</v>
      </c>
      <c r="AE117" s="42">
        <f t="shared" si="564"/>
        <v>47.805</v>
      </c>
      <c r="AF117" s="42">
        <f t="shared" si="564"/>
        <v>32.28</v>
      </c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8"/>
      <c r="BK117" s="8"/>
      <c r="BL117" s="8"/>
      <c r="BM117" s="8"/>
    </row>
    <row r="118" spans="1:65" ht="15.75" hidden="1" customHeight="1" x14ac:dyDescent="0.45">
      <c r="A118" s="49">
        <f t="shared" si="3"/>
        <v>41705</v>
      </c>
      <c r="B118" s="44">
        <v>79.03</v>
      </c>
      <c r="C118" s="44">
        <v>69.23</v>
      </c>
      <c r="D118" s="44">
        <v>56.7</v>
      </c>
      <c r="E118" s="44">
        <v>38.61</v>
      </c>
      <c r="F118" s="44">
        <v>25.69</v>
      </c>
      <c r="G118" s="45">
        <v>75.17</v>
      </c>
      <c r="H118" s="37">
        <f t="shared" ref="H118:L118" si="565">B118-B117</f>
        <v>-0.89000000000000057</v>
      </c>
      <c r="I118" s="38">
        <f t="shared" si="565"/>
        <v>-0.34999999999999432</v>
      </c>
      <c r="J118" s="38">
        <f t="shared" si="565"/>
        <v>-0.25999999999999801</v>
      </c>
      <c r="K118" s="38">
        <f t="shared" si="565"/>
        <v>-3.9999999999999147E-2</v>
      </c>
      <c r="L118" s="39">
        <f t="shared" si="565"/>
        <v>-0.21999999999999886</v>
      </c>
      <c r="M118" s="38"/>
      <c r="N118" s="40"/>
      <c r="O118" s="40"/>
      <c r="P118" s="40"/>
      <c r="Q118" s="40"/>
      <c r="R118" s="40"/>
      <c r="S118" s="40">
        <f t="shared" ref="S118:T118" si="566">(B117+B118)/2</f>
        <v>79.474999999999994</v>
      </c>
      <c r="T118" s="40">
        <f t="shared" si="566"/>
        <v>69.405000000000001</v>
      </c>
      <c r="U118" s="40">
        <f t="shared" si="6"/>
        <v>56.83</v>
      </c>
      <c r="V118" s="40">
        <f t="shared" ref="V118:W118" si="567">(E117+E118)/2</f>
        <v>38.629999999999995</v>
      </c>
      <c r="W118" s="40">
        <f t="shared" si="567"/>
        <v>25.8</v>
      </c>
      <c r="X118" s="41">
        <f t="shared" ref="X118:AB118" si="568">(SUM(B115:B118))/4</f>
        <v>79.6875</v>
      </c>
      <c r="Y118" s="40">
        <f t="shared" si="568"/>
        <v>69.75</v>
      </c>
      <c r="Z118" s="40">
        <f t="shared" si="568"/>
        <v>56.879999999999995</v>
      </c>
      <c r="AA118" s="40">
        <f t="shared" si="568"/>
        <v>38.685000000000002</v>
      </c>
      <c r="AB118" s="47">
        <f t="shared" si="568"/>
        <v>26.147499999999997</v>
      </c>
      <c r="AC118" s="42">
        <f t="shared" ref="AC118:AF118" si="569">(B118+C118)/2</f>
        <v>74.13</v>
      </c>
      <c r="AD118" s="42">
        <f t="shared" si="569"/>
        <v>62.965000000000003</v>
      </c>
      <c r="AE118" s="42">
        <f t="shared" si="569"/>
        <v>47.655000000000001</v>
      </c>
      <c r="AF118" s="42">
        <f t="shared" si="569"/>
        <v>32.15</v>
      </c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8"/>
      <c r="BK118" s="8"/>
      <c r="BL118" s="8"/>
      <c r="BM118" s="8"/>
    </row>
    <row r="119" spans="1:65" ht="15.75" hidden="1" customHeight="1" x14ac:dyDescent="0.45">
      <c r="A119" s="49">
        <f t="shared" si="3"/>
        <v>41712</v>
      </c>
      <c r="B119" s="44">
        <v>78.61</v>
      </c>
      <c r="C119" s="44">
        <v>68.73</v>
      </c>
      <c r="D119" s="44">
        <v>56.43</v>
      </c>
      <c r="E119" s="44">
        <v>38.43</v>
      </c>
      <c r="F119" s="44">
        <v>25.56</v>
      </c>
      <c r="G119" s="45">
        <v>72.98</v>
      </c>
      <c r="H119" s="37">
        <f t="shared" ref="H119:L119" si="570">B119-B118</f>
        <v>-0.42000000000000171</v>
      </c>
      <c r="I119" s="38">
        <f t="shared" si="570"/>
        <v>-0.5</v>
      </c>
      <c r="J119" s="38">
        <f t="shared" si="570"/>
        <v>-0.27000000000000313</v>
      </c>
      <c r="K119" s="38">
        <f t="shared" si="570"/>
        <v>-0.17999999999999972</v>
      </c>
      <c r="L119" s="39">
        <f t="shared" si="570"/>
        <v>-0.13000000000000256</v>
      </c>
      <c r="M119" s="38"/>
      <c r="N119" s="40"/>
      <c r="O119" s="40"/>
      <c r="P119" s="40"/>
      <c r="Q119" s="40"/>
      <c r="R119" s="40"/>
      <c r="S119" s="40">
        <f t="shared" ref="S119:T119" si="571">(B118+B119)/2</f>
        <v>78.819999999999993</v>
      </c>
      <c r="T119" s="40">
        <f t="shared" si="571"/>
        <v>68.98</v>
      </c>
      <c r="U119" s="40">
        <f t="shared" si="6"/>
        <v>56.564999999999998</v>
      </c>
      <c r="V119" s="40">
        <f t="shared" ref="V119:W119" si="572">(E118+E119)/2</f>
        <v>38.519999999999996</v>
      </c>
      <c r="W119" s="40">
        <f t="shared" si="572"/>
        <v>25.625</v>
      </c>
      <c r="X119" s="41">
        <f t="shared" ref="X119:AB119" si="573">(SUM(B116:B119))/4</f>
        <v>79.207499999999996</v>
      </c>
      <c r="Y119" s="40">
        <f t="shared" si="573"/>
        <v>69.322500000000005</v>
      </c>
      <c r="Z119" s="40">
        <f t="shared" si="573"/>
        <v>56.742500000000007</v>
      </c>
      <c r="AA119" s="40">
        <f t="shared" si="573"/>
        <v>38.602499999999999</v>
      </c>
      <c r="AB119" s="47">
        <f t="shared" si="573"/>
        <v>25.892500000000002</v>
      </c>
      <c r="AC119" s="42">
        <f t="shared" ref="AC119:AF119" si="574">(B119+C119)/2</f>
        <v>73.67</v>
      </c>
      <c r="AD119" s="42">
        <f t="shared" si="574"/>
        <v>62.58</v>
      </c>
      <c r="AE119" s="42">
        <f t="shared" si="574"/>
        <v>47.43</v>
      </c>
      <c r="AF119" s="42">
        <f t="shared" si="574"/>
        <v>31.994999999999997</v>
      </c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8"/>
      <c r="BK119" s="8"/>
      <c r="BL119" s="8"/>
      <c r="BM119" s="8"/>
    </row>
    <row r="120" spans="1:65" ht="15.75" hidden="1" customHeight="1" x14ac:dyDescent="0.45">
      <c r="A120" s="49">
        <f t="shared" si="3"/>
        <v>41719</v>
      </c>
      <c r="B120" s="44">
        <v>78.2</v>
      </c>
      <c r="C120" s="44">
        <v>68.930000000000007</v>
      </c>
      <c r="D120" s="44">
        <v>55.99</v>
      </c>
      <c r="E120" s="44">
        <v>38.380000000000003</v>
      </c>
      <c r="F120" s="44">
        <v>25.68</v>
      </c>
      <c r="G120" s="45">
        <v>75.099999999999994</v>
      </c>
      <c r="H120" s="37">
        <f t="shared" ref="H120:L120" si="575">B120-B119</f>
        <v>-0.40999999999999659</v>
      </c>
      <c r="I120" s="38">
        <f t="shared" si="575"/>
        <v>0.20000000000000284</v>
      </c>
      <c r="J120" s="38">
        <f t="shared" si="575"/>
        <v>-0.43999999999999773</v>
      </c>
      <c r="K120" s="38">
        <f t="shared" si="575"/>
        <v>-4.9999999999997158E-2</v>
      </c>
      <c r="L120" s="39">
        <f t="shared" si="575"/>
        <v>0.12000000000000099</v>
      </c>
      <c r="M120" s="38"/>
      <c r="N120" s="40"/>
      <c r="O120" s="40"/>
      <c r="P120" s="40"/>
      <c r="Q120" s="40"/>
      <c r="R120" s="40"/>
      <c r="S120" s="40">
        <f t="shared" ref="S120:T120" si="576">(B119+B120)/2</f>
        <v>78.405000000000001</v>
      </c>
      <c r="T120" s="40">
        <f t="shared" si="576"/>
        <v>68.830000000000013</v>
      </c>
      <c r="U120" s="40">
        <f t="shared" si="6"/>
        <v>56.21</v>
      </c>
      <c r="V120" s="40">
        <f t="shared" ref="V120:W120" si="577">(E119+E120)/2</f>
        <v>38.405000000000001</v>
      </c>
      <c r="W120" s="40">
        <f t="shared" si="577"/>
        <v>25.619999999999997</v>
      </c>
      <c r="X120" s="41">
        <f t="shared" ref="X120:AB120" si="578">(SUM(B117:B120))/4</f>
        <v>78.94</v>
      </c>
      <c r="Y120" s="40">
        <f t="shared" si="578"/>
        <v>69.117500000000007</v>
      </c>
      <c r="Z120" s="40">
        <f t="shared" si="578"/>
        <v>56.52</v>
      </c>
      <c r="AA120" s="40">
        <f t="shared" si="578"/>
        <v>38.517499999999998</v>
      </c>
      <c r="AB120" s="47">
        <f t="shared" si="578"/>
        <v>25.71</v>
      </c>
      <c r="AC120" s="42">
        <f t="shared" ref="AC120:AF120" si="579">(B120+C120)/2</f>
        <v>73.564999999999998</v>
      </c>
      <c r="AD120" s="42">
        <f t="shared" si="579"/>
        <v>62.460000000000008</v>
      </c>
      <c r="AE120" s="42">
        <f t="shared" si="579"/>
        <v>47.185000000000002</v>
      </c>
      <c r="AF120" s="42">
        <f t="shared" si="579"/>
        <v>32.03</v>
      </c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8"/>
      <c r="BK120" s="8"/>
      <c r="BL120" s="8"/>
      <c r="BM120" s="8"/>
    </row>
    <row r="121" spans="1:65" ht="15.75" hidden="1" customHeight="1" x14ac:dyDescent="0.45">
      <c r="A121" s="49">
        <f t="shared" si="3"/>
        <v>41726</v>
      </c>
      <c r="B121" s="44">
        <v>77.45</v>
      </c>
      <c r="C121" s="44">
        <v>66.739999999999995</v>
      </c>
      <c r="D121" s="44">
        <v>56.07</v>
      </c>
      <c r="E121" s="44">
        <v>37.33</v>
      </c>
      <c r="F121" s="44">
        <v>25.6</v>
      </c>
      <c r="G121" s="45">
        <v>74.069999999999993</v>
      </c>
      <c r="H121" s="37">
        <f t="shared" ref="H121:L121" si="580">B121-B120</f>
        <v>-0.75</v>
      </c>
      <c r="I121" s="38">
        <f t="shared" si="580"/>
        <v>-2.1900000000000119</v>
      </c>
      <c r="J121" s="38">
        <f t="shared" si="580"/>
        <v>7.9999999999998295E-2</v>
      </c>
      <c r="K121" s="38">
        <f t="shared" si="580"/>
        <v>-1.0500000000000043</v>
      </c>
      <c r="L121" s="39">
        <f t="shared" si="580"/>
        <v>-7.9999999999998295E-2</v>
      </c>
      <c r="M121" s="38"/>
      <c r="N121" s="40"/>
      <c r="O121" s="40"/>
      <c r="P121" s="40"/>
      <c r="Q121" s="40"/>
      <c r="R121" s="40"/>
      <c r="S121" s="40">
        <f t="shared" ref="S121:T121" si="581">(B120+B121)/2</f>
        <v>77.825000000000003</v>
      </c>
      <c r="T121" s="40">
        <f t="shared" si="581"/>
        <v>67.835000000000008</v>
      </c>
      <c r="U121" s="40">
        <f t="shared" si="6"/>
        <v>56.03</v>
      </c>
      <c r="V121" s="40">
        <f t="shared" ref="V121:W121" si="582">(E120+E121)/2</f>
        <v>37.855000000000004</v>
      </c>
      <c r="W121" s="40">
        <f t="shared" si="582"/>
        <v>25.64</v>
      </c>
      <c r="X121" s="41">
        <f t="shared" ref="X121:AB121" si="583">(SUM(B118:B121))/4</f>
        <v>78.322499999999991</v>
      </c>
      <c r="Y121" s="40">
        <f t="shared" si="583"/>
        <v>68.407499999999999</v>
      </c>
      <c r="Z121" s="40">
        <f t="shared" si="583"/>
        <v>56.297499999999999</v>
      </c>
      <c r="AA121" s="40">
        <f t="shared" si="583"/>
        <v>38.1875</v>
      </c>
      <c r="AB121" s="47">
        <f t="shared" si="583"/>
        <v>25.6325</v>
      </c>
      <c r="AC121" s="42">
        <f t="shared" ref="AC121:AF121" si="584">(B121+C121)/2</f>
        <v>72.094999999999999</v>
      </c>
      <c r="AD121" s="42">
        <f t="shared" si="584"/>
        <v>61.405000000000001</v>
      </c>
      <c r="AE121" s="42">
        <f t="shared" si="584"/>
        <v>46.7</v>
      </c>
      <c r="AF121" s="42">
        <f t="shared" si="584"/>
        <v>31.465</v>
      </c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8"/>
      <c r="BK121" s="8"/>
      <c r="BL121" s="8"/>
      <c r="BM121" s="8"/>
    </row>
    <row r="122" spans="1:65" ht="15.75" hidden="1" customHeight="1" x14ac:dyDescent="0.45">
      <c r="A122" s="49">
        <f t="shared" si="3"/>
        <v>41733</v>
      </c>
      <c r="B122" s="44">
        <v>77.14</v>
      </c>
      <c r="C122" s="44">
        <v>67.28</v>
      </c>
      <c r="D122" s="44">
        <v>55.89</v>
      </c>
      <c r="E122" s="44">
        <v>37.33</v>
      </c>
      <c r="F122" s="44">
        <v>25.35</v>
      </c>
      <c r="G122" s="45">
        <v>73.52</v>
      </c>
      <c r="H122" s="37">
        <f t="shared" ref="H122:L122" si="585">B122-B121</f>
        <v>-0.31000000000000227</v>
      </c>
      <c r="I122" s="38">
        <f t="shared" si="585"/>
        <v>0.54000000000000625</v>
      </c>
      <c r="J122" s="38">
        <f t="shared" si="585"/>
        <v>-0.17999999999999972</v>
      </c>
      <c r="K122" s="38">
        <f t="shared" si="585"/>
        <v>0</v>
      </c>
      <c r="L122" s="39">
        <f t="shared" si="585"/>
        <v>-0.25</v>
      </c>
      <c r="M122" s="38"/>
      <c r="N122" s="40"/>
      <c r="O122" s="40"/>
      <c r="P122" s="40"/>
      <c r="Q122" s="40"/>
      <c r="R122" s="40"/>
      <c r="S122" s="40">
        <f t="shared" ref="S122:T122" si="586">(B121+B122)/2</f>
        <v>77.295000000000002</v>
      </c>
      <c r="T122" s="40">
        <f t="shared" si="586"/>
        <v>67.009999999999991</v>
      </c>
      <c r="U122" s="40">
        <f t="shared" si="6"/>
        <v>55.980000000000004</v>
      </c>
      <c r="V122" s="40">
        <f t="shared" ref="V122:W122" si="587">(E121+E122)/2</f>
        <v>37.33</v>
      </c>
      <c r="W122" s="40">
        <f t="shared" si="587"/>
        <v>25.475000000000001</v>
      </c>
      <c r="X122" s="41">
        <f t="shared" ref="X122:AB122" si="588">(SUM(B119:B122))/4</f>
        <v>77.849999999999994</v>
      </c>
      <c r="Y122" s="40">
        <f t="shared" si="588"/>
        <v>67.920000000000016</v>
      </c>
      <c r="Z122" s="40">
        <f t="shared" si="588"/>
        <v>56.094999999999999</v>
      </c>
      <c r="AA122" s="40">
        <f t="shared" si="588"/>
        <v>37.8675</v>
      </c>
      <c r="AB122" s="47">
        <f t="shared" si="588"/>
        <v>25.547499999999999</v>
      </c>
      <c r="AC122" s="42">
        <f t="shared" ref="AC122:AF122" si="589">(B122+C122)/2</f>
        <v>72.210000000000008</v>
      </c>
      <c r="AD122" s="42">
        <f t="shared" si="589"/>
        <v>61.585000000000001</v>
      </c>
      <c r="AE122" s="42">
        <f t="shared" si="589"/>
        <v>46.61</v>
      </c>
      <c r="AF122" s="42">
        <f t="shared" si="589"/>
        <v>31.34</v>
      </c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8"/>
      <c r="BK122" s="8"/>
      <c r="BL122" s="8"/>
      <c r="BM122" s="8"/>
    </row>
    <row r="123" spans="1:65" ht="15.75" hidden="1" customHeight="1" x14ac:dyDescent="0.45">
      <c r="A123" s="49">
        <f t="shared" si="3"/>
        <v>41740</v>
      </c>
      <c r="B123" s="44">
        <v>77.47</v>
      </c>
      <c r="C123" s="44">
        <v>67.64</v>
      </c>
      <c r="D123" s="44">
        <v>55.52</v>
      </c>
      <c r="E123" s="44">
        <v>37.340000000000003</v>
      </c>
      <c r="F123" s="44">
        <v>25.28</v>
      </c>
      <c r="G123" s="45">
        <v>73.28</v>
      </c>
      <c r="H123" s="37">
        <f t="shared" ref="H123:L123" si="590">B123-B122</f>
        <v>0.32999999999999829</v>
      </c>
      <c r="I123" s="38">
        <f t="shared" si="590"/>
        <v>0.35999999999999943</v>
      </c>
      <c r="J123" s="38">
        <f t="shared" si="590"/>
        <v>-0.36999999999999744</v>
      </c>
      <c r="K123" s="38">
        <f t="shared" si="590"/>
        <v>1.0000000000005116E-2</v>
      </c>
      <c r="L123" s="39">
        <f t="shared" si="590"/>
        <v>-7.0000000000000284E-2</v>
      </c>
      <c r="M123" s="38"/>
      <c r="N123" s="40"/>
      <c r="O123" s="40"/>
      <c r="P123" s="40"/>
      <c r="Q123" s="40"/>
      <c r="R123" s="40"/>
      <c r="S123" s="40">
        <f t="shared" ref="S123:T123" si="591">(B122+B123)/2</f>
        <v>77.305000000000007</v>
      </c>
      <c r="T123" s="40">
        <f t="shared" si="591"/>
        <v>67.460000000000008</v>
      </c>
      <c r="U123" s="40">
        <f t="shared" si="6"/>
        <v>55.704999999999998</v>
      </c>
      <c r="V123" s="40">
        <f t="shared" ref="V123:W123" si="592">(E122+E123)/2</f>
        <v>37.335000000000001</v>
      </c>
      <c r="W123" s="40">
        <f t="shared" si="592"/>
        <v>25.315000000000001</v>
      </c>
      <c r="X123" s="41">
        <f t="shared" ref="X123:AB123" si="593">(SUM(B120:B123))/4</f>
        <v>77.564999999999998</v>
      </c>
      <c r="Y123" s="40">
        <f t="shared" si="593"/>
        <v>67.647500000000008</v>
      </c>
      <c r="Z123" s="40">
        <f t="shared" si="593"/>
        <v>55.8675</v>
      </c>
      <c r="AA123" s="40">
        <f t="shared" si="593"/>
        <v>37.594999999999999</v>
      </c>
      <c r="AB123" s="47">
        <f t="shared" si="593"/>
        <v>25.477499999999999</v>
      </c>
      <c r="AC123" s="42">
        <f t="shared" ref="AC123:AF123" si="594">(B123+C123)/2</f>
        <v>72.555000000000007</v>
      </c>
      <c r="AD123" s="42">
        <f t="shared" si="594"/>
        <v>61.58</v>
      </c>
      <c r="AE123" s="42">
        <f t="shared" si="594"/>
        <v>46.430000000000007</v>
      </c>
      <c r="AF123" s="42">
        <f t="shared" si="594"/>
        <v>31.310000000000002</v>
      </c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8"/>
      <c r="BK123" s="8"/>
      <c r="BL123" s="8"/>
      <c r="BM123" s="8"/>
    </row>
    <row r="124" spans="1:65" ht="15.75" hidden="1" customHeight="1" x14ac:dyDescent="0.45">
      <c r="A124" s="49">
        <f t="shared" si="3"/>
        <v>41747</v>
      </c>
      <c r="B124" s="44">
        <v>77.680000000000007</v>
      </c>
      <c r="C124" s="44">
        <v>68.319999999999993</v>
      </c>
      <c r="D124" s="44">
        <v>55.43</v>
      </c>
      <c r="E124" s="44">
        <v>37.39</v>
      </c>
      <c r="F124" s="44">
        <v>25.17</v>
      </c>
      <c r="G124" s="45">
        <v>73.56</v>
      </c>
      <c r="H124" s="37">
        <f t="shared" ref="H124:L124" si="595">B124-B123</f>
        <v>0.21000000000000796</v>
      </c>
      <c r="I124" s="38">
        <f t="shared" si="595"/>
        <v>0.67999999999999261</v>
      </c>
      <c r="J124" s="38">
        <f t="shared" si="595"/>
        <v>-9.0000000000003411E-2</v>
      </c>
      <c r="K124" s="38">
        <f t="shared" si="595"/>
        <v>4.9999999999997158E-2</v>
      </c>
      <c r="L124" s="39">
        <f t="shared" si="595"/>
        <v>-0.10999999999999943</v>
      </c>
      <c r="M124" s="38"/>
      <c r="N124" s="40"/>
      <c r="O124" s="40"/>
      <c r="P124" s="40"/>
      <c r="Q124" s="40"/>
      <c r="R124" s="40"/>
      <c r="S124" s="40">
        <f t="shared" ref="S124:T124" si="596">(B123+B124)/2</f>
        <v>77.575000000000003</v>
      </c>
      <c r="T124" s="40">
        <f t="shared" si="596"/>
        <v>67.97999999999999</v>
      </c>
      <c r="U124" s="40">
        <f t="shared" si="6"/>
        <v>55.475000000000001</v>
      </c>
      <c r="V124" s="40">
        <f t="shared" ref="V124:W124" si="597">(E123+E124)/2</f>
        <v>37.365000000000002</v>
      </c>
      <c r="W124" s="40">
        <f t="shared" si="597"/>
        <v>25.225000000000001</v>
      </c>
      <c r="X124" s="41">
        <f t="shared" ref="X124:AB124" si="598">(SUM(B121:B124))/4</f>
        <v>77.435000000000002</v>
      </c>
      <c r="Y124" s="40">
        <f t="shared" si="598"/>
        <v>67.49499999999999</v>
      </c>
      <c r="Z124" s="40">
        <f t="shared" si="598"/>
        <v>55.727500000000006</v>
      </c>
      <c r="AA124" s="40">
        <f t="shared" si="598"/>
        <v>37.347499999999997</v>
      </c>
      <c r="AB124" s="47">
        <f t="shared" si="598"/>
        <v>25.35</v>
      </c>
      <c r="AC124" s="42">
        <f t="shared" ref="AC124:AF124" si="599">(B124+C124)/2</f>
        <v>73</v>
      </c>
      <c r="AD124" s="42">
        <f t="shared" si="599"/>
        <v>61.875</v>
      </c>
      <c r="AE124" s="42">
        <f t="shared" si="599"/>
        <v>46.41</v>
      </c>
      <c r="AF124" s="42">
        <f t="shared" si="599"/>
        <v>31.28</v>
      </c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8"/>
      <c r="BK124" s="8"/>
      <c r="BL124" s="8"/>
      <c r="BM124" s="8"/>
    </row>
    <row r="125" spans="1:65" ht="15.75" hidden="1" customHeight="1" x14ac:dyDescent="0.45">
      <c r="A125" s="49">
        <f t="shared" si="3"/>
        <v>41754</v>
      </c>
      <c r="B125" s="44">
        <v>77.48</v>
      </c>
      <c r="C125" s="44">
        <v>68.55</v>
      </c>
      <c r="D125" s="44">
        <v>55.83</v>
      </c>
      <c r="E125" s="44">
        <v>37.6</v>
      </c>
      <c r="F125" s="44">
        <v>25.38</v>
      </c>
      <c r="G125" s="45">
        <v>73.12</v>
      </c>
      <c r="H125" s="37">
        <f t="shared" ref="H125:L125" si="600">B125-B124</f>
        <v>-0.20000000000000284</v>
      </c>
      <c r="I125" s="38">
        <f t="shared" si="600"/>
        <v>0.23000000000000398</v>
      </c>
      <c r="J125" s="38">
        <f t="shared" si="600"/>
        <v>0.39999999999999858</v>
      </c>
      <c r="K125" s="38">
        <f t="shared" si="600"/>
        <v>0.21000000000000085</v>
      </c>
      <c r="L125" s="39">
        <f t="shared" si="600"/>
        <v>0.2099999999999973</v>
      </c>
      <c r="M125" s="38"/>
      <c r="N125" s="40"/>
      <c r="O125" s="40"/>
      <c r="P125" s="40"/>
      <c r="Q125" s="40"/>
      <c r="R125" s="40"/>
      <c r="S125" s="40">
        <f t="shared" ref="S125:T125" si="601">(B124+B125)/2</f>
        <v>77.580000000000013</v>
      </c>
      <c r="T125" s="40">
        <f t="shared" si="601"/>
        <v>68.435000000000002</v>
      </c>
      <c r="U125" s="40">
        <f t="shared" si="6"/>
        <v>55.629999999999995</v>
      </c>
      <c r="V125" s="40">
        <f t="shared" ref="V125:W125" si="602">(E124+E125)/2</f>
        <v>37.495000000000005</v>
      </c>
      <c r="W125" s="40">
        <f t="shared" si="602"/>
        <v>25.274999999999999</v>
      </c>
      <c r="X125" s="41">
        <f t="shared" ref="X125:AB125" si="603">(SUM(B122:B125))/4</f>
        <v>77.44250000000001</v>
      </c>
      <c r="Y125" s="40">
        <f t="shared" si="603"/>
        <v>67.947500000000005</v>
      </c>
      <c r="Z125" s="40">
        <f t="shared" si="603"/>
        <v>55.667500000000004</v>
      </c>
      <c r="AA125" s="40">
        <f t="shared" si="603"/>
        <v>37.414999999999999</v>
      </c>
      <c r="AB125" s="47">
        <f t="shared" si="603"/>
        <v>25.295000000000002</v>
      </c>
      <c r="AC125" s="42">
        <f t="shared" ref="AC125:AF125" si="604">(B125+C125)/2</f>
        <v>73.015000000000001</v>
      </c>
      <c r="AD125" s="42">
        <f t="shared" si="604"/>
        <v>62.19</v>
      </c>
      <c r="AE125" s="42">
        <f t="shared" si="604"/>
        <v>46.715000000000003</v>
      </c>
      <c r="AF125" s="42">
        <f t="shared" si="604"/>
        <v>31.490000000000002</v>
      </c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8"/>
      <c r="BK125" s="8"/>
      <c r="BL125" s="8"/>
      <c r="BM125" s="8"/>
    </row>
    <row r="126" spans="1:65" ht="15.75" hidden="1" customHeight="1" x14ac:dyDescent="0.45">
      <c r="A126" s="49">
        <f t="shared" si="3"/>
        <v>41761</v>
      </c>
      <c r="B126" s="44">
        <v>77.040000000000006</v>
      </c>
      <c r="C126" s="44">
        <v>68.53</v>
      </c>
      <c r="D126" s="44">
        <v>56.17</v>
      </c>
      <c r="E126" s="44">
        <v>37.64</v>
      </c>
      <c r="F126" s="44">
        <v>25.17</v>
      </c>
      <c r="G126" s="45">
        <v>73.09</v>
      </c>
      <c r="H126" s="37">
        <f t="shared" ref="H126:L126" si="605">B126-B125</f>
        <v>-0.43999999999999773</v>
      </c>
      <c r="I126" s="38">
        <f t="shared" si="605"/>
        <v>-1.9999999999996021E-2</v>
      </c>
      <c r="J126" s="38">
        <f t="shared" si="605"/>
        <v>0.34000000000000341</v>
      </c>
      <c r="K126" s="38">
        <f t="shared" si="605"/>
        <v>3.9999999999999147E-2</v>
      </c>
      <c r="L126" s="39">
        <f t="shared" si="605"/>
        <v>-0.2099999999999973</v>
      </c>
      <c r="M126" s="38"/>
      <c r="N126" s="40"/>
      <c r="O126" s="40"/>
      <c r="P126" s="40"/>
      <c r="Q126" s="40"/>
      <c r="R126" s="40"/>
      <c r="S126" s="40">
        <f t="shared" ref="S126:T126" si="606">(B125+B126)/2</f>
        <v>77.260000000000005</v>
      </c>
      <c r="T126" s="40">
        <f t="shared" si="606"/>
        <v>68.539999999999992</v>
      </c>
      <c r="U126" s="40">
        <f t="shared" si="6"/>
        <v>56</v>
      </c>
      <c r="V126" s="40">
        <f t="shared" ref="V126:W126" si="607">(E125+E126)/2</f>
        <v>37.620000000000005</v>
      </c>
      <c r="W126" s="40">
        <f t="shared" si="607"/>
        <v>25.274999999999999</v>
      </c>
      <c r="X126" s="41">
        <f t="shared" ref="X126:AB126" si="608">(SUM(B123:B126))/4</f>
        <v>77.417500000000004</v>
      </c>
      <c r="Y126" s="40">
        <f t="shared" si="608"/>
        <v>68.259999999999991</v>
      </c>
      <c r="Z126" s="40">
        <f t="shared" si="608"/>
        <v>55.737499999999997</v>
      </c>
      <c r="AA126" s="40">
        <f t="shared" si="608"/>
        <v>37.492500000000007</v>
      </c>
      <c r="AB126" s="47">
        <f t="shared" si="608"/>
        <v>25.25</v>
      </c>
      <c r="AC126" s="42">
        <f t="shared" ref="AC126:AF126" si="609">(B126+C126)/2</f>
        <v>72.784999999999997</v>
      </c>
      <c r="AD126" s="42">
        <f t="shared" si="609"/>
        <v>62.35</v>
      </c>
      <c r="AE126" s="42">
        <f t="shared" si="609"/>
        <v>46.905000000000001</v>
      </c>
      <c r="AF126" s="42">
        <f t="shared" si="609"/>
        <v>31.405000000000001</v>
      </c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8"/>
      <c r="BK126" s="8"/>
      <c r="BL126" s="8"/>
      <c r="BM126" s="8"/>
    </row>
    <row r="127" spans="1:65" ht="15.75" hidden="1" customHeight="1" x14ac:dyDescent="0.45">
      <c r="A127" s="49">
        <f t="shared" si="3"/>
        <v>41768</v>
      </c>
      <c r="B127" s="44">
        <v>76.94</v>
      </c>
      <c r="C127" s="44">
        <v>69.98</v>
      </c>
      <c r="D127" s="44">
        <v>56.33</v>
      </c>
      <c r="E127" s="44">
        <v>37.909999999999997</v>
      </c>
      <c r="F127" s="44">
        <v>25.31</v>
      </c>
      <c r="G127" s="45">
        <v>73.489999999999995</v>
      </c>
      <c r="H127" s="37">
        <f t="shared" ref="H127:L127" si="610">B127-B126</f>
        <v>-0.10000000000000853</v>
      </c>
      <c r="I127" s="38">
        <f t="shared" si="610"/>
        <v>1.4500000000000028</v>
      </c>
      <c r="J127" s="38">
        <f t="shared" si="610"/>
        <v>0.15999999999999659</v>
      </c>
      <c r="K127" s="38">
        <f t="shared" si="610"/>
        <v>0.26999999999999602</v>
      </c>
      <c r="L127" s="39">
        <f t="shared" si="610"/>
        <v>0.13999999999999702</v>
      </c>
      <c r="M127" s="38"/>
      <c r="N127" s="40"/>
      <c r="O127" s="40"/>
      <c r="P127" s="40"/>
      <c r="Q127" s="40"/>
      <c r="R127" s="40"/>
      <c r="S127" s="40">
        <f t="shared" ref="S127:T127" si="611">(B126+B127)/2</f>
        <v>76.990000000000009</v>
      </c>
      <c r="T127" s="40">
        <f t="shared" si="611"/>
        <v>69.254999999999995</v>
      </c>
      <c r="U127" s="40">
        <f t="shared" si="6"/>
        <v>56.25</v>
      </c>
      <c r="V127" s="40">
        <f t="shared" ref="V127:W127" si="612">(E126+E127)/2</f>
        <v>37.774999999999999</v>
      </c>
      <c r="W127" s="40">
        <f t="shared" si="612"/>
        <v>25.240000000000002</v>
      </c>
      <c r="X127" s="41">
        <f t="shared" ref="X127:AB127" si="613">(SUM(B124:B127))/4</f>
        <v>77.285000000000011</v>
      </c>
      <c r="Y127" s="40">
        <f t="shared" si="613"/>
        <v>68.844999999999999</v>
      </c>
      <c r="Z127" s="40">
        <f t="shared" si="613"/>
        <v>55.94</v>
      </c>
      <c r="AA127" s="40">
        <f t="shared" si="613"/>
        <v>37.635000000000005</v>
      </c>
      <c r="AB127" s="47">
        <f t="shared" si="613"/>
        <v>25.2575</v>
      </c>
      <c r="AC127" s="42">
        <f t="shared" ref="AC127:AF127" si="614">(B127+C127)/2</f>
        <v>73.460000000000008</v>
      </c>
      <c r="AD127" s="42">
        <f t="shared" si="614"/>
        <v>63.155000000000001</v>
      </c>
      <c r="AE127" s="42">
        <f t="shared" si="614"/>
        <v>47.12</v>
      </c>
      <c r="AF127" s="42">
        <f t="shared" si="614"/>
        <v>31.61</v>
      </c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8"/>
      <c r="BK127" s="8"/>
      <c r="BL127" s="8"/>
      <c r="BM127" s="8"/>
    </row>
    <row r="128" spans="1:65" ht="15.75" hidden="1" customHeight="1" x14ac:dyDescent="0.45">
      <c r="A128" s="49">
        <f t="shared" si="3"/>
        <v>41775</v>
      </c>
      <c r="B128" s="44">
        <v>77.58</v>
      </c>
      <c r="C128" s="44">
        <v>69.099999999999994</v>
      </c>
      <c r="D128" s="44">
        <v>56.05</v>
      </c>
      <c r="E128" s="44">
        <v>37.799999999999997</v>
      </c>
      <c r="F128" s="44">
        <v>25.27</v>
      </c>
      <c r="G128" s="45">
        <v>74.599999999999994</v>
      </c>
      <c r="H128" s="37">
        <f t="shared" ref="H128:L128" si="615">B128-B127</f>
        <v>0.64000000000000057</v>
      </c>
      <c r="I128" s="38">
        <f t="shared" si="615"/>
        <v>-0.88000000000000966</v>
      </c>
      <c r="J128" s="38">
        <f t="shared" si="615"/>
        <v>-0.28000000000000114</v>
      </c>
      <c r="K128" s="38">
        <f t="shared" si="615"/>
        <v>-0.10999999999999943</v>
      </c>
      <c r="L128" s="39">
        <f t="shared" si="615"/>
        <v>-3.9999999999999147E-2</v>
      </c>
      <c r="M128" s="38"/>
      <c r="N128" s="40"/>
      <c r="O128" s="40"/>
      <c r="P128" s="40"/>
      <c r="Q128" s="40"/>
      <c r="R128" s="40"/>
      <c r="S128" s="40">
        <f t="shared" ref="S128:T128" si="616">(B127+B128)/2</f>
        <v>77.259999999999991</v>
      </c>
      <c r="T128" s="40">
        <f t="shared" si="616"/>
        <v>69.539999999999992</v>
      </c>
      <c r="U128" s="40">
        <f t="shared" si="6"/>
        <v>56.19</v>
      </c>
      <c r="V128" s="40">
        <f t="shared" ref="V128:W128" si="617">(E127+E128)/2</f>
        <v>37.854999999999997</v>
      </c>
      <c r="W128" s="40">
        <f t="shared" si="617"/>
        <v>25.29</v>
      </c>
      <c r="X128" s="41">
        <f t="shared" ref="X128:AB128" si="618">(SUM(B125:B128))/4</f>
        <v>77.260000000000005</v>
      </c>
      <c r="Y128" s="40">
        <f t="shared" si="618"/>
        <v>69.039999999999992</v>
      </c>
      <c r="Z128" s="40">
        <f t="shared" si="618"/>
        <v>56.094999999999999</v>
      </c>
      <c r="AA128" s="40">
        <f t="shared" si="618"/>
        <v>37.737499999999997</v>
      </c>
      <c r="AB128" s="47">
        <f t="shared" si="618"/>
        <v>25.282499999999999</v>
      </c>
      <c r="AC128" s="42">
        <f t="shared" ref="AC128:AF128" si="619">(B128+C128)/2</f>
        <v>73.34</v>
      </c>
      <c r="AD128" s="42">
        <f t="shared" si="619"/>
        <v>62.574999999999996</v>
      </c>
      <c r="AE128" s="42">
        <f t="shared" si="619"/>
        <v>46.924999999999997</v>
      </c>
      <c r="AF128" s="42">
        <f t="shared" si="619"/>
        <v>31.534999999999997</v>
      </c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8"/>
      <c r="BK128" s="8"/>
      <c r="BL128" s="8"/>
      <c r="BM128" s="8"/>
    </row>
    <row r="129" spans="1:65" ht="15.75" hidden="1" customHeight="1" x14ac:dyDescent="0.45">
      <c r="A129" s="49">
        <f t="shared" si="3"/>
        <v>41782</v>
      </c>
      <c r="B129" s="44">
        <v>76.98</v>
      </c>
      <c r="C129" s="44">
        <v>67.599999999999994</v>
      </c>
      <c r="D129" s="44">
        <v>55.86</v>
      </c>
      <c r="E129" s="44">
        <v>37.29</v>
      </c>
      <c r="F129" s="44">
        <v>25.43</v>
      </c>
      <c r="G129" s="45">
        <v>74.33</v>
      </c>
      <c r="H129" s="37">
        <f t="shared" ref="H129:L129" si="620">B129-B128</f>
        <v>-0.59999999999999432</v>
      </c>
      <c r="I129" s="38">
        <f t="shared" si="620"/>
        <v>-1.5</v>
      </c>
      <c r="J129" s="38">
        <f t="shared" si="620"/>
        <v>-0.18999999999999773</v>
      </c>
      <c r="K129" s="38">
        <f t="shared" si="620"/>
        <v>-0.50999999999999801</v>
      </c>
      <c r="L129" s="39">
        <f t="shared" si="620"/>
        <v>0.16000000000000014</v>
      </c>
      <c r="M129" s="38"/>
      <c r="N129" s="40"/>
      <c r="O129" s="40"/>
      <c r="P129" s="40"/>
      <c r="Q129" s="40"/>
      <c r="R129" s="40"/>
      <c r="S129" s="40">
        <f t="shared" ref="S129:T129" si="621">(B128+B129)/2</f>
        <v>77.28</v>
      </c>
      <c r="T129" s="40">
        <f t="shared" si="621"/>
        <v>68.349999999999994</v>
      </c>
      <c r="U129" s="40">
        <f t="shared" si="6"/>
        <v>55.954999999999998</v>
      </c>
      <c r="V129" s="40">
        <f t="shared" ref="V129:W129" si="622">(E128+E129)/2</f>
        <v>37.545000000000002</v>
      </c>
      <c r="W129" s="40">
        <f t="shared" si="622"/>
        <v>25.35</v>
      </c>
      <c r="X129" s="41">
        <f t="shared" ref="X129:AB129" si="623">(SUM(B126:B129))/4</f>
        <v>77.135000000000005</v>
      </c>
      <c r="Y129" s="40">
        <f t="shared" si="623"/>
        <v>68.802499999999995</v>
      </c>
      <c r="Z129" s="40">
        <f t="shared" si="623"/>
        <v>56.102500000000006</v>
      </c>
      <c r="AA129" s="40">
        <f t="shared" si="623"/>
        <v>37.659999999999997</v>
      </c>
      <c r="AB129" s="47">
        <f t="shared" si="623"/>
        <v>25.295000000000002</v>
      </c>
      <c r="AC129" s="42">
        <f t="shared" ref="AC129:AF129" si="624">(B129+C129)/2</f>
        <v>72.289999999999992</v>
      </c>
      <c r="AD129" s="42">
        <f t="shared" si="624"/>
        <v>61.73</v>
      </c>
      <c r="AE129" s="42">
        <f t="shared" si="624"/>
        <v>46.575000000000003</v>
      </c>
      <c r="AF129" s="42">
        <f t="shared" si="624"/>
        <v>31.36</v>
      </c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8"/>
      <c r="BK129" s="8"/>
      <c r="BL129" s="8"/>
      <c r="BM129" s="8"/>
    </row>
    <row r="130" spans="1:65" ht="15.75" hidden="1" customHeight="1" x14ac:dyDescent="0.45">
      <c r="A130" s="49">
        <f t="shared" si="3"/>
        <v>41789</v>
      </c>
      <c r="B130" s="44">
        <v>76.91</v>
      </c>
      <c r="C130" s="44">
        <v>67.52</v>
      </c>
      <c r="D130" s="44">
        <v>55.78</v>
      </c>
      <c r="E130" s="44">
        <v>37.33</v>
      </c>
      <c r="F130" s="44">
        <v>25.2</v>
      </c>
      <c r="G130" s="45">
        <v>73.89</v>
      </c>
      <c r="H130" s="37">
        <f t="shared" ref="H130:L130" si="625">B130-B129</f>
        <v>-7.000000000000739E-2</v>
      </c>
      <c r="I130" s="38">
        <f t="shared" si="625"/>
        <v>-7.9999999999998295E-2</v>
      </c>
      <c r="J130" s="38">
        <f t="shared" si="625"/>
        <v>-7.9999999999998295E-2</v>
      </c>
      <c r="K130" s="38">
        <f t="shared" si="625"/>
        <v>3.9999999999999147E-2</v>
      </c>
      <c r="L130" s="39">
        <f t="shared" si="625"/>
        <v>-0.23000000000000043</v>
      </c>
      <c r="M130" s="38"/>
      <c r="N130" s="40"/>
      <c r="O130" s="40"/>
      <c r="P130" s="40"/>
      <c r="Q130" s="40"/>
      <c r="R130" s="40"/>
      <c r="S130" s="40">
        <f t="shared" ref="S130:T130" si="626">(B129+B130)/2</f>
        <v>76.944999999999993</v>
      </c>
      <c r="T130" s="40">
        <f t="shared" si="626"/>
        <v>67.56</v>
      </c>
      <c r="U130" s="40">
        <f t="shared" si="6"/>
        <v>55.82</v>
      </c>
      <c r="V130" s="40">
        <f t="shared" ref="V130:W130" si="627">(E129+E130)/2</f>
        <v>37.31</v>
      </c>
      <c r="W130" s="40">
        <f t="shared" si="627"/>
        <v>25.314999999999998</v>
      </c>
      <c r="X130" s="41">
        <f t="shared" ref="X130:AB130" si="628">(SUM(B127:B130))/4</f>
        <v>77.102499999999992</v>
      </c>
      <c r="Y130" s="40">
        <f t="shared" si="628"/>
        <v>68.55</v>
      </c>
      <c r="Z130" s="40">
        <f t="shared" si="628"/>
        <v>56.005000000000003</v>
      </c>
      <c r="AA130" s="40">
        <f t="shared" si="628"/>
        <v>37.582499999999996</v>
      </c>
      <c r="AB130" s="47">
        <f t="shared" si="628"/>
        <v>25.302499999999998</v>
      </c>
      <c r="AC130" s="42">
        <f t="shared" ref="AC130:AF130" si="629">(B130+C130)/2</f>
        <v>72.215000000000003</v>
      </c>
      <c r="AD130" s="42">
        <f t="shared" si="629"/>
        <v>61.65</v>
      </c>
      <c r="AE130" s="42">
        <f t="shared" si="629"/>
        <v>46.555</v>
      </c>
      <c r="AF130" s="42">
        <f t="shared" si="629"/>
        <v>31.265000000000001</v>
      </c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8"/>
      <c r="BK130" s="8"/>
      <c r="BL130" s="8"/>
      <c r="BM130" s="8"/>
    </row>
    <row r="131" spans="1:65" ht="15.75" hidden="1" customHeight="1" x14ac:dyDescent="0.45">
      <c r="A131" s="49">
        <f t="shared" si="3"/>
        <v>41796</v>
      </c>
      <c r="B131" s="44">
        <v>76.540000000000006</v>
      </c>
      <c r="C131" s="44">
        <v>67.150000000000006</v>
      </c>
      <c r="D131" s="44">
        <v>55.38</v>
      </c>
      <c r="E131" s="44">
        <v>37.4</v>
      </c>
      <c r="F131" s="44">
        <v>25.23</v>
      </c>
      <c r="G131" s="45">
        <v>72.55</v>
      </c>
      <c r="H131" s="37">
        <f t="shared" ref="H131:L131" si="630">B131-B130</f>
        <v>-0.36999999999999034</v>
      </c>
      <c r="I131" s="38">
        <f t="shared" si="630"/>
        <v>-0.36999999999999034</v>
      </c>
      <c r="J131" s="38">
        <f t="shared" si="630"/>
        <v>-0.39999999999999858</v>
      </c>
      <c r="K131" s="38">
        <f t="shared" si="630"/>
        <v>7.0000000000000284E-2</v>
      </c>
      <c r="L131" s="39">
        <f t="shared" si="630"/>
        <v>3.0000000000001137E-2</v>
      </c>
      <c r="M131" s="38"/>
      <c r="N131" s="40"/>
      <c r="O131" s="40"/>
      <c r="P131" s="40"/>
      <c r="Q131" s="40"/>
      <c r="R131" s="40"/>
      <c r="S131" s="40">
        <f t="shared" ref="S131:T131" si="631">(B130+B131)/2</f>
        <v>76.724999999999994</v>
      </c>
      <c r="T131" s="40">
        <f t="shared" si="631"/>
        <v>67.335000000000008</v>
      </c>
      <c r="U131" s="40">
        <f t="shared" si="6"/>
        <v>55.58</v>
      </c>
      <c r="V131" s="40">
        <f t="shared" ref="V131:W131" si="632">(E130+E131)/2</f>
        <v>37.364999999999995</v>
      </c>
      <c r="W131" s="40">
        <f t="shared" si="632"/>
        <v>25.215</v>
      </c>
      <c r="X131" s="41">
        <f t="shared" ref="X131:AB131" si="633">(SUM(B128:B131))/4</f>
        <v>77.002499999999998</v>
      </c>
      <c r="Y131" s="40">
        <f t="shared" si="633"/>
        <v>67.842500000000001</v>
      </c>
      <c r="Z131" s="40">
        <f t="shared" si="633"/>
        <v>55.767499999999998</v>
      </c>
      <c r="AA131" s="40">
        <f t="shared" si="633"/>
        <v>37.454999999999998</v>
      </c>
      <c r="AB131" s="47">
        <f t="shared" si="633"/>
        <v>25.282500000000002</v>
      </c>
      <c r="AC131" s="42">
        <f t="shared" ref="AC131:AF131" si="634">(B131+C131)/2</f>
        <v>71.844999999999999</v>
      </c>
      <c r="AD131" s="42">
        <f t="shared" si="634"/>
        <v>61.265000000000001</v>
      </c>
      <c r="AE131" s="42">
        <f t="shared" si="634"/>
        <v>46.39</v>
      </c>
      <c r="AF131" s="42">
        <f t="shared" si="634"/>
        <v>31.314999999999998</v>
      </c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8"/>
      <c r="BK131" s="8"/>
      <c r="BL131" s="8"/>
      <c r="BM131" s="8"/>
    </row>
    <row r="132" spans="1:65" ht="15.75" hidden="1" customHeight="1" x14ac:dyDescent="0.45">
      <c r="A132" s="49">
        <f t="shared" si="3"/>
        <v>41803</v>
      </c>
      <c r="B132" s="44">
        <v>76.41</v>
      </c>
      <c r="C132" s="44">
        <v>67.09</v>
      </c>
      <c r="D132" s="44">
        <v>55.11</v>
      </c>
      <c r="E132" s="44">
        <v>37.39</v>
      </c>
      <c r="F132" s="44">
        <v>24.99</v>
      </c>
      <c r="G132" s="45">
        <v>72.38</v>
      </c>
      <c r="H132" s="37">
        <f t="shared" ref="H132:L132" si="635">B132-B131</f>
        <v>-0.13000000000000966</v>
      </c>
      <c r="I132" s="38">
        <f t="shared" si="635"/>
        <v>-6.0000000000002274E-2</v>
      </c>
      <c r="J132" s="38">
        <f t="shared" si="635"/>
        <v>-0.27000000000000313</v>
      </c>
      <c r="K132" s="38">
        <f t="shared" si="635"/>
        <v>-9.9999999999980105E-3</v>
      </c>
      <c r="L132" s="39">
        <f t="shared" si="635"/>
        <v>-0.24000000000000199</v>
      </c>
      <c r="M132" s="38"/>
      <c r="N132" s="40"/>
      <c r="O132" s="40"/>
      <c r="P132" s="40"/>
      <c r="Q132" s="40"/>
      <c r="R132" s="40"/>
      <c r="S132" s="40">
        <f t="shared" ref="S132:T132" si="636">(B131+B132)/2</f>
        <v>76.474999999999994</v>
      </c>
      <c r="T132" s="40">
        <f t="shared" si="636"/>
        <v>67.12</v>
      </c>
      <c r="U132" s="40">
        <f t="shared" si="6"/>
        <v>55.245000000000005</v>
      </c>
      <c r="V132" s="40">
        <f t="shared" ref="V132:W132" si="637">(E131+E132)/2</f>
        <v>37.394999999999996</v>
      </c>
      <c r="W132" s="40">
        <f t="shared" si="637"/>
        <v>25.11</v>
      </c>
      <c r="X132" s="41">
        <f t="shared" ref="X132:AB132" si="638">(SUM(B129:B132))/4</f>
        <v>76.710000000000008</v>
      </c>
      <c r="Y132" s="40">
        <f t="shared" si="638"/>
        <v>67.34</v>
      </c>
      <c r="Z132" s="40">
        <f t="shared" si="638"/>
        <v>55.532499999999999</v>
      </c>
      <c r="AA132" s="40">
        <f t="shared" si="638"/>
        <v>37.352500000000006</v>
      </c>
      <c r="AB132" s="47">
        <f t="shared" si="638"/>
        <v>25.212499999999999</v>
      </c>
      <c r="AC132" s="42">
        <f t="shared" ref="AC132:AF132" si="639">(B132+C132)/2</f>
        <v>71.75</v>
      </c>
      <c r="AD132" s="42">
        <f t="shared" si="639"/>
        <v>61.1</v>
      </c>
      <c r="AE132" s="42">
        <f t="shared" si="639"/>
        <v>46.25</v>
      </c>
      <c r="AF132" s="42">
        <f t="shared" si="639"/>
        <v>31.189999999999998</v>
      </c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8"/>
      <c r="BK132" s="8"/>
      <c r="BL132" s="8"/>
      <c r="BM132" s="8"/>
    </row>
    <row r="133" spans="1:65" ht="15.75" hidden="1" customHeight="1" x14ac:dyDescent="0.45">
      <c r="A133" s="49">
        <f t="shared" si="3"/>
        <v>41810</v>
      </c>
      <c r="B133" s="44">
        <v>76.14</v>
      </c>
      <c r="C133" s="44">
        <v>66.349999999999994</v>
      </c>
      <c r="D133" s="44">
        <v>54.35</v>
      </c>
      <c r="E133" s="44">
        <v>37.42</v>
      </c>
      <c r="F133" s="44">
        <v>24.96</v>
      </c>
      <c r="G133" s="45">
        <v>71.83</v>
      </c>
      <c r="H133" s="37">
        <f t="shared" ref="H133:L133" si="640">B133-B132</f>
        <v>-0.26999999999999602</v>
      </c>
      <c r="I133" s="38">
        <f t="shared" si="640"/>
        <v>-0.74000000000000909</v>
      </c>
      <c r="J133" s="38">
        <f t="shared" si="640"/>
        <v>-0.75999999999999801</v>
      </c>
      <c r="K133" s="38">
        <f t="shared" si="640"/>
        <v>3.0000000000001137E-2</v>
      </c>
      <c r="L133" s="39">
        <f t="shared" si="640"/>
        <v>-2.9999999999997584E-2</v>
      </c>
      <c r="M133" s="38"/>
      <c r="N133" s="40"/>
      <c r="O133" s="40"/>
      <c r="P133" s="40"/>
      <c r="Q133" s="40"/>
      <c r="R133" s="40"/>
      <c r="S133" s="40">
        <f t="shared" ref="S133:T133" si="641">(B132+B133)/2</f>
        <v>76.275000000000006</v>
      </c>
      <c r="T133" s="40">
        <f t="shared" si="641"/>
        <v>66.72</v>
      </c>
      <c r="U133" s="40">
        <f t="shared" si="6"/>
        <v>54.730000000000004</v>
      </c>
      <c r="V133" s="40">
        <f t="shared" ref="V133:W133" si="642">(E132+E133)/2</f>
        <v>37.405000000000001</v>
      </c>
      <c r="W133" s="40">
        <f t="shared" si="642"/>
        <v>24.975000000000001</v>
      </c>
      <c r="X133" s="41">
        <f t="shared" ref="X133:AB133" si="643">(SUM(B130:B133))/4</f>
        <v>76.5</v>
      </c>
      <c r="Y133" s="40">
        <f t="shared" si="643"/>
        <v>67.027500000000003</v>
      </c>
      <c r="Z133" s="40">
        <f t="shared" si="643"/>
        <v>55.154999999999994</v>
      </c>
      <c r="AA133" s="40">
        <f t="shared" si="643"/>
        <v>37.384999999999998</v>
      </c>
      <c r="AB133" s="47">
        <f t="shared" si="643"/>
        <v>25.094999999999999</v>
      </c>
      <c r="AC133" s="42">
        <f t="shared" ref="AC133:AF133" si="644">(B133+C133)/2</f>
        <v>71.245000000000005</v>
      </c>
      <c r="AD133" s="42">
        <f t="shared" si="644"/>
        <v>60.349999999999994</v>
      </c>
      <c r="AE133" s="42">
        <f t="shared" si="644"/>
        <v>45.885000000000005</v>
      </c>
      <c r="AF133" s="42">
        <f t="shared" si="644"/>
        <v>31.19</v>
      </c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8"/>
      <c r="BK133" s="8"/>
      <c r="BL133" s="8"/>
      <c r="BM133" s="8"/>
    </row>
    <row r="134" spans="1:65" ht="15.75" hidden="1" customHeight="1" x14ac:dyDescent="0.45">
      <c r="A134" s="49">
        <f t="shared" si="3"/>
        <v>41817</v>
      </c>
      <c r="B134" s="44">
        <v>76.08</v>
      </c>
      <c r="C134" s="44">
        <v>66.08</v>
      </c>
      <c r="D134" s="44">
        <v>54.81</v>
      </c>
      <c r="E134" s="44">
        <v>37.75</v>
      </c>
      <c r="F134" s="44">
        <v>24.84</v>
      </c>
      <c r="G134" s="45">
        <v>70.89</v>
      </c>
      <c r="H134" s="37">
        <f t="shared" ref="H134:L134" si="645">B134-B133</f>
        <v>-6.0000000000002274E-2</v>
      </c>
      <c r="I134" s="38">
        <f t="shared" si="645"/>
        <v>-0.26999999999999602</v>
      </c>
      <c r="J134" s="38">
        <f t="shared" si="645"/>
        <v>0.46000000000000085</v>
      </c>
      <c r="K134" s="38">
        <f t="shared" si="645"/>
        <v>0.32999999999999829</v>
      </c>
      <c r="L134" s="39">
        <f t="shared" si="645"/>
        <v>-0.12000000000000099</v>
      </c>
      <c r="M134" s="38"/>
      <c r="N134" s="40"/>
      <c r="O134" s="40"/>
      <c r="P134" s="40"/>
      <c r="Q134" s="40"/>
      <c r="R134" s="40"/>
      <c r="S134" s="40">
        <f t="shared" ref="S134:T134" si="646">(B133+B134)/2</f>
        <v>76.11</v>
      </c>
      <c r="T134" s="40">
        <f t="shared" si="646"/>
        <v>66.215000000000003</v>
      </c>
      <c r="U134" s="40">
        <f t="shared" si="6"/>
        <v>54.58</v>
      </c>
      <c r="V134" s="40">
        <f t="shared" ref="V134:W134" si="647">(E133+E134)/2</f>
        <v>37.585000000000001</v>
      </c>
      <c r="W134" s="40">
        <f t="shared" si="647"/>
        <v>24.9</v>
      </c>
      <c r="X134" s="41">
        <f t="shared" ref="X134:AB134" si="648">(SUM(B131:B134))/4</f>
        <v>76.29249999999999</v>
      </c>
      <c r="Y134" s="40">
        <f t="shared" si="648"/>
        <v>66.667500000000004</v>
      </c>
      <c r="Z134" s="40">
        <f t="shared" si="648"/>
        <v>54.912500000000001</v>
      </c>
      <c r="AA134" s="40">
        <f t="shared" si="648"/>
        <v>37.489999999999995</v>
      </c>
      <c r="AB134" s="47">
        <f t="shared" si="648"/>
        <v>25.005000000000003</v>
      </c>
      <c r="AC134" s="42">
        <f t="shared" ref="AC134:AF134" si="649">(B134+C134)/2</f>
        <v>71.08</v>
      </c>
      <c r="AD134" s="42">
        <f t="shared" si="649"/>
        <v>60.445</v>
      </c>
      <c r="AE134" s="42">
        <f t="shared" si="649"/>
        <v>46.28</v>
      </c>
      <c r="AF134" s="42">
        <f t="shared" si="649"/>
        <v>31.295000000000002</v>
      </c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8"/>
      <c r="BK134" s="8"/>
      <c r="BL134" s="8"/>
      <c r="BM134" s="8"/>
    </row>
    <row r="135" spans="1:65" ht="15.75" hidden="1" customHeight="1" x14ac:dyDescent="0.45">
      <c r="A135" s="49">
        <f t="shared" si="3"/>
        <v>41824</v>
      </c>
      <c r="B135" s="44">
        <v>75.64</v>
      </c>
      <c r="C135" s="44">
        <v>65.8</v>
      </c>
      <c r="D135" s="44">
        <v>54.51</v>
      </c>
      <c r="E135" s="44">
        <v>37.049999999999997</v>
      </c>
      <c r="F135" s="44">
        <v>24.82</v>
      </c>
      <c r="G135" s="45">
        <v>70.84</v>
      </c>
      <c r="H135" s="37">
        <f t="shared" ref="H135:L135" si="650">B135-B134</f>
        <v>-0.43999999999999773</v>
      </c>
      <c r="I135" s="38">
        <f t="shared" si="650"/>
        <v>-0.28000000000000114</v>
      </c>
      <c r="J135" s="38">
        <f t="shared" si="650"/>
        <v>-0.30000000000000426</v>
      </c>
      <c r="K135" s="38">
        <f t="shared" si="650"/>
        <v>-0.70000000000000284</v>
      </c>
      <c r="L135" s="39">
        <f t="shared" si="650"/>
        <v>-1.9999999999999574E-2</v>
      </c>
      <c r="M135" s="38"/>
      <c r="N135" s="40"/>
      <c r="O135" s="40"/>
      <c r="P135" s="40"/>
      <c r="Q135" s="40"/>
      <c r="R135" s="40"/>
      <c r="S135" s="40">
        <f t="shared" ref="S135:T135" si="651">(B134+B135)/2</f>
        <v>75.86</v>
      </c>
      <c r="T135" s="40">
        <f t="shared" si="651"/>
        <v>65.94</v>
      </c>
      <c r="U135" s="40">
        <f t="shared" si="6"/>
        <v>54.66</v>
      </c>
      <c r="V135" s="40">
        <f t="shared" ref="V135:W135" si="652">(E134+E135)/2</f>
        <v>37.4</v>
      </c>
      <c r="W135" s="40">
        <f t="shared" si="652"/>
        <v>24.83</v>
      </c>
      <c r="X135" s="41">
        <f t="shared" ref="X135:AB135" si="653">(SUM(B132:B135))/4</f>
        <v>76.067499999999995</v>
      </c>
      <c r="Y135" s="40">
        <f t="shared" si="653"/>
        <v>66.33</v>
      </c>
      <c r="Z135" s="40">
        <f t="shared" si="653"/>
        <v>54.695</v>
      </c>
      <c r="AA135" s="40">
        <f t="shared" si="653"/>
        <v>37.402500000000003</v>
      </c>
      <c r="AB135" s="47">
        <f t="shared" si="653"/>
        <v>24.902500000000003</v>
      </c>
      <c r="AC135" s="42">
        <f t="shared" ref="AC135:AF135" si="654">(B135+C135)/2</f>
        <v>70.72</v>
      </c>
      <c r="AD135" s="42">
        <f t="shared" si="654"/>
        <v>60.155000000000001</v>
      </c>
      <c r="AE135" s="42">
        <f t="shared" si="654"/>
        <v>45.78</v>
      </c>
      <c r="AF135" s="42">
        <f t="shared" si="654"/>
        <v>30.934999999999999</v>
      </c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8"/>
      <c r="BK135" s="8"/>
      <c r="BL135" s="8"/>
      <c r="BM135" s="8"/>
    </row>
    <row r="136" spans="1:65" ht="15.75" hidden="1" customHeight="1" x14ac:dyDescent="0.45">
      <c r="A136" s="49">
        <f t="shared" si="3"/>
        <v>41831</v>
      </c>
      <c r="B136" s="44">
        <v>75.400000000000006</v>
      </c>
      <c r="C136" s="44">
        <v>65.13</v>
      </c>
      <c r="D136" s="44">
        <v>53.94</v>
      </c>
      <c r="E136" s="44">
        <v>36.94</v>
      </c>
      <c r="F136" s="44">
        <v>24.39</v>
      </c>
      <c r="G136" s="45">
        <v>69.900000000000006</v>
      </c>
      <c r="H136" s="37">
        <f t="shared" ref="H136:L136" si="655">B136-B135</f>
        <v>-0.23999999999999488</v>
      </c>
      <c r="I136" s="38">
        <f t="shared" si="655"/>
        <v>-0.67000000000000171</v>
      </c>
      <c r="J136" s="38">
        <f t="shared" si="655"/>
        <v>-0.57000000000000028</v>
      </c>
      <c r="K136" s="38">
        <f t="shared" si="655"/>
        <v>-0.10999999999999943</v>
      </c>
      <c r="L136" s="39">
        <f t="shared" si="655"/>
        <v>-0.42999999999999972</v>
      </c>
      <c r="M136" s="38"/>
      <c r="N136" s="40"/>
      <c r="O136" s="40"/>
      <c r="P136" s="40"/>
      <c r="Q136" s="40"/>
      <c r="R136" s="40"/>
      <c r="S136" s="40">
        <f t="shared" ref="S136:T136" si="656">(B135+B136)/2</f>
        <v>75.52000000000001</v>
      </c>
      <c r="T136" s="40">
        <f t="shared" si="656"/>
        <v>65.465000000000003</v>
      </c>
      <c r="U136" s="40">
        <f t="shared" si="6"/>
        <v>54.224999999999994</v>
      </c>
      <c r="V136" s="40">
        <f t="shared" ref="V136:W136" si="657">(E135+E136)/2</f>
        <v>36.994999999999997</v>
      </c>
      <c r="W136" s="40">
        <f t="shared" si="657"/>
        <v>24.605</v>
      </c>
      <c r="X136" s="41">
        <f t="shared" ref="X136:AB136" si="658">(SUM(B133:B136))/4</f>
        <v>75.814999999999998</v>
      </c>
      <c r="Y136" s="40">
        <f t="shared" si="658"/>
        <v>65.84</v>
      </c>
      <c r="Z136" s="40">
        <f t="shared" si="658"/>
        <v>54.402499999999996</v>
      </c>
      <c r="AA136" s="40">
        <f t="shared" si="658"/>
        <v>37.29</v>
      </c>
      <c r="AB136" s="47">
        <f t="shared" si="658"/>
        <v>24.752500000000001</v>
      </c>
      <c r="AC136" s="42">
        <f t="shared" ref="AC136:AF136" si="659">(B136+C136)/2</f>
        <v>70.265000000000001</v>
      </c>
      <c r="AD136" s="42">
        <f t="shared" si="659"/>
        <v>59.534999999999997</v>
      </c>
      <c r="AE136" s="42">
        <f t="shared" si="659"/>
        <v>45.44</v>
      </c>
      <c r="AF136" s="42">
        <f t="shared" si="659"/>
        <v>30.664999999999999</v>
      </c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8"/>
      <c r="BK136" s="8"/>
      <c r="BL136" s="8"/>
      <c r="BM136" s="8"/>
    </row>
    <row r="137" spans="1:65" ht="15.75" hidden="1" customHeight="1" x14ac:dyDescent="0.45">
      <c r="A137" s="49">
        <f t="shared" si="3"/>
        <v>41838</v>
      </c>
      <c r="B137" s="44">
        <v>74.47</v>
      </c>
      <c r="C137" s="44">
        <v>63.73</v>
      </c>
      <c r="D137" s="44">
        <v>51.92</v>
      </c>
      <c r="E137" s="44">
        <v>36.79</v>
      </c>
      <c r="F137" s="44">
        <v>23.79</v>
      </c>
      <c r="G137" s="45">
        <v>68.180000000000007</v>
      </c>
      <c r="H137" s="37">
        <f t="shared" ref="H137:L137" si="660">B137-B136</f>
        <v>-0.93000000000000682</v>
      </c>
      <c r="I137" s="38">
        <f t="shared" si="660"/>
        <v>-1.3999999999999986</v>
      </c>
      <c r="J137" s="38">
        <f t="shared" si="660"/>
        <v>-2.019999999999996</v>
      </c>
      <c r="K137" s="38">
        <f t="shared" si="660"/>
        <v>-0.14999999999999858</v>
      </c>
      <c r="L137" s="39">
        <f t="shared" si="660"/>
        <v>-0.60000000000000142</v>
      </c>
      <c r="M137" s="38"/>
      <c r="N137" s="40"/>
      <c r="O137" s="40"/>
      <c r="P137" s="40"/>
      <c r="Q137" s="40"/>
      <c r="R137" s="40"/>
      <c r="S137" s="40">
        <f t="shared" ref="S137:T137" si="661">(B136+B137)/2</f>
        <v>74.935000000000002</v>
      </c>
      <c r="T137" s="40">
        <f t="shared" si="661"/>
        <v>64.429999999999993</v>
      </c>
      <c r="U137" s="40">
        <f t="shared" si="6"/>
        <v>52.93</v>
      </c>
      <c r="V137" s="40">
        <f t="shared" ref="V137:W137" si="662">(E136+E137)/2</f>
        <v>36.864999999999995</v>
      </c>
      <c r="W137" s="40">
        <f t="shared" si="662"/>
        <v>24.09</v>
      </c>
      <c r="X137" s="41">
        <f t="shared" ref="X137:AB137" si="663">(SUM(B134:B137))/4</f>
        <v>75.397500000000008</v>
      </c>
      <c r="Y137" s="40">
        <f t="shared" si="663"/>
        <v>65.185000000000002</v>
      </c>
      <c r="Z137" s="40">
        <f t="shared" si="663"/>
        <v>53.795000000000002</v>
      </c>
      <c r="AA137" s="40">
        <f t="shared" si="663"/>
        <v>37.1325</v>
      </c>
      <c r="AB137" s="47">
        <f t="shared" si="663"/>
        <v>24.46</v>
      </c>
      <c r="AC137" s="42">
        <f t="shared" ref="AC137:AF137" si="664">(B137+C137)/2</f>
        <v>69.099999999999994</v>
      </c>
      <c r="AD137" s="42">
        <f t="shared" si="664"/>
        <v>57.825000000000003</v>
      </c>
      <c r="AE137" s="42">
        <f t="shared" si="664"/>
        <v>44.355000000000004</v>
      </c>
      <c r="AF137" s="42">
        <f t="shared" si="664"/>
        <v>30.29</v>
      </c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8"/>
      <c r="BK137" s="8"/>
      <c r="BL137" s="8"/>
      <c r="BM137" s="8"/>
    </row>
    <row r="138" spans="1:65" ht="15.75" hidden="1" customHeight="1" x14ac:dyDescent="0.45">
      <c r="A138" s="49">
        <f t="shared" si="3"/>
        <v>41845</v>
      </c>
      <c r="B138" s="44">
        <v>74.23</v>
      </c>
      <c r="C138" s="44">
        <v>63.7</v>
      </c>
      <c r="D138" s="44">
        <v>51.51</v>
      </c>
      <c r="E138" s="44">
        <v>36.72</v>
      </c>
      <c r="F138" s="44">
        <v>23.45</v>
      </c>
      <c r="G138" s="45">
        <v>67.89</v>
      </c>
      <c r="H138" s="37">
        <f t="shared" ref="H138:L138" si="665">B138-B137</f>
        <v>-0.23999999999999488</v>
      </c>
      <c r="I138" s="38">
        <f t="shared" si="665"/>
        <v>-2.9999999999994031E-2</v>
      </c>
      <c r="J138" s="38">
        <f t="shared" si="665"/>
        <v>-0.41000000000000369</v>
      </c>
      <c r="K138" s="38">
        <f t="shared" si="665"/>
        <v>-7.0000000000000284E-2</v>
      </c>
      <c r="L138" s="39">
        <f t="shared" si="665"/>
        <v>-0.33999999999999986</v>
      </c>
      <c r="M138" s="38"/>
      <c r="N138" s="40"/>
      <c r="O138" s="40"/>
      <c r="P138" s="40"/>
      <c r="Q138" s="40"/>
      <c r="R138" s="40"/>
      <c r="S138" s="40">
        <f t="shared" ref="S138:T138" si="666">(B137+B138)/2</f>
        <v>74.349999999999994</v>
      </c>
      <c r="T138" s="40">
        <f t="shared" si="666"/>
        <v>63.715000000000003</v>
      </c>
      <c r="U138" s="40">
        <f t="shared" si="6"/>
        <v>51.715000000000003</v>
      </c>
      <c r="V138" s="40">
        <f t="shared" ref="V138:W138" si="667">(E137+E138)/2</f>
        <v>36.754999999999995</v>
      </c>
      <c r="W138" s="40">
        <f t="shared" si="667"/>
        <v>23.619999999999997</v>
      </c>
      <c r="X138" s="41">
        <f t="shared" ref="X138:AB138" si="668">(SUM(B135:B138))/4</f>
        <v>74.935000000000002</v>
      </c>
      <c r="Y138" s="40">
        <f t="shared" si="668"/>
        <v>64.59</v>
      </c>
      <c r="Z138" s="40">
        <f t="shared" si="668"/>
        <v>52.97</v>
      </c>
      <c r="AA138" s="40">
        <f t="shared" si="668"/>
        <v>36.875</v>
      </c>
      <c r="AB138" s="47">
        <f t="shared" si="668"/>
        <v>24.112500000000001</v>
      </c>
      <c r="AC138" s="42">
        <f t="shared" ref="AC138:AF138" si="669">(B138+C138)/2</f>
        <v>68.965000000000003</v>
      </c>
      <c r="AD138" s="42">
        <f t="shared" si="669"/>
        <v>57.605000000000004</v>
      </c>
      <c r="AE138" s="42">
        <f t="shared" si="669"/>
        <v>44.114999999999995</v>
      </c>
      <c r="AF138" s="42">
        <f t="shared" si="669"/>
        <v>30.085000000000001</v>
      </c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8"/>
      <c r="BK138" s="8"/>
      <c r="BL138" s="8"/>
      <c r="BM138" s="8"/>
    </row>
    <row r="139" spans="1:65" ht="15.75" hidden="1" customHeight="1" x14ac:dyDescent="0.45">
      <c r="A139" s="49">
        <f t="shared" si="3"/>
        <v>41852</v>
      </c>
      <c r="B139" s="44">
        <v>73.959999999999994</v>
      </c>
      <c r="C139" s="44">
        <v>63.14</v>
      </c>
      <c r="D139" s="44">
        <v>51.33</v>
      </c>
      <c r="E139" s="44">
        <v>36.82</v>
      </c>
      <c r="F139" s="44">
        <v>23.51</v>
      </c>
      <c r="G139" s="45">
        <v>69.02</v>
      </c>
      <c r="H139" s="37">
        <f t="shared" ref="H139:L139" si="670">B139-B138</f>
        <v>-0.27000000000001023</v>
      </c>
      <c r="I139" s="38">
        <f t="shared" si="670"/>
        <v>-0.56000000000000227</v>
      </c>
      <c r="J139" s="38">
        <f t="shared" si="670"/>
        <v>-0.17999999999999972</v>
      </c>
      <c r="K139" s="38">
        <f t="shared" si="670"/>
        <v>0.10000000000000142</v>
      </c>
      <c r="L139" s="39">
        <f t="shared" si="670"/>
        <v>6.0000000000002274E-2</v>
      </c>
      <c r="M139" s="38"/>
      <c r="N139" s="40"/>
      <c r="O139" s="40"/>
      <c r="P139" s="40"/>
      <c r="Q139" s="40"/>
      <c r="R139" s="40"/>
      <c r="S139" s="40">
        <f t="shared" ref="S139:T139" si="671">(B138+B139)/2</f>
        <v>74.094999999999999</v>
      </c>
      <c r="T139" s="40">
        <f t="shared" si="671"/>
        <v>63.42</v>
      </c>
      <c r="U139" s="40">
        <f t="shared" si="6"/>
        <v>51.42</v>
      </c>
      <c r="V139" s="40">
        <f t="shared" ref="V139:W139" si="672">(E138+E139)/2</f>
        <v>36.769999999999996</v>
      </c>
      <c r="W139" s="40">
        <f t="shared" si="672"/>
        <v>23.48</v>
      </c>
      <c r="X139" s="41">
        <f t="shared" ref="X139:AB139" si="673">(SUM(B136:B139))/4</f>
        <v>74.515000000000001</v>
      </c>
      <c r="Y139" s="40">
        <f t="shared" si="673"/>
        <v>63.924999999999997</v>
      </c>
      <c r="Z139" s="40">
        <f t="shared" si="673"/>
        <v>52.174999999999997</v>
      </c>
      <c r="AA139" s="40">
        <f t="shared" si="673"/>
        <v>36.817499999999995</v>
      </c>
      <c r="AB139" s="47">
        <f t="shared" si="673"/>
        <v>23.785</v>
      </c>
      <c r="AC139" s="42">
        <f t="shared" ref="AC139:AF139" si="674">(B139+C139)/2</f>
        <v>68.55</v>
      </c>
      <c r="AD139" s="42">
        <f t="shared" si="674"/>
        <v>57.234999999999999</v>
      </c>
      <c r="AE139" s="42">
        <f t="shared" si="674"/>
        <v>44.075000000000003</v>
      </c>
      <c r="AF139" s="42">
        <f t="shared" si="674"/>
        <v>30.164999999999999</v>
      </c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8"/>
      <c r="BK139" s="8"/>
      <c r="BL139" s="8"/>
      <c r="BM139" s="8"/>
    </row>
    <row r="140" spans="1:65" ht="15.75" hidden="1" customHeight="1" x14ac:dyDescent="0.45">
      <c r="A140" s="49">
        <f t="shared" si="3"/>
        <v>41859</v>
      </c>
      <c r="B140" s="44">
        <v>73.09</v>
      </c>
      <c r="C140" s="44">
        <v>63.57</v>
      </c>
      <c r="D140" s="44">
        <v>51.47</v>
      </c>
      <c r="E140" s="44">
        <v>36.92</v>
      </c>
      <c r="F140" s="44">
        <v>23.29</v>
      </c>
      <c r="G140" s="45">
        <v>69.59</v>
      </c>
      <c r="H140" s="37">
        <f t="shared" ref="H140:L140" si="675">B140-B139</f>
        <v>-0.86999999999999034</v>
      </c>
      <c r="I140" s="38">
        <f t="shared" si="675"/>
        <v>0.42999999999999972</v>
      </c>
      <c r="J140" s="38">
        <f t="shared" si="675"/>
        <v>0.14000000000000057</v>
      </c>
      <c r="K140" s="38">
        <f t="shared" si="675"/>
        <v>0.10000000000000142</v>
      </c>
      <c r="L140" s="39">
        <f t="shared" si="675"/>
        <v>-0.22000000000000242</v>
      </c>
      <c r="M140" s="38"/>
      <c r="N140" s="40"/>
      <c r="O140" s="40"/>
      <c r="P140" s="40"/>
      <c r="Q140" s="40"/>
      <c r="R140" s="40"/>
      <c r="S140" s="40">
        <f t="shared" ref="S140:T140" si="676">(B139+B140)/2</f>
        <v>73.525000000000006</v>
      </c>
      <c r="T140" s="40">
        <f t="shared" si="676"/>
        <v>63.355000000000004</v>
      </c>
      <c r="U140" s="40">
        <f t="shared" si="6"/>
        <v>51.4</v>
      </c>
      <c r="V140" s="40">
        <f t="shared" ref="V140:W140" si="677">(E139+E140)/2</f>
        <v>36.870000000000005</v>
      </c>
      <c r="W140" s="40">
        <f t="shared" si="677"/>
        <v>23.4</v>
      </c>
      <c r="X140" s="41">
        <f t="shared" ref="X140:AB140" si="678">(SUM(B137:B140))/4</f>
        <v>73.9375</v>
      </c>
      <c r="Y140" s="40">
        <f t="shared" si="678"/>
        <v>63.534999999999997</v>
      </c>
      <c r="Z140" s="40">
        <f t="shared" si="678"/>
        <v>51.557499999999997</v>
      </c>
      <c r="AA140" s="40">
        <f t="shared" si="678"/>
        <v>36.8125</v>
      </c>
      <c r="AB140" s="47">
        <f t="shared" si="678"/>
        <v>23.509999999999998</v>
      </c>
      <c r="AC140" s="42">
        <f t="shared" ref="AC140:AF140" si="679">(B140+C140)/2</f>
        <v>68.33</v>
      </c>
      <c r="AD140" s="42">
        <f t="shared" si="679"/>
        <v>57.519999999999996</v>
      </c>
      <c r="AE140" s="42">
        <f t="shared" si="679"/>
        <v>44.195</v>
      </c>
      <c r="AF140" s="42">
        <f t="shared" si="679"/>
        <v>30.105</v>
      </c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8"/>
      <c r="BK140" s="8"/>
      <c r="BL140" s="8"/>
      <c r="BM140" s="8"/>
    </row>
    <row r="141" spans="1:65" ht="15.75" hidden="1" customHeight="1" x14ac:dyDescent="0.45">
      <c r="A141" s="49">
        <f t="shared" si="3"/>
        <v>41866</v>
      </c>
      <c r="B141" s="44">
        <v>73.38</v>
      </c>
      <c r="C141" s="44">
        <v>63.41</v>
      </c>
      <c r="D141" s="44">
        <v>51.12</v>
      </c>
      <c r="E141" s="44">
        <v>37.200000000000003</v>
      </c>
      <c r="F141" s="44">
        <v>23.48</v>
      </c>
      <c r="G141" s="45">
        <v>69.88</v>
      </c>
      <c r="H141" s="37">
        <f t="shared" ref="H141:L141" si="680">B141-B140</f>
        <v>0.28999999999999204</v>
      </c>
      <c r="I141" s="38">
        <f t="shared" si="680"/>
        <v>-0.16000000000000369</v>
      </c>
      <c r="J141" s="38">
        <f t="shared" si="680"/>
        <v>-0.35000000000000142</v>
      </c>
      <c r="K141" s="38">
        <f t="shared" si="680"/>
        <v>0.28000000000000114</v>
      </c>
      <c r="L141" s="39">
        <f t="shared" si="680"/>
        <v>0.19000000000000128</v>
      </c>
      <c r="M141" s="38"/>
      <c r="N141" s="40"/>
      <c r="O141" s="40"/>
      <c r="P141" s="40"/>
      <c r="Q141" s="40"/>
      <c r="R141" s="40"/>
      <c r="S141" s="40">
        <f t="shared" ref="S141:T141" si="681">(B140+B141)/2</f>
        <v>73.234999999999999</v>
      </c>
      <c r="T141" s="40">
        <f t="shared" si="681"/>
        <v>63.489999999999995</v>
      </c>
      <c r="U141" s="40">
        <f t="shared" si="6"/>
        <v>51.295000000000002</v>
      </c>
      <c r="V141" s="40">
        <f t="shared" ref="V141:W141" si="682">(E140+E141)/2</f>
        <v>37.06</v>
      </c>
      <c r="W141" s="40">
        <f t="shared" si="682"/>
        <v>23.384999999999998</v>
      </c>
      <c r="X141" s="41">
        <f t="shared" ref="X141:AB141" si="683">(SUM(B138:B141))/4</f>
        <v>73.664999999999992</v>
      </c>
      <c r="Y141" s="40">
        <f t="shared" si="683"/>
        <v>63.454999999999998</v>
      </c>
      <c r="Z141" s="40">
        <f t="shared" si="683"/>
        <v>51.357500000000002</v>
      </c>
      <c r="AA141" s="40">
        <f t="shared" si="683"/>
        <v>36.914999999999999</v>
      </c>
      <c r="AB141" s="47">
        <f t="shared" si="683"/>
        <v>23.432500000000001</v>
      </c>
      <c r="AC141" s="42">
        <f t="shared" ref="AC141:AF141" si="684">(B141+C141)/2</f>
        <v>68.394999999999996</v>
      </c>
      <c r="AD141" s="42">
        <f t="shared" si="684"/>
        <v>57.265000000000001</v>
      </c>
      <c r="AE141" s="42">
        <f t="shared" si="684"/>
        <v>44.16</v>
      </c>
      <c r="AF141" s="42">
        <f t="shared" si="684"/>
        <v>30.340000000000003</v>
      </c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8"/>
      <c r="BK141" s="8"/>
      <c r="BL141" s="8"/>
      <c r="BM141" s="8"/>
    </row>
    <row r="142" spans="1:65" ht="15.75" hidden="1" customHeight="1" x14ac:dyDescent="0.45">
      <c r="A142" s="49">
        <f t="shared" si="3"/>
        <v>41873</v>
      </c>
      <c r="B142" s="44">
        <v>73.150000000000006</v>
      </c>
      <c r="C142" s="44">
        <v>62.88</v>
      </c>
      <c r="D142" s="44">
        <v>50.94</v>
      </c>
      <c r="E142" s="44">
        <v>36.950000000000003</v>
      </c>
      <c r="F142" s="44">
        <v>23.45</v>
      </c>
      <c r="G142" s="45">
        <v>69.27</v>
      </c>
      <c r="H142" s="37">
        <f t="shared" ref="H142:L142" si="685">B142-B141</f>
        <v>-0.22999999999998977</v>
      </c>
      <c r="I142" s="38">
        <f t="shared" si="685"/>
        <v>-0.52999999999999403</v>
      </c>
      <c r="J142" s="38">
        <f t="shared" si="685"/>
        <v>-0.17999999999999972</v>
      </c>
      <c r="K142" s="38">
        <f t="shared" si="685"/>
        <v>-0.25</v>
      </c>
      <c r="L142" s="39">
        <f t="shared" si="685"/>
        <v>-3.0000000000001137E-2</v>
      </c>
      <c r="M142" s="38"/>
      <c r="N142" s="40"/>
      <c r="O142" s="40"/>
      <c r="P142" s="40"/>
      <c r="Q142" s="40"/>
      <c r="R142" s="40"/>
      <c r="S142" s="40">
        <f t="shared" ref="S142:T142" si="686">(B141+B142)/2</f>
        <v>73.265000000000001</v>
      </c>
      <c r="T142" s="40">
        <f t="shared" si="686"/>
        <v>63.144999999999996</v>
      </c>
      <c r="U142" s="40">
        <f t="shared" si="6"/>
        <v>51.03</v>
      </c>
      <c r="V142" s="40">
        <f t="shared" ref="V142:W142" si="687">(E141+E142)/2</f>
        <v>37.075000000000003</v>
      </c>
      <c r="W142" s="40">
        <f t="shared" si="687"/>
        <v>23.465</v>
      </c>
      <c r="X142" s="41">
        <f t="shared" ref="X142:AB142" si="688">(SUM(B139:B142))/4</f>
        <v>73.39500000000001</v>
      </c>
      <c r="Y142" s="40">
        <f t="shared" si="688"/>
        <v>63.25</v>
      </c>
      <c r="Z142" s="40">
        <f t="shared" si="688"/>
        <v>51.214999999999996</v>
      </c>
      <c r="AA142" s="40">
        <f t="shared" si="688"/>
        <v>36.972500000000004</v>
      </c>
      <c r="AB142" s="47">
        <f t="shared" si="688"/>
        <v>23.432500000000001</v>
      </c>
      <c r="AC142" s="42">
        <f t="shared" ref="AC142:AF142" si="689">(B142+C142)/2</f>
        <v>68.015000000000001</v>
      </c>
      <c r="AD142" s="42">
        <f t="shared" si="689"/>
        <v>56.91</v>
      </c>
      <c r="AE142" s="42">
        <f t="shared" si="689"/>
        <v>43.945</v>
      </c>
      <c r="AF142" s="42">
        <f t="shared" si="689"/>
        <v>30.200000000000003</v>
      </c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8"/>
      <c r="BK142" s="8"/>
      <c r="BL142" s="8"/>
      <c r="BM142" s="8"/>
    </row>
    <row r="143" spans="1:65" ht="15.75" hidden="1" customHeight="1" x14ac:dyDescent="0.45">
      <c r="A143" s="49">
        <f t="shared" si="3"/>
        <v>41880</v>
      </c>
      <c r="B143" s="44">
        <v>73.31</v>
      </c>
      <c r="C143" s="44">
        <v>63.42</v>
      </c>
      <c r="D143" s="44">
        <v>50.79</v>
      </c>
      <c r="E143" s="44">
        <v>37.020000000000003</v>
      </c>
      <c r="F143" s="44">
        <v>23.22</v>
      </c>
      <c r="G143" s="45">
        <v>69.69</v>
      </c>
      <c r="H143" s="37">
        <f t="shared" ref="H143:L143" si="690">B143-B142</f>
        <v>0.15999999999999659</v>
      </c>
      <c r="I143" s="38">
        <f t="shared" si="690"/>
        <v>0.53999999999999915</v>
      </c>
      <c r="J143" s="38">
        <f t="shared" si="690"/>
        <v>-0.14999999999999858</v>
      </c>
      <c r="K143" s="38">
        <f t="shared" si="690"/>
        <v>7.0000000000000284E-2</v>
      </c>
      <c r="L143" s="39">
        <f t="shared" si="690"/>
        <v>-0.23000000000000043</v>
      </c>
      <c r="M143" s="38"/>
      <c r="N143" s="40"/>
      <c r="O143" s="40"/>
      <c r="P143" s="40"/>
      <c r="Q143" s="40"/>
      <c r="R143" s="40"/>
      <c r="S143" s="40">
        <f t="shared" ref="S143:T143" si="691">(B142+B143)/2</f>
        <v>73.23</v>
      </c>
      <c r="T143" s="40">
        <f t="shared" si="691"/>
        <v>63.150000000000006</v>
      </c>
      <c r="U143" s="40">
        <f t="shared" si="6"/>
        <v>50.864999999999995</v>
      </c>
      <c r="V143" s="40">
        <f t="shared" ref="V143:W143" si="692">(E142+E143)/2</f>
        <v>36.984999999999999</v>
      </c>
      <c r="W143" s="40">
        <f t="shared" si="692"/>
        <v>23.335000000000001</v>
      </c>
      <c r="X143" s="41">
        <f t="shared" ref="X143:AB143" si="693">(SUM(B140:B143))/4</f>
        <v>73.232500000000002</v>
      </c>
      <c r="Y143" s="40">
        <f t="shared" si="693"/>
        <v>63.319999999999993</v>
      </c>
      <c r="Z143" s="40">
        <f t="shared" si="693"/>
        <v>51.08</v>
      </c>
      <c r="AA143" s="40">
        <f t="shared" si="693"/>
        <v>37.022500000000001</v>
      </c>
      <c r="AB143" s="47">
        <f t="shared" si="693"/>
        <v>23.36</v>
      </c>
      <c r="AC143" s="42">
        <f t="shared" ref="AC143:AF143" si="694">(B143+C143)/2</f>
        <v>68.365000000000009</v>
      </c>
      <c r="AD143" s="42">
        <f t="shared" si="694"/>
        <v>57.105000000000004</v>
      </c>
      <c r="AE143" s="42">
        <f t="shared" si="694"/>
        <v>43.905000000000001</v>
      </c>
      <c r="AF143" s="42">
        <f t="shared" si="694"/>
        <v>30.12</v>
      </c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8"/>
      <c r="BK143" s="8"/>
      <c r="BL143" s="8"/>
      <c r="BM143" s="8"/>
    </row>
    <row r="144" spans="1:65" ht="15.75" hidden="1" customHeight="1" x14ac:dyDescent="0.45">
      <c r="A144" s="49">
        <f t="shared" si="3"/>
        <v>41887</v>
      </c>
      <c r="B144" s="44">
        <v>71.2</v>
      </c>
      <c r="C144" s="44">
        <v>61.93</v>
      </c>
      <c r="D144" s="44">
        <v>50.28</v>
      </c>
      <c r="E144" s="44">
        <v>36.5</v>
      </c>
      <c r="F144" s="44">
        <v>23.26</v>
      </c>
      <c r="G144" s="45">
        <v>67.45</v>
      </c>
      <c r="H144" s="37">
        <f t="shared" ref="H144:L144" si="695">B144-B143</f>
        <v>-2.1099999999999994</v>
      </c>
      <c r="I144" s="38">
        <f t="shared" si="695"/>
        <v>-1.490000000000002</v>
      </c>
      <c r="J144" s="38">
        <f t="shared" si="695"/>
        <v>-0.50999999999999801</v>
      </c>
      <c r="K144" s="38">
        <f t="shared" si="695"/>
        <v>-0.52000000000000313</v>
      </c>
      <c r="L144" s="39">
        <f t="shared" si="695"/>
        <v>4.00000000000027E-2</v>
      </c>
      <c r="M144" s="38"/>
      <c r="N144" s="40"/>
      <c r="O144" s="40"/>
      <c r="P144" s="40"/>
      <c r="Q144" s="40"/>
      <c r="R144" s="40"/>
      <c r="S144" s="40">
        <f t="shared" ref="S144:T144" si="696">(B143+B144)/2</f>
        <v>72.254999999999995</v>
      </c>
      <c r="T144" s="40">
        <f t="shared" si="696"/>
        <v>62.674999999999997</v>
      </c>
      <c r="U144" s="40">
        <f t="shared" si="6"/>
        <v>50.534999999999997</v>
      </c>
      <c r="V144" s="40">
        <f t="shared" ref="V144:W144" si="697">(E143+E144)/2</f>
        <v>36.760000000000005</v>
      </c>
      <c r="W144" s="40">
        <f t="shared" si="697"/>
        <v>23.240000000000002</v>
      </c>
      <c r="X144" s="41">
        <f t="shared" ref="X144:AB144" si="698">(SUM(B141:B144))/4</f>
        <v>72.760000000000005</v>
      </c>
      <c r="Y144" s="40">
        <f t="shared" si="698"/>
        <v>62.91</v>
      </c>
      <c r="Z144" s="40">
        <f t="shared" si="698"/>
        <v>50.782499999999999</v>
      </c>
      <c r="AA144" s="40">
        <f t="shared" si="698"/>
        <v>36.917500000000004</v>
      </c>
      <c r="AB144" s="47">
        <f t="shared" si="698"/>
        <v>23.352500000000003</v>
      </c>
      <c r="AC144" s="42">
        <f t="shared" ref="AC144:AF144" si="699">(B144+C144)/2</f>
        <v>66.564999999999998</v>
      </c>
      <c r="AD144" s="42">
        <f t="shared" si="699"/>
        <v>56.105000000000004</v>
      </c>
      <c r="AE144" s="42">
        <f t="shared" si="699"/>
        <v>43.39</v>
      </c>
      <c r="AF144" s="42">
        <f t="shared" si="699"/>
        <v>29.880000000000003</v>
      </c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8"/>
      <c r="BK144" s="8"/>
      <c r="BL144" s="8"/>
      <c r="BM144" s="8"/>
    </row>
    <row r="145" spans="1:65" ht="15.75" hidden="1" customHeight="1" x14ac:dyDescent="0.45">
      <c r="A145" s="49">
        <f t="shared" si="3"/>
        <v>41894</v>
      </c>
      <c r="B145" s="44">
        <v>70.349999999999994</v>
      </c>
      <c r="C145" s="44">
        <v>62.04</v>
      </c>
      <c r="D145" s="44">
        <v>50.46</v>
      </c>
      <c r="E145" s="44">
        <v>36.520000000000003</v>
      </c>
      <c r="F145" s="44">
        <v>23.2</v>
      </c>
      <c r="G145" s="45">
        <v>66.069999999999993</v>
      </c>
      <c r="H145" s="37">
        <f t="shared" ref="H145:L145" si="700">B145-B144</f>
        <v>-0.85000000000000853</v>
      </c>
      <c r="I145" s="38">
        <f t="shared" si="700"/>
        <v>0.10999999999999943</v>
      </c>
      <c r="J145" s="38">
        <f t="shared" si="700"/>
        <v>0.17999999999999972</v>
      </c>
      <c r="K145" s="38">
        <f t="shared" si="700"/>
        <v>2.0000000000003126E-2</v>
      </c>
      <c r="L145" s="39">
        <f t="shared" si="700"/>
        <v>-6.0000000000002274E-2</v>
      </c>
      <c r="M145" s="38"/>
      <c r="N145" s="40"/>
      <c r="O145" s="40"/>
      <c r="P145" s="40"/>
      <c r="Q145" s="40"/>
      <c r="R145" s="40"/>
      <c r="S145" s="40">
        <f t="shared" ref="S145:T145" si="701">(B144+B145)/2</f>
        <v>70.775000000000006</v>
      </c>
      <c r="T145" s="40">
        <f t="shared" si="701"/>
        <v>61.984999999999999</v>
      </c>
      <c r="U145" s="40">
        <f t="shared" si="6"/>
        <v>50.370000000000005</v>
      </c>
      <c r="V145" s="40">
        <f t="shared" ref="V145:W145" si="702">(E144+E145)/2</f>
        <v>36.510000000000005</v>
      </c>
      <c r="W145" s="40">
        <f t="shared" si="702"/>
        <v>23.23</v>
      </c>
      <c r="X145" s="41">
        <f t="shared" ref="X145:AB145" si="703">(SUM(B142:B145))/4</f>
        <v>72.002499999999998</v>
      </c>
      <c r="Y145" s="40">
        <f t="shared" si="703"/>
        <v>62.567500000000003</v>
      </c>
      <c r="Z145" s="40">
        <f t="shared" si="703"/>
        <v>50.6175</v>
      </c>
      <c r="AA145" s="40">
        <f t="shared" si="703"/>
        <v>36.747500000000002</v>
      </c>
      <c r="AB145" s="47">
        <f t="shared" si="703"/>
        <v>23.282500000000002</v>
      </c>
      <c r="AC145" s="42">
        <f t="shared" ref="AC145:AF145" si="704">(B145+C145)/2</f>
        <v>66.194999999999993</v>
      </c>
      <c r="AD145" s="42">
        <f t="shared" si="704"/>
        <v>56.25</v>
      </c>
      <c r="AE145" s="42">
        <f t="shared" si="704"/>
        <v>43.49</v>
      </c>
      <c r="AF145" s="42">
        <f t="shared" si="704"/>
        <v>29.86</v>
      </c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8"/>
      <c r="BK145" s="8"/>
      <c r="BL145" s="8"/>
      <c r="BM145" s="8"/>
    </row>
    <row r="146" spans="1:65" ht="15.75" hidden="1" customHeight="1" x14ac:dyDescent="0.45">
      <c r="A146" s="49">
        <f t="shared" si="3"/>
        <v>41901</v>
      </c>
      <c r="B146" s="44">
        <v>70.27</v>
      </c>
      <c r="C146" s="44">
        <v>61.8</v>
      </c>
      <c r="D146" s="44">
        <v>50.74</v>
      </c>
      <c r="E146" s="44">
        <v>36.450000000000003</v>
      </c>
      <c r="F146" s="44">
        <v>23.08</v>
      </c>
      <c r="G146" s="45">
        <v>66.14</v>
      </c>
      <c r="H146" s="37">
        <f t="shared" ref="H146:L146" si="705">B146-B145</f>
        <v>-7.9999999999998295E-2</v>
      </c>
      <c r="I146" s="38">
        <f t="shared" si="705"/>
        <v>-0.24000000000000199</v>
      </c>
      <c r="J146" s="38">
        <f t="shared" si="705"/>
        <v>0.28000000000000114</v>
      </c>
      <c r="K146" s="38">
        <f t="shared" si="705"/>
        <v>-7.0000000000000284E-2</v>
      </c>
      <c r="L146" s="39">
        <f t="shared" si="705"/>
        <v>-0.12000000000000099</v>
      </c>
      <c r="M146" s="38"/>
      <c r="N146" s="40"/>
      <c r="O146" s="40"/>
      <c r="P146" s="40"/>
      <c r="Q146" s="40"/>
      <c r="R146" s="40"/>
      <c r="S146" s="40">
        <f t="shared" ref="S146:T146" si="706">(B145+B146)/2</f>
        <v>70.31</v>
      </c>
      <c r="T146" s="40">
        <f t="shared" si="706"/>
        <v>61.92</v>
      </c>
      <c r="U146" s="40">
        <f t="shared" si="6"/>
        <v>50.6</v>
      </c>
      <c r="V146" s="40">
        <f t="shared" ref="V146:W146" si="707">(E145+E146)/2</f>
        <v>36.484999999999999</v>
      </c>
      <c r="W146" s="40">
        <f t="shared" si="707"/>
        <v>23.14</v>
      </c>
      <c r="X146" s="41">
        <f t="shared" ref="X146:AB146" si="708">(SUM(B143:B146))/4</f>
        <v>71.282499999999999</v>
      </c>
      <c r="Y146" s="40">
        <f t="shared" si="708"/>
        <v>62.297499999999999</v>
      </c>
      <c r="Z146" s="40">
        <f t="shared" si="708"/>
        <v>50.567500000000003</v>
      </c>
      <c r="AA146" s="40">
        <f t="shared" si="708"/>
        <v>36.622500000000002</v>
      </c>
      <c r="AB146" s="47">
        <f t="shared" si="708"/>
        <v>23.19</v>
      </c>
      <c r="AC146" s="42">
        <f t="shared" ref="AC146:AF146" si="709">(B146+C146)/2</f>
        <v>66.034999999999997</v>
      </c>
      <c r="AD146" s="42">
        <f t="shared" si="709"/>
        <v>56.269999999999996</v>
      </c>
      <c r="AE146" s="42">
        <f t="shared" si="709"/>
        <v>43.594999999999999</v>
      </c>
      <c r="AF146" s="42">
        <f t="shared" si="709"/>
        <v>29.765000000000001</v>
      </c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8"/>
      <c r="BK146" s="8"/>
      <c r="BL146" s="8"/>
      <c r="BM146" s="8"/>
    </row>
    <row r="147" spans="1:65" ht="15.75" hidden="1" customHeight="1" x14ac:dyDescent="0.45">
      <c r="A147" s="49">
        <f t="shared" si="3"/>
        <v>41908</v>
      </c>
      <c r="B147" s="44">
        <v>69.84</v>
      </c>
      <c r="C147" s="44">
        <v>60.84</v>
      </c>
      <c r="D147" s="44">
        <v>50.73</v>
      </c>
      <c r="E147" s="44">
        <v>36.31</v>
      </c>
      <c r="F147" s="44">
        <v>23.18</v>
      </c>
      <c r="G147" s="45">
        <v>65.83</v>
      </c>
      <c r="H147" s="37">
        <f t="shared" ref="H147:L147" si="710">B147-B146</f>
        <v>-0.42999999999999261</v>
      </c>
      <c r="I147" s="38">
        <f t="shared" si="710"/>
        <v>-0.95999999999999375</v>
      </c>
      <c r="J147" s="38">
        <f t="shared" si="710"/>
        <v>-1.0000000000005116E-2</v>
      </c>
      <c r="K147" s="38">
        <f t="shared" si="710"/>
        <v>-0.14000000000000057</v>
      </c>
      <c r="L147" s="39">
        <f t="shared" si="710"/>
        <v>0.10000000000000142</v>
      </c>
      <c r="M147" s="38"/>
      <c r="N147" s="40"/>
      <c r="O147" s="40"/>
      <c r="P147" s="40"/>
      <c r="Q147" s="40"/>
      <c r="R147" s="40"/>
      <c r="S147" s="40">
        <f t="shared" ref="S147:T147" si="711">(B146+B147)/2</f>
        <v>70.055000000000007</v>
      </c>
      <c r="T147" s="40">
        <f t="shared" si="711"/>
        <v>61.32</v>
      </c>
      <c r="U147" s="40">
        <f t="shared" si="6"/>
        <v>50.734999999999999</v>
      </c>
      <c r="V147" s="40">
        <f t="shared" ref="V147:W147" si="712">(E146+E147)/2</f>
        <v>36.380000000000003</v>
      </c>
      <c r="W147" s="40">
        <f t="shared" si="712"/>
        <v>23.13</v>
      </c>
      <c r="X147" s="41">
        <f t="shared" ref="X147:AB147" si="713">(SUM(B144:B147))/4</f>
        <v>70.414999999999992</v>
      </c>
      <c r="Y147" s="40">
        <f t="shared" si="713"/>
        <v>61.652499999999996</v>
      </c>
      <c r="Z147" s="40">
        <f t="shared" si="713"/>
        <v>50.552500000000002</v>
      </c>
      <c r="AA147" s="40">
        <f t="shared" si="713"/>
        <v>36.445000000000007</v>
      </c>
      <c r="AB147" s="47">
        <f t="shared" si="713"/>
        <v>23.18</v>
      </c>
      <c r="AC147" s="42">
        <f t="shared" ref="AC147:AF147" si="714">(B147+C147)/2</f>
        <v>65.34</v>
      </c>
      <c r="AD147" s="42">
        <f t="shared" si="714"/>
        <v>55.784999999999997</v>
      </c>
      <c r="AE147" s="42">
        <f t="shared" si="714"/>
        <v>43.519999999999996</v>
      </c>
      <c r="AF147" s="42">
        <f t="shared" si="714"/>
        <v>29.745000000000001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8"/>
      <c r="BK147" s="8"/>
      <c r="BL147" s="8"/>
      <c r="BM147" s="8"/>
    </row>
    <row r="148" spans="1:65" ht="15.75" hidden="1" customHeight="1" x14ac:dyDescent="0.45">
      <c r="A148" s="49">
        <f t="shared" si="3"/>
        <v>41915</v>
      </c>
      <c r="B148" s="44">
        <v>69.91</v>
      </c>
      <c r="C148" s="44">
        <v>61.2</v>
      </c>
      <c r="D148" s="44">
        <v>50.34</v>
      </c>
      <c r="E148" s="44">
        <v>36.86</v>
      </c>
      <c r="F148" s="44">
        <v>23.13</v>
      </c>
      <c r="G148" s="45">
        <v>64.91</v>
      </c>
      <c r="H148" s="37">
        <f t="shared" ref="H148:L148" si="715">B148-B147</f>
        <v>6.9999999999993179E-2</v>
      </c>
      <c r="I148" s="38">
        <f t="shared" si="715"/>
        <v>0.35999999999999943</v>
      </c>
      <c r="J148" s="38">
        <f t="shared" si="715"/>
        <v>-0.38999999999999346</v>
      </c>
      <c r="K148" s="38">
        <f t="shared" si="715"/>
        <v>0.54999999999999716</v>
      </c>
      <c r="L148" s="39">
        <f t="shared" si="715"/>
        <v>-5.0000000000000711E-2</v>
      </c>
      <c r="M148" s="38"/>
      <c r="N148" s="40"/>
      <c r="O148" s="40"/>
      <c r="P148" s="40"/>
      <c r="Q148" s="40"/>
      <c r="R148" s="40"/>
      <c r="S148" s="40">
        <f t="shared" ref="S148:T148" si="716">(B147+B148)/2</f>
        <v>69.875</v>
      </c>
      <c r="T148" s="40">
        <f t="shared" si="716"/>
        <v>61.02</v>
      </c>
      <c r="U148" s="40">
        <f t="shared" si="6"/>
        <v>50.534999999999997</v>
      </c>
      <c r="V148" s="40">
        <f t="shared" ref="V148:W148" si="717">(E147+E148)/2</f>
        <v>36.585000000000001</v>
      </c>
      <c r="W148" s="40">
        <f t="shared" si="717"/>
        <v>23.155000000000001</v>
      </c>
      <c r="X148" s="41">
        <f t="shared" ref="X148:AB148" si="718">(SUM(B145:B148))/4</f>
        <v>70.092500000000001</v>
      </c>
      <c r="Y148" s="40">
        <f t="shared" si="718"/>
        <v>61.47</v>
      </c>
      <c r="Z148" s="40">
        <f t="shared" si="718"/>
        <v>50.567500000000003</v>
      </c>
      <c r="AA148" s="40">
        <f t="shared" si="718"/>
        <v>36.534999999999997</v>
      </c>
      <c r="AB148" s="47">
        <f t="shared" si="718"/>
        <v>23.147500000000001</v>
      </c>
      <c r="AC148" s="42">
        <f t="shared" ref="AC148:AF148" si="719">(B148+C148)/2</f>
        <v>65.555000000000007</v>
      </c>
      <c r="AD148" s="42">
        <f t="shared" si="719"/>
        <v>55.77</v>
      </c>
      <c r="AE148" s="42">
        <f t="shared" si="719"/>
        <v>43.6</v>
      </c>
      <c r="AF148" s="42">
        <f t="shared" si="719"/>
        <v>29.994999999999997</v>
      </c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8"/>
      <c r="BK148" s="8"/>
      <c r="BL148" s="8"/>
      <c r="BM148" s="8"/>
    </row>
    <row r="149" spans="1:65" ht="15.75" hidden="1" customHeight="1" x14ac:dyDescent="0.45">
      <c r="A149" s="49">
        <f t="shared" si="3"/>
        <v>41922</v>
      </c>
      <c r="B149" s="44">
        <v>69.680000000000007</v>
      </c>
      <c r="C149" s="44">
        <v>60.7</v>
      </c>
      <c r="D149" s="44">
        <v>49.74</v>
      </c>
      <c r="E149" s="44">
        <v>36.229999999999997</v>
      </c>
      <c r="F149" s="44">
        <v>22.63</v>
      </c>
      <c r="G149" s="45">
        <v>64.92</v>
      </c>
      <c r="H149" s="37">
        <f t="shared" ref="H149:L149" si="720">B149-B148</f>
        <v>-0.22999999999998977</v>
      </c>
      <c r="I149" s="38">
        <f t="shared" si="720"/>
        <v>-0.5</v>
      </c>
      <c r="J149" s="38">
        <f t="shared" si="720"/>
        <v>-0.60000000000000142</v>
      </c>
      <c r="K149" s="38">
        <f t="shared" si="720"/>
        <v>-0.63000000000000256</v>
      </c>
      <c r="L149" s="39">
        <f t="shared" si="720"/>
        <v>-0.5</v>
      </c>
      <c r="M149" s="38"/>
      <c r="N149" s="40"/>
      <c r="O149" s="40"/>
      <c r="P149" s="40"/>
      <c r="Q149" s="40"/>
      <c r="R149" s="40"/>
      <c r="S149" s="40">
        <f t="shared" ref="S149:T149" si="721">(B148+B149)/2</f>
        <v>69.795000000000002</v>
      </c>
      <c r="T149" s="40">
        <f t="shared" si="721"/>
        <v>60.95</v>
      </c>
      <c r="U149" s="40">
        <f t="shared" si="6"/>
        <v>50.040000000000006</v>
      </c>
      <c r="V149" s="40">
        <f t="shared" ref="V149:W149" si="722">(E148+E149)/2</f>
        <v>36.545000000000002</v>
      </c>
      <c r="W149" s="40">
        <f t="shared" si="722"/>
        <v>22.88</v>
      </c>
      <c r="X149" s="41">
        <f t="shared" ref="X149:AB149" si="723">(SUM(B146:B149))/4</f>
        <v>69.925000000000011</v>
      </c>
      <c r="Y149" s="40">
        <f t="shared" si="723"/>
        <v>61.135000000000005</v>
      </c>
      <c r="Z149" s="40">
        <f t="shared" si="723"/>
        <v>50.387500000000003</v>
      </c>
      <c r="AA149" s="40">
        <f t="shared" si="723"/>
        <v>36.462499999999999</v>
      </c>
      <c r="AB149" s="47">
        <f t="shared" si="723"/>
        <v>23.004999999999999</v>
      </c>
      <c r="AC149" s="42">
        <f t="shared" ref="AC149:AF149" si="724">(B149+C149)/2</f>
        <v>65.19</v>
      </c>
      <c r="AD149" s="42">
        <f t="shared" si="724"/>
        <v>55.22</v>
      </c>
      <c r="AE149" s="42">
        <f t="shared" si="724"/>
        <v>42.984999999999999</v>
      </c>
      <c r="AF149" s="42">
        <f t="shared" si="724"/>
        <v>29.43</v>
      </c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8"/>
      <c r="BK149" s="8"/>
      <c r="BL149" s="8"/>
      <c r="BM149" s="8"/>
    </row>
    <row r="150" spans="1:65" ht="15.75" hidden="1" customHeight="1" x14ac:dyDescent="0.45">
      <c r="A150" s="49">
        <f t="shared" si="3"/>
        <v>41929</v>
      </c>
      <c r="B150" s="44">
        <v>69.22</v>
      </c>
      <c r="C150" s="44">
        <v>59.87</v>
      </c>
      <c r="D150" s="44">
        <v>49.42</v>
      </c>
      <c r="E150" s="44">
        <v>36.229999999999997</v>
      </c>
      <c r="F150" s="44">
        <v>22.36</v>
      </c>
      <c r="G150" s="45">
        <v>63.56</v>
      </c>
      <c r="H150" s="37">
        <f t="shared" ref="H150:L150" si="725">B150-B149</f>
        <v>-0.46000000000000796</v>
      </c>
      <c r="I150" s="38">
        <f t="shared" si="725"/>
        <v>-0.8300000000000054</v>
      </c>
      <c r="J150" s="38">
        <f t="shared" si="725"/>
        <v>-0.32000000000000028</v>
      </c>
      <c r="K150" s="38">
        <f t="shared" si="725"/>
        <v>0</v>
      </c>
      <c r="L150" s="39">
        <f t="shared" si="725"/>
        <v>-0.26999999999999957</v>
      </c>
      <c r="M150" s="38"/>
      <c r="N150" s="40"/>
      <c r="O150" s="40"/>
      <c r="P150" s="40"/>
      <c r="Q150" s="40"/>
      <c r="R150" s="40"/>
      <c r="S150" s="40">
        <f t="shared" ref="S150:T150" si="726">(B149+B150)/2</f>
        <v>69.45</v>
      </c>
      <c r="T150" s="40">
        <f t="shared" si="726"/>
        <v>60.284999999999997</v>
      </c>
      <c r="U150" s="40">
        <f t="shared" si="6"/>
        <v>49.58</v>
      </c>
      <c r="V150" s="40">
        <f t="shared" ref="V150:W150" si="727">(E149+E150)/2</f>
        <v>36.229999999999997</v>
      </c>
      <c r="W150" s="40">
        <f t="shared" si="727"/>
        <v>22.494999999999997</v>
      </c>
      <c r="X150" s="41">
        <f t="shared" ref="X150:AB150" si="728">(SUM(B147:B150))/4</f>
        <v>69.662499999999994</v>
      </c>
      <c r="Y150" s="40">
        <f t="shared" si="728"/>
        <v>60.652500000000003</v>
      </c>
      <c r="Z150" s="40">
        <f t="shared" si="728"/>
        <v>50.057500000000005</v>
      </c>
      <c r="AA150" s="40">
        <f t="shared" si="728"/>
        <v>36.407499999999999</v>
      </c>
      <c r="AB150" s="47">
        <f t="shared" si="728"/>
        <v>22.824999999999999</v>
      </c>
      <c r="AC150" s="42">
        <f t="shared" ref="AC150:AF150" si="729">(B150+C150)/2</f>
        <v>64.545000000000002</v>
      </c>
      <c r="AD150" s="42">
        <f t="shared" si="729"/>
        <v>54.644999999999996</v>
      </c>
      <c r="AE150" s="42">
        <f t="shared" si="729"/>
        <v>42.825000000000003</v>
      </c>
      <c r="AF150" s="42">
        <f t="shared" si="729"/>
        <v>29.294999999999998</v>
      </c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8"/>
      <c r="BK150" s="8"/>
      <c r="BL150" s="8"/>
      <c r="BM150" s="8"/>
    </row>
    <row r="151" spans="1:65" ht="15.75" hidden="1" customHeight="1" x14ac:dyDescent="0.45">
      <c r="A151" s="49">
        <f t="shared" si="3"/>
        <v>41936</v>
      </c>
      <c r="B151" s="44">
        <v>69</v>
      </c>
      <c r="C151" s="44">
        <v>61.05</v>
      </c>
      <c r="D151" s="44">
        <v>48.8</v>
      </c>
      <c r="E151" s="44">
        <v>36.44</v>
      </c>
      <c r="F151" s="44">
        <v>22.3</v>
      </c>
      <c r="G151" s="45">
        <v>64.03</v>
      </c>
      <c r="H151" s="37">
        <f t="shared" ref="H151:L151" si="730">B151-B150</f>
        <v>-0.21999999999999886</v>
      </c>
      <c r="I151" s="38">
        <f t="shared" si="730"/>
        <v>1.1799999999999997</v>
      </c>
      <c r="J151" s="38">
        <f t="shared" si="730"/>
        <v>-0.62000000000000455</v>
      </c>
      <c r="K151" s="38">
        <f t="shared" si="730"/>
        <v>0.21000000000000085</v>
      </c>
      <c r="L151" s="39">
        <f t="shared" si="730"/>
        <v>-5.9999999999998721E-2</v>
      </c>
      <c r="M151" s="38"/>
      <c r="N151" s="40"/>
      <c r="O151" s="40"/>
      <c r="P151" s="40"/>
      <c r="Q151" s="40"/>
      <c r="R151" s="40"/>
      <c r="S151" s="40">
        <f t="shared" ref="S151:T151" si="731">(B150+B151)/2</f>
        <v>69.11</v>
      </c>
      <c r="T151" s="40">
        <f t="shared" si="731"/>
        <v>60.459999999999994</v>
      </c>
      <c r="U151" s="40">
        <f t="shared" si="6"/>
        <v>49.11</v>
      </c>
      <c r="V151" s="40">
        <f t="shared" ref="V151:W151" si="732">(E150+E151)/2</f>
        <v>36.334999999999994</v>
      </c>
      <c r="W151" s="40">
        <f t="shared" si="732"/>
        <v>22.33</v>
      </c>
      <c r="X151" s="41">
        <f t="shared" ref="X151:AB151" si="733">(SUM(B148:B151))/4</f>
        <v>69.452500000000001</v>
      </c>
      <c r="Y151" s="40">
        <f t="shared" si="733"/>
        <v>60.704999999999998</v>
      </c>
      <c r="Z151" s="40">
        <f t="shared" si="733"/>
        <v>49.575000000000003</v>
      </c>
      <c r="AA151" s="40">
        <f t="shared" si="733"/>
        <v>36.44</v>
      </c>
      <c r="AB151" s="47">
        <f t="shared" si="733"/>
        <v>22.605</v>
      </c>
      <c r="AC151" s="42">
        <f t="shared" ref="AC151:AF151" si="734">(B151+C151)/2</f>
        <v>65.025000000000006</v>
      </c>
      <c r="AD151" s="42">
        <f t="shared" si="734"/>
        <v>54.924999999999997</v>
      </c>
      <c r="AE151" s="42">
        <f t="shared" si="734"/>
        <v>42.62</v>
      </c>
      <c r="AF151" s="42">
        <f t="shared" si="734"/>
        <v>29.369999999999997</v>
      </c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8"/>
      <c r="BK151" s="8"/>
      <c r="BL151" s="8"/>
      <c r="BM151" s="8"/>
    </row>
    <row r="152" spans="1:65" ht="15.75" hidden="1" customHeight="1" x14ac:dyDescent="0.45">
      <c r="A152" s="49">
        <f t="shared" si="3"/>
        <v>41943</v>
      </c>
      <c r="B152" s="44">
        <v>68.489999999999995</v>
      </c>
      <c r="C152" s="44">
        <v>60.64</v>
      </c>
      <c r="D152" s="44">
        <v>49.31</v>
      </c>
      <c r="E152" s="44">
        <v>36.590000000000003</v>
      </c>
      <c r="F152" s="44">
        <v>22.31</v>
      </c>
      <c r="G152" s="45">
        <v>64.2</v>
      </c>
      <c r="H152" s="37">
        <f t="shared" ref="H152:L152" si="735">B152-B151</f>
        <v>-0.51000000000000512</v>
      </c>
      <c r="I152" s="38">
        <f t="shared" si="735"/>
        <v>-0.40999999999999659</v>
      </c>
      <c r="J152" s="38">
        <f t="shared" si="735"/>
        <v>0.51000000000000512</v>
      </c>
      <c r="K152" s="38">
        <f t="shared" si="735"/>
        <v>0.15000000000000568</v>
      </c>
      <c r="L152" s="39">
        <f t="shared" si="735"/>
        <v>9.9999999999980105E-3</v>
      </c>
      <c r="M152" s="38"/>
      <c r="N152" s="40"/>
      <c r="O152" s="40"/>
      <c r="P152" s="40"/>
      <c r="Q152" s="40"/>
      <c r="R152" s="40"/>
      <c r="S152" s="40">
        <f t="shared" ref="S152:T152" si="736">(B151+B152)/2</f>
        <v>68.745000000000005</v>
      </c>
      <c r="T152" s="40">
        <f t="shared" si="736"/>
        <v>60.844999999999999</v>
      </c>
      <c r="U152" s="40">
        <f t="shared" si="6"/>
        <v>49.055</v>
      </c>
      <c r="V152" s="40">
        <f t="shared" ref="V152:W152" si="737">(E151+E152)/2</f>
        <v>36.515000000000001</v>
      </c>
      <c r="W152" s="40">
        <f t="shared" si="737"/>
        <v>22.305</v>
      </c>
      <c r="X152" s="41">
        <f t="shared" ref="X152:AB152" si="738">(SUM(B149:B152))/4</f>
        <v>69.097499999999997</v>
      </c>
      <c r="Y152" s="40">
        <f t="shared" si="738"/>
        <v>60.564999999999998</v>
      </c>
      <c r="Z152" s="40">
        <f t="shared" si="738"/>
        <v>49.317499999999995</v>
      </c>
      <c r="AA152" s="40">
        <f t="shared" si="738"/>
        <v>36.372500000000002</v>
      </c>
      <c r="AB152" s="47">
        <f t="shared" si="738"/>
        <v>22.4</v>
      </c>
      <c r="AC152" s="42">
        <f t="shared" ref="AC152:AF152" si="739">(B152+C152)/2</f>
        <v>64.564999999999998</v>
      </c>
      <c r="AD152" s="42">
        <f t="shared" si="739"/>
        <v>54.975000000000001</v>
      </c>
      <c r="AE152" s="42">
        <f t="shared" si="739"/>
        <v>42.95</v>
      </c>
      <c r="AF152" s="42">
        <f t="shared" si="739"/>
        <v>29.450000000000003</v>
      </c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8"/>
      <c r="BK152" s="8"/>
      <c r="BL152" s="8"/>
      <c r="BM152" s="8"/>
    </row>
    <row r="153" spans="1:65" ht="15.75" hidden="1" customHeight="1" x14ac:dyDescent="0.45">
      <c r="A153" s="49">
        <f t="shared" si="3"/>
        <v>41950</v>
      </c>
      <c r="B153" s="44">
        <v>68.62</v>
      </c>
      <c r="C153" s="44">
        <v>60.65</v>
      </c>
      <c r="D153" s="44">
        <v>49.09</v>
      </c>
      <c r="E153" s="44">
        <v>36.450000000000003</v>
      </c>
      <c r="F153" s="44">
        <v>22.37</v>
      </c>
      <c r="G153" s="45">
        <v>62.66</v>
      </c>
      <c r="H153" s="37">
        <f t="shared" ref="H153:L153" si="740">B153-B152</f>
        <v>0.13000000000000966</v>
      </c>
      <c r="I153" s="38">
        <f t="shared" si="740"/>
        <v>9.9999999999980105E-3</v>
      </c>
      <c r="J153" s="38">
        <f t="shared" si="740"/>
        <v>-0.21999999999999886</v>
      </c>
      <c r="K153" s="38">
        <f t="shared" si="740"/>
        <v>-0.14000000000000057</v>
      </c>
      <c r="L153" s="39">
        <f t="shared" si="740"/>
        <v>6.0000000000002274E-2</v>
      </c>
      <c r="M153" s="38"/>
      <c r="N153" s="40"/>
      <c r="O153" s="40"/>
      <c r="P153" s="40"/>
      <c r="Q153" s="40"/>
      <c r="R153" s="40"/>
      <c r="S153" s="40">
        <f t="shared" ref="S153:T153" si="741">(B152+B153)/2</f>
        <v>68.555000000000007</v>
      </c>
      <c r="T153" s="40">
        <f t="shared" si="741"/>
        <v>60.644999999999996</v>
      </c>
      <c r="U153" s="40">
        <f t="shared" si="6"/>
        <v>49.2</v>
      </c>
      <c r="V153" s="40">
        <f t="shared" ref="V153:W153" si="742">(E152+E153)/2</f>
        <v>36.520000000000003</v>
      </c>
      <c r="W153" s="40">
        <f t="shared" si="742"/>
        <v>22.34</v>
      </c>
      <c r="X153" s="41">
        <f t="shared" ref="X153:AB153" si="743">(SUM(B150:B153))/4</f>
        <v>68.832499999999996</v>
      </c>
      <c r="Y153" s="40">
        <f t="shared" si="743"/>
        <v>60.552500000000002</v>
      </c>
      <c r="Z153" s="40">
        <f t="shared" si="743"/>
        <v>49.155000000000001</v>
      </c>
      <c r="AA153" s="40">
        <f t="shared" si="743"/>
        <v>36.427499999999995</v>
      </c>
      <c r="AB153" s="47">
        <f t="shared" si="743"/>
        <v>22.335000000000001</v>
      </c>
      <c r="AC153" s="42">
        <f t="shared" ref="AC153:AF153" si="744">(B153+C153)/2</f>
        <v>64.635000000000005</v>
      </c>
      <c r="AD153" s="42">
        <f t="shared" si="744"/>
        <v>54.870000000000005</v>
      </c>
      <c r="AE153" s="42">
        <f t="shared" si="744"/>
        <v>42.77</v>
      </c>
      <c r="AF153" s="42">
        <f t="shared" si="744"/>
        <v>29.410000000000004</v>
      </c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8"/>
      <c r="BK153" s="8"/>
      <c r="BL153" s="8"/>
      <c r="BM153" s="8"/>
    </row>
    <row r="154" spans="1:65" ht="15.75" hidden="1" customHeight="1" x14ac:dyDescent="0.45">
      <c r="A154" s="49">
        <f t="shared" si="3"/>
        <v>41957</v>
      </c>
      <c r="B154" s="44">
        <v>68.599999999999994</v>
      </c>
      <c r="C154" s="44">
        <v>61.05</v>
      </c>
      <c r="D154" s="44">
        <v>48.75</v>
      </c>
      <c r="E154" s="44">
        <v>36.68</v>
      </c>
      <c r="F154" s="44">
        <v>22.87</v>
      </c>
      <c r="G154" s="45">
        <v>63.03</v>
      </c>
      <c r="H154" s="37">
        <f t="shared" ref="H154:L154" si="745">B154-B153</f>
        <v>-2.0000000000010232E-2</v>
      </c>
      <c r="I154" s="38">
        <f t="shared" si="745"/>
        <v>0.39999999999999858</v>
      </c>
      <c r="J154" s="38">
        <f t="shared" si="745"/>
        <v>-0.34000000000000341</v>
      </c>
      <c r="K154" s="38">
        <f t="shared" si="745"/>
        <v>0.22999999999999687</v>
      </c>
      <c r="L154" s="39">
        <f t="shared" si="745"/>
        <v>0.5</v>
      </c>
      <c r="M154" s="38"/>
      <c r="N154" s="40"/>
      <c r="O154" s="40"/>
      <c r="P154" s="40"/>
      <c r="Q154" s="40"/>
      <c r="R154" s="40"/>
      <c r="S154" s="40">
        <f t="shared" ref="S154:T154" si="746">(B153+B154)/2</f>
        <v>68.61</v>
      </c>
      <c r="T154" s="40">
        <f t="shared" si="746"/>
        <v>60.849999999999994</v>
      </c>
      <c r="U154" s="40">
        <f t="shared" si="6"/>
        <v>48.92</v>
      </c>
      <c r="V154" s="40">
        <f t="shared" ref="V154:W154" si="747">(E153+E154)/2</f>
        <v>36.564999999999998</v>
      </c>
      <c r="W154" s="40">
        <f t="shared" si="747"/>
        <v>22.62</v>
      </c>
      <c r="X154" s="41">
        <f t="shared" ref="X154:AB154" si="748">(SUM(B151:B154))/4</f>
        <v>68.677500000000009</v>
      </c>
      <c r="Y154" s="40">
        <f t="shared" si="748"/>
        <v>60.847499999999997</v>
      </c>
      <c r="Z154" s="40">
        <f t="shared" si="748"/>
        <v>48.987499999999997</v>
      </c>
      <c r="AA154" s="40">
        <f t="shared" si="748"/>
        <v>36.54</v>
      </c>
      <c r="AB154" s="47">
        <f t="shared" si="748"/>
        <v>22.462500000000002</v>
      </c>
      <c r="AC154" s="42">
        <f t="shared" ref="AC154:AF154" si="749">(B154+C154)/2</f>
        <v>64.824999999999989</v>
      </c>
      <c r="AD154" s="42">
        <f t="shared" si="749"/>
        <v>54.9</v>
      </c>
      <c r="AE154" s="42">
        <f t="shared" si="749"/>
        <v>42.715000000000003</v>
      </c>
      <c r="AF154" s="42">
        <f t="shared" si="749"/>
        <v>29.774999999999999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8"/>
      <c r="BK154" s="8"/>
      <c r="BL154" s="8"/>
      <c r="BM154" s="8"/>
    </row>
    <row r="155" spans="1:65" ht="15.75" hidden="1" customHeight="1" x14ac:dyDescent="0.45">
      <c r="A155" s="49">
        <f t="shared" si="3"/>
        <v>41964</v>
      </c>
      <c r="B155" s="44">
        <v>67.97</v>
      </c>
      <c r="C155" s="44">
        <v>60.84</v>
      </c>
      <c r="D155" s="44">
        <v>48.85</v>
      </c>
      <c r="E155" s="44">
        <v>36.46</v>
      </c>
      <c r="F155" s="44">
        <v>22.5</v>
      </c>
      <c r="G155" s="45">
        <v>64.09</v>
      </c>
      <c r="H155" s="37">
        <f t="shared" ref="H155:L155" si="750">B155-B154</f>
        <v>-0.62999999999999545</v>
      </c>
      <c r="I155" s="38">
        <f t="shared" si="750"/>
        <v>-0.20999999999999375</v>
      </c>
      <c r="J155" s="38">
        <f t="shared" si="750"/>
        <v>0.10000000000000142</v>
      </c>
      <c r="K155" s="38">
        <f t="shared" si="750"/>
        <v>-0.21999999999999886</v>
      </c>
      <c r="L155" s="39">
        <f t="shared" si="750"/>
        <v>-0.37000000000000099</v>
      </c>
      <c r="M155" s="38"/>
      <c r="N155" s="40"/>
      <c r="O155" s="40"/>
      <c r="P155" s="40"/>
      <c r="Q155" s="40"/>
      <c r="R155" s="40"/>
      <c r="S155" s="40">
        <f t="shared" ref="S155:T155" si="751">(B154+B155)/2</f>
        <v>68.284999999999997</v>
      </c>
      <c r="T155" s="40">
        <f t="shared" si="751"/>
        <v>60.945</v>
      </c>
      <c r="U155" s="40">
        <f t="shared" si="6"/>
        <v>48.8</v>
      </c>
      <c r="V155" s="40">
        <f t="shared" ref="V155:W155" si="752">(E154+E155)/2</f>
        <v>36.57</v>
      </c>
      <c r="W155" s="40">
        <f t="shared" si="752"/>
        <v>22.685000000000002</v>
      </c>
      <c r="X155" s="41">
        <f t="shared" ref="X155:AB155" si="753">(SUM(B152:B155))/4</f>
        <v>68.42</v>
      </c>
      <c r="Y155" s="40">
        <f t="shared" si="753"/>
        <v>60.794999999999995</v>
      </c>
      <c r="Z155" s="40">
        <f t="shared" si="753"/>
        <v>49</v>
      </c>
      <c r="AA155" s="40">
        <f t="shared" si="753"/>
        <v>36.545000000000002</v>
      </c>
      <c r="AB155" s="47">
        <f t="shared" si="753"/>
        <v>22.512499999999999</v>
      </c>
      <c r="AC155" s="42">
        <f t="shared" ref="AC155:AF155" si="754">(B155+C155)/2</f>
        <v>64.405000000000001</v>
      </c>
      <c r="AD155" s="42">
        <f t="shared" si="754"/>
        <v>54.844999999999999</v>
      </c>
      <c r="AE155" s="42">
        <f t="shared" si="754"/>
        <v>42.655000000000001</v>
      </c>
      <c r="AF155" s="42">
        <f t="shared" si="754"/>
        <v>29.48</v>
      </c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8"/>
      <c r="BK155" s="8"/>
      <c r="BL155" s="8"/>
      <c r="BM155" s="8"/>
    </row>
    <row r="156" spans="1:65" ht="15.75" hidden="1" customHeight="1" x14ac:dyDescent="0.45">
      <c r="A156" s="49">
        <f t="shared" si="3"/>
        <v>41971</v>
      </c>
      <c r="B156" s="44">
        <v>67.849999999999994</v>
      </c>
      <c r="C156" s="44">
        <v>60.36</v>
      </c>
      <c r="D156" s="44">
        <v>48.97</v>
      </c>
      <c r="E156" s="44">
        <v>35.79</v>
      </c>
      <c r="F156" s="44">
        <v>22.37</v>
      </c>
      <c r="G156" s="45">
        <v>64.510000000000005</v>
      </c>
      <c r="H156" s="37">
        <f t="shared" ref="H156:L156" si="755">B156-B155</f>
        <v>-0.12000000000000455</v>
      </c>
      <c r="I156" s="38">
        <f t="shared" si="755"/>
        <v>-0.48000000000000398</v>
      </c>
      <c r="J156" s="38">
        <f t="shared" si="755"/>
        <v>0.11999999999999744</v>
      </c>
      <c r="K156" s="38">
        <f t="shared" si="755"/>
        <v>-0.67000000000000171</v>
      </c>
      <c r="L156" s="39">
        <f t="shared" si="755"/>
        <v>-0.12999999999999901</v>
      </c>
      <c r="M156" s="38"/>
      <c r="N156" s="40"/>
      <c r="O156" s="40"/>
      <c r="P156" s="40"/>
      <c r="Q156" s="40"/>
      <c r="R156" s="40"/>
      <c r="S156" s="40">
        <f t="shared" ref="S156:T156" si="756">(B155+B156)/2</f>
        <v>67.91</v>
      </c>
      <c r="T156" s="40">
        <f t="shared" si="756"/>
        <v>60.6</v>
      </c>
      <c r="U156" s="40">
        <f t="shared" si="6"/>
        <v>48.91</v>
      </c>
      <c r="V156" s="40">
        <f t="shared" ref="V156:W156" si="757">(E155+E156)/2</f>
        <v>36.125</v>
      </c>
      <c r="W156" s="40">
        <f t="shared" si="757"/>
        <v>22.435000000000002</v>
      </c>
      <c r="X156" s="41">
        <f t="shared" ref="X156:AB156" si="758">(SUM(B153:B156))/4</f>
        <v>68.259999999999991</v>
      </c>
      <c r="Y156" s="40">
        <f t="shared" si="758"/>
        <v>60.724999999999994</v>
      </c>
      <c r="Z156" s="40">
        <f t="shared" si="758"/>
        <v>48.914999999999999</v>
      </c>
      <c r="AA156" s="40">
        <f t="shared" si="758"/>
        <v>36.344999999999999</v>
      </c>
      <c r="AB156" s="47">
        <f t="shared" si="758"/>
        <v>22.527500000000003</v>
      </c>
      <c r="AC156" s="42">
        <f t="shared" ref="AC156:AF156" si="759">(B156+C156)/2</f>
        <v>64.10499999999999</v>
      </c>
      <c r="AD156" s="42">
        <f t="shared" si="759"/>
        <v>54.664999999999999</v>
      </c>
      <c r="AE156" s="42">
        <f t="shared" si="759"/>
        <v>42.379999999999995</v>
      </c>
      <c r="AF156" s="42">
        <f t="shared" si="759"/>
        <v>29.08</v>
      </c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8"/>
      <c r="BK156" s="8"/>
      <c r="BL156" s="8"/>
      <c r="BM156" s="8"/>
    </row>
    <row r="157" spans="1:65" ht="15.75" hidden="1" customHeight="1" x14ac:dyDescent="0.45">
      <c r="A157" s="49">
        <f t="shared" si="3"/>
        <v>41978</v>
      </c>
      <c r="B157" s="44">
        <v>67.540000000000006</v>
      </c>
      <c r="C157" s="44">
        <v>60.14</v>
      </c>
      <c r="D157" s="44">
        <v>48.74</v>
      </c>
      <c r="E157" s="44">
        <v>35.96</v>
      </c>
      <c r="F157" s="44">
        <v>22.35</v>
      </c>
      <c r="G157" s="45">
        <v>62.25</v>
      </c>
      <c r="H157" s="37">
        <f t="shared" ref="H157:L157" si="760">B157-B156</f>
        <v>-0.30999999999998806</v>
      </c>
      <c r="I157" s="38">
        <f t="shared" si="760"/>
        <v>-0.21999999999999886</v>
      </c>
      <c r="J157" s="38">
        <f t="shared" si="760"/>
        <v>-0.22999999999999687</v>
      </c>
      <c r="K157" s="38">
        <f t="shared" si="760"/>
        <v>0.17000000000000171</v>
      </c>
      <c r="L157" s="39">
        <f t="shared" si="760"/>
        <v>-1.9999999999999574E-2</v>
      </c>
      <c r="M157" s="38"/>
      <c r="N157" s="40"/>
      <c r="O157" s="40"/>
      <c r="P157" s="40"/>
      <c r="Q157" s="40"/>
      <c r="R157" s="40"/>
      <c r="S157" s="40">
        <f t="shared" ref="S157:T157" si="761">(B156+B157)/2</f>
        <v>67.694999999999993</v>
      </c>
      <c r="T157" s="40">
        <f t="shared" si="761"/>
        <v>60.25</v>
      </c>
      <c r="U157" s="40">
        <f t="shared" si="6"/>
        <v>48.855000000000004</v>
      </c>
      <c r="V157" s="40">
        <f t="shared" ref="V157:W157" si="762">(E156+E157)/2</f>
        <v>35.875</v>
      </c>
      <c r="W157" s="40">
        <f t="shared" si="762"/>
        <v>22.36</v>
      </c>
      <c r="X157" s="41">
        <f t="shared" ref="X157:AB157" si="763">(SUM(B154:B157))/4</f>
        <v>67.989999999999995</v>
      </c>
      <c r="Y157" s="40">
        <f t="shared" si="763"/>
        <v>60.597499999999997</v>
      </c>
      <c r="Z157" s="40">
        <f t="shared" si="763"/>
        <v>48.827500000000001</v>
      </c>
      <c r="AA157" s="40">
        <f t="shared" si="763"/>
        <v>36.222500000000004</v>
      </c>
      <c r="AB157" s="47">
        <f t="shared" si="763"/>
        <v>22.522500000000001</v>
      </c>
      <c r="AC157" s="42">
        <f t="shared" ref="AC157:AF157" si="764">(B157+C157)/2</f>
        <v>63.84</v>
      </c>
      <c r="AD157" s="42">
        <f t="shared" si="764"/>
        <v>54.44</v>
      </c>
      <c r="AE157" s="42">
        <f t="shared" si="764"/>
        <v>42.35</v>
      </c>
      <c r="AF157" s="42">
        <f t="shared" si="764"/>
        <v>29.155000000000001</v>
      </c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8"/>
      <c r="BK157" s="8"/>
      <c r="BL157" s="8"/>
      <c r="BM157" s="8"/>
    </row>
    <row r="158" spans="1:65" ht="15.75" hidden="1" customHeight="1" x14ac:dyDescent="0.45">
      <c r="A158" s="49">
        <f t="shared" si="3"/>
        <v>41985</v>
      </c>
      <c r="B158" s="44">
        <v>67.44</v>
      </c>
      <c r="C158" s="44">
        <v>59.27</v>
      </c>
      <c r="D158" s="44">
        <v>47.73</v>
      </c>
      <c r="E158" s="44">
        <v>36.11</v>
      </c>
      <c r="F158" s="44">
        <v>22.53</v>
      </c>
      <c r="G158" s="45">
        <v>62.65</v>
      </c>
      <c r="H158" s="37">
        <f t="shared" ref="H158:L158" si="765">B158-B157</f>
        <v>-0.10000000000000853</v>
      </c>
      <c r="I158" s="38">
        <f t="shared" si="765"/>
        <v>-0.86999999999999744</v>
      </c>
      <c r="J158" s="38">
        <f t="shared" si="765"/>
        <v>-1.0100000000000051</v>
      </c>
      <c r="K158" s="38">
        <f t="shared" si="765"/>
        <v>0.14999999999999858</v>
      </c>
      <c r="L158" s="39">
        <f t="shared" si="765"/>
        <v>0.17999999999999972</v>
      </c>
      <c r="M158" s="38"/>
      <c r="N158" s="40"/>
      <c r="O158" s="40"/>
      <c r="P158" s="40"/>
      <c r="Q158" s="40"/>
      <c r="R158" s="40"/>
      <c r="S158" s="40">
        <f t="shared" ref="S158:T158" si="766">(B157+B158)/2</f>
        <v>67.490000000000009</v>
      </c>
      <c r="T158" s="40">
        <f t="shared" si="766"/>
        <v>59.704999999999998</v>
      </c>
      <c r="U158" s="40">
        <f t="shared" si="6"/>
        <v>48.234999999999999</v>
      </c>
      <c r="V158" s="40">
        <f t="shared" ref="V158:W158" si="767">(E157+E158)/2</f>
        <v>36.034999999999997</v>
      </c>
      <c r="W158" s="40">
        <f t="shared" si="767"/>
        <v>22.44</v>
      </c>
      <c r="X158" s="41">
        <f t="shared" ref="X158:AB158" si="768">(SUM(B155:B158))/4</f>
        <v>67.7</v>
      </c>
      <c r="Y158" s="40">
        <f t="shared" si="768"/>
        <v>60.152500000000003</v>
      </c>
      <c r="Z158" s="40">
        <f t="shared" si="768"/>
        <v>48.572499999999998</v>
      </c>
      <c r="AA158" s="40">
        <f t="shared" si="768"/>
        <v>36.08</v>
      </c>
      <c r="AB158" s="47">
        <f t="shared" si="768"/>
        <v>22.4375</v>
      </c>
      <c r="AC158" s="42">
        <f t="shared" ref="AC158:AF158" si="769">(B158+C158)/2</f>
        <v>63.355000000000004</v>
      </c>
      <c r="AD158" s="42">
        <f t="shared" si="769"/>
        <v>53.5</v>
      </c>
      <c r="AE158" s="42">
        <f t="shared" si="769"/>
        <v>41.92</v>
      </c>
      <c r="AF158" s="42">
        <f t="shared" si="769"/>
        <v>29.32</v>
      </c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8"/>
      <c r="BK158" s="8"/>
      <c r="BL158" s="8"/>
      <c r="BM158" s="8"/>
    </row>
    <row r="159" spans="1:65" ht="15.75" hidden="1" customHeight="1" x14ac:dyDescent="0.45">
      <c r="A159" s="49">
        <f t="shared" si="3"/>
        <v>41992</v>
      </c>
      <c r="B159" s="44">
        <v>67.13</v>
      </c>
      <c r="C159" s="44">
        <v>58.54</v>
      </c>
      <c r="D159" s="44">
        <v>48.07</v>
      </c>
      <c r="E159" s="44">
        <v>35.950000000000003</v>
      </c>
      <c r="F159" s="44">
        <v>22.19</v>
      </c>
      <c r="G159" s="45">
        <v>64.400000000000006</v>
      </c>
      <c r="H159" s="37">
        <f t="shared" ref="H159:L159" si="770">B159-B158</f>
        <v>-0.31000000000000227</v>
      </c>
      <c r="I159" s="38">
        <f t="shared" si="770"/>
        <v>-0.73000000000000398</v>
      </c>
      <c r="J159" s="38">
        <f t="shared" si="770"/>
        <v>0.34000000000000341</v>
      </c>
      <c r="K159" s="38">
        <f t="shared" si="770"/>
        <v>-0.15999999999999659</v>
      </c>
      <c r="L159" s="39">
        <f t="shared" si="770"/>
        <v>-0.33999999999999986</v>
      </c>
      <c r="M159" s="38"/>
      <c r="N159" s="40"/>
      <c r="O159" s="40"/>
      <c r="P159" s="40"/>
      <c r="Q159" s="40"/>
      <c r="R159" s="40"/>
      <c r="S159" s="40">
        <f t="shared" ref="S159:T159" si="771">(B158+B159)/2</f>
        <v>67.284999999999997</v>
      </c>
      <c r="T159" s="40">
        <f t="shared" si="771"/>
        <v>58.905000000000001</v>
      </c>
      <c r="U159" s="40">
        <f t="shared" si="6"/>
        <v>47.9</v>
      </c>
      <c r="V159" s="40">
        <f t="shared" ref="V159:W159" si="772">(E158+E159)/2</f>
        <v>36.03</v>
      </c>
      <c r="W159" s="40">
        <f t="shared" si="772"/>
        <v>22.36</v>
      </c>
      <c r="X159" s="41">
        <f t="shared" ref="X159:AB159" si="773">(SUM(B156:B159))/4</f>
        <v>67.489999999999995</v>
      </c>
      <c r="Y159" s="40">
        <f t="shared" si="773"/>
        <v>59.577500000000001</v>
      </c>
      <c r="Z159" s="40">
        <f t="shared" si="773"/>
        <v>48.377499999999998</v>
      </c>
      <c r="AA159" s="40">
        <f t="shared" si="773"/>
        <v>35.952500000000001</v>
      </c>
      <c r="AB159" s="47">
        <f t="shared" si="773"/>
        <v>22.36</v>
      </c>
      <c r="AC159" s="42">
        <f t="shared" ref="AC159:AF159" si="774">(B159+C159)/2</f>
        <v>62.834999999999994</v>
      </c>
      <c r="AD159" s="42">
        <f t="shared" si="774"/>
        <v>53.305</v>
      </c>
      <c r="AE159" s="42">
        <f t="shared" si="774"/>
        <v>42.010000000000005</v>
      </c>
      <c r="AF159" s="42">
        <f t="shared" si="774"/>
        <v>29.07</v>
      </c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8"/>
      <c r="BK159" s="8"/>
      <c r="BL159" s="8"/>
      <c r="BM159" s="8"/>
    </row>
    <row r="160" spans="1:65" ht="15.75" hidden="1" customHeight="1" x14ac:dyDescent="0.45">
      <c r="A160" s="49">
        <f t="shared" si="3"/>
        <v>41999</v>
      </c>
      <c r="B160" s="44">
        <v>67.010000000000005</v>
      </c>
      <c r="C160" s="44">
        <v>58.23</v>
      </c>
      <c r="D160" s="44">
        <v>48.46</v>
      </c>
      <c r="E160" s="44">
        <v>35.74</v>
      </c>
      <c r="F160" s="44">
        <v>22.25</v>
      </c>
      <c r="G160" s="45">
        <v>64.81</v>
      </c>
      <c r="H160" s="37">
        <f t="shared" ref="H160:L160" si="775">B160-B159</f>
        <v>-0.11999999999999034</v>
      </c>
      <c r="I160" s="38">
        <f t="shared" si="775"/>
        <v>-0.31000000000000227</v>
      </c>
      <c r="J160" s="38">
        <f t="shared" si="775"/>
        <v>0.39000000000000057</v>
      </c>
      <c r="K160" s="38">
        <f t="shared" si="775"/>
        <v>-0.21000000000000085</v>
      </c>
      <c r="L160" s="39">
        <f t="shared" si="775"/>
        <v>5.9999999999998721E-2</v>
      </c>
      <c r="M160" s="38"/>
      <c r="N160" s="40"/>
      <c r="O160" s="40"/>
      <c r="P160" s="40"/>
      <c r="Q160" s="40"/>
      <c r="R160" s="40"/>
      <c r="S160" s="40">
        <f t="shared" ref="S160:T160" si="776">(B159+B160)/2</f>
        <v>67.069999999999993</v>
      </c>
      <c r="T160" s="40">
        <f t="shared" si="776"/>
        <v>58.384999999999998</v>
      </c>
      <c r="U160" s="40">
        <f t="shared" si="6"/>
        <v>48.265000000000001</v>
      </c>
      <c r="V160" s="40">
        <f t="shared" ref="V160:W160" si="777">(E159+E160)/2</f>
        <v>35.844999999999999</v>
      </c>
      <c r="W160" s="40">
        <f t="shared" si="777"/>
        <v>22.22</v>
      </c>
      <c r="X160" s="41">
        <f t="shared" ref="X160:AB160" si="778">(SUM(B157:B160))/4</f>
        <v>67.28</v>
      </c>
      <c r="Y160" s="40">
        <f t="shared" si="778"/>
        <v>59.044999999999995</v>
      </c>
      <c r="Z160" s="40">
        <f t="shared" si="778"/>
        <v>48.25</v>
      </c>
      <c r="AA160" s="40">
        <f t="shared" si="778"/>
        <v>35.94</v>
      </c>
      <c r="AB160" s="47">
        <f t="shared" si="778"/>
        <v>22.330000000000002</v>
      </c>
      <c r="AC160" s="42">
        <f t="shared" ref="AC160:AF160" si="779">(B160+C160)/2</f>
        <v>62.620000000000005</v>
      </c>
      <c r="AD160" s="42">
        <f t="shared" si="779"/>
        <v>53.344999999999999</v>
      </c>
      <c r="AE160" s="42">
        <f t="shared" si="779"/>
        <v>42.1</v>
      </c>
      <c r="AF160" s="42">
        <f t="shared" si="779"/>
        <v>28.995000000000001</v>
      </c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8"/>
      <c r="BK160" s="8"/>
      <c r="BL160" s="8"/>
      <c r="BM160" s="8"/>
    </row>
    <row r="161" spans="1:65" ht="15.75" hidden="1" customHeight="1" x14ac:dyDescent="0.45">
      <c r="A161" s="43">
        <f t="shared" si="3"/>
        <v>42006</v>
      </c>
      <c r="B161" s="44">
        <v>66.75</v>
      </c>
      <c r="C161" s="44">
        <v>58.27</v>
      </c>
      <c r="D161" s="44">
        <v>48.12</v>
      </c>
      <c r="E161" s="44">
        <v>35.81</v>
      </c>
      <c r="F161" s="44">
        <v>22.06</v>
      </c>
      <c r="G161" s="45">
        <v>61.94</v>
      </c>
      <c r="H161" s="37">
        <f t="shared" ref="H161:L161" si="780">B161-B160</f>
        <v>-0.26000000000000512</v>
      </c>
      <c r="I161" s="38">
        <f t="shared" si="780"/>
        <v>4.0000000000006253E-2</v>
      </c>
      <c r="J161" s="38">
        <f t="shared" si="780"/>
        <v>-0.34000000000000341</v>
      </c>
      <c r="K161" s="38">
        <f t="shared" si="780"/>
        <v>7.0000000000000284E-2</v>
      </c>
      <c r="L161" s="39">
        <f t="shared" si="780"/>
        <v>-0.19000000000000128</v>
      </c>
      <c r="M161" s="38"/>
      <c r="N161" s="40"/>
      <c r="O161" s="40"/>
      <c r="P161" s="40"/>
      <c r="Q161" s="40"/>
      <c r="R161" s="40"/>
      <c r="S161" s="40">
        <f t="shared" ref="S161:T161" si="781">(B160+B161)/2</f>
        <v>66.88</v>
      </c>
      <c r="T161" s="40">
        <f t="shared" si="781"/>
        <v>58.25</v>
      </c>
      <c r="U161" s="40">
        <f t="shared" si="6"/>
        <v>48.29</v>
      </c>
      <c r="V161" s="40">
        <f t="shared" ref="V161:W161" si="782">(E160+E161)/2</f>
        <v>35.775000000000006</v>
      </c>
      <c r="W161" s="40">
        <f t="shared" si="782"/>
        <v>22.155000000000001</v>
      </c>
      <c r="X161" s="41">
        <f t="shared" ref="X161:AB161" si="783">(SUM(B158:B161))/4</f>
        <v>67.082499999999996</v>
      </c>
      <c r="Y161" s="40">
        <f t="shared" si="783"/>
        <v>58.577500000000001</v>
      </c>
      <c r="Z161" s="40">
        <f t="shared" si="783"/>
        <v>48.094999999999999</v>
      </c>
      <c r="AA161" s="40">
        <f t="shared" si="783"/>
        <v>35.902500000000003</v>
      </c>
      <c r="AB161" s="47">
        <f t="shared" si="783"/>
        <v>22.2575</v>
      </c>
      <c r="AC161" s="42">
        <f t="shared" ref="AC161:AF161" si="784">(B161+C161)/2</f>
        <v>62.510000000000005</v>
      </c>
      <c r="AD161" s="42">
        <f t="shared" si="784"/>
        <v>53.195</v>
      </c>
      <c r="AE161" s="42">
        <f t="shared" si="784"/>
        <v>41.965000000000003</v>
      </c>
      <c r="AF161" s="42">
        <f t="shared" si="784"/>
        <v>28.935000000000002</v>
      </c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8"/>
      <c r="BK161" s="8"/>
      <c r="BL161" s="8"/>
      <c r="BM161" s="8"/>
    </row>
    <row r="162" spans="1:65" ht="15.75" hidden="1" customHeight="1" x14ac:dyDescent="0.45">
      <c r="A162" s="43">
        <f t="shared" si="3"/>
        <v>42013</v>
      </c>
      <c r="B162" s="44">
        <v>66.22</v>
      </c>
      <c r="C162" s="44">
        <v>58.44</v>
      </c>
      <c r="D162" s="44">
        <v>48.43</v>
      </c>
      <c r="E162" s="44">
        <v>35.57</v>
      </c>
      <c r="F162" s="44">
        <v>22.66</v>
      </c>
      <c r="G162" s="45">
        <v>61.04</v>
      </c>
      <c r="H162" s="37">
        <f t="shared" ref="H162:L162" si="785">B162-B161</f>
        <v>-0.53000000000000114</v>
      </c>
      <c r="I162" s="38">
        <f t="shared" si="785"/>
        <v>0.1699999999999946</v>
      </c>
      <c r="J162" s="38">
        <f t="shared" si="785"/>
        <v>0.31000000000000227</v>
      </c>
      <c r="K162" s="38">
        <f t="shared" si="785"/>
        <v>-0.24000000000000199</v>
      </c>
      <c r="L162" s="39">
        <f t="shared" si="785"/>
        <v>0.60000000000000142</v>
      </c>
      <c r="M162" s="38"/>
      <c r="N162" s="40"/>
      <c r="O162" s="40"/>
      <c r="P162" s="40"/>
      <c r="Q162" s="40"/>
      <c r="R162" s="40"/>
      <c r="S162" s="40">
        <f t="shared" ref="S162:T162" si="786">(B161+B162)/2</f>
        <v>66.484999999999999</v>
      </c>
      <c r="T162" s="40">
        <f t="shared" si="786"/>
        <v>58.355000000000004</v>
      </c>
      <c r="U162" s="40">
        <f t="shared" si="6"/>
        <v>48.274999999999999</v>
      </c>
      <c r="V162" s="40">
        <f t="shared" ref="V162:W162" si="787">(E161+E162)/2</f>
        <v>35.69</v>
      </c>
      <c r="W162" s="40">
        <f t="shared" si="787"/>
        <v>22.36</v>
      </c>
      <c r="X162" s="41">
        <f t="shared" ref="X162:AB162" si="788">(SUM(B159:B162))/4</f>
        <v>66.777500000000003</v>
      </c>
      <c r="Y162" s="40">
        <f t="shared" si="788"/>
        <v>58.37</v>
      </c>
      <c r="Z162" s="40">
        <f t="shared" si="788"/>
        <v>48.27</v>
      </c>
      <c r="AA162" s="40">
        <f t="shared" si="788"/>
        <v>35.767499999999998</v>
      </c>
      <c r="AB162" s="47">
        <f t="shared" si="788"/>
        <v>22.29</v>
      </c>
      <c r="AC162" s="42">
        <f t="shared" ref="AC162:AF162" si="789">(B162+C162)/2</f>
        <v>62.33</v>
      </c>
      <c r="AD162" s="42">
        <f t="shared" si="789"/>
        <v>53.435000000000002</v>
      </c>
      <c r="AE162" s="42">
        <f t="shared" si="789"/>
        <v>42</v>
      </c>
      <c r="AF162" s="42">
        <f t="shared" si="789"/>
        <v>29.115000000000002</v>
      </c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8"/>
      <c r="BK162" s="8"/>
      <c r="BL162" s="8"/>
      <c r="BM162" s="8"/>
    </row>
    <row r="163" spans="1:65" ht="15.75" hidden="1" customHeight="1" x14ac:dyDescent="0.45">
      <c r="A163" s="43">
        <f t="shared" si="3"/>
        <v>42020</v>
      </c>
      <c r="B163" s="44">
        <v>64.62</v>
      </c>
      <c r="C163" s="44">
        <v>58.31</v>
      </c>
      <c r="D163" s="44">
        <v>48.13</v>
      </c>
      <c r="E163" s="44">
        <v>35.58</v>
      </c>
      <c r="F163" s="44">
        <v>22.57</v>
      </c>
      <c r="G163" s="45">
        <v>62.91</v>
      </c>
      <c r="H163" s="37">
        <f t="shared" ref="H163:L163" si="790">B163-B162</f>
        <v>-1.5999999999999943</v>
      </c>
      <c r="I163" s="38">
        <f t="shared" si="790"/>
        <v>-0.12999999999999545</v>
      </c>
      <c r="J163" s="38">
        <f t="shared" si="790"/>
        <v>-0.29999999999999716</v>
      </c>
      <c r="K163" s="38">
        <f t="shared" si="790"/>
        <v>9.9999999999980105E-3</v>
      </c>
      <c r="L163" s="39">
        <f t="shared" si="790"/>
        <v>-8.9999999999999858E-2</v>
      </c>
      <c r="M163" s="38"/>
      <c r="N163" s="40"/>
      <c r="O163" s="40"/>
      <c r="P163" s="40"/>
      <c r="Q163" s="40"/>
      <c r="R163" s="40"/>
      <c r="S163" s="40">
        <f t="shared" ref="S163:T163" si="791">(B162+B163)/2</f>
        <v>65.42</v>
      </c>
      <c r="T163" s="40">
        <f t="shared" si="791"/>
        <v>58.375</v>
      </c>
      <c r="U163" s="40">
        <f t="shared" si="6"/>
        <v>48.28</v>
      </c>
      <c r="V163" s="40">
        <f t="shared" ref="V163:W163" si="792">(E162+E163)/2</f>
        <v>35.575000000000003</v>
      </c>
      <c r="W163" s="40">
        <f t="shared" si="792"/>
        <v>22.615000000000002</v>
      </c>
      <c r="X163" s="41">
        <f t="shared" ref="X163:AB163" si="793">(SUM(B160:B163))/4</f>
        <v>66.150000000000006</v>
      </c>
      <c r="Y163" s="40">
        <f t="shared" si="793"/>
        <v>58.3125</v>
      </c>
      <c r="Z163" s="40">
        <f t="shared" si="793"/>
        <v>48.284999999999997</v>
      </c>
      <c r="AA163" s="40">
        <f t="shared" si="793"/>
        <v>35.674999999999997</v>
      </c>
      <c r="AB163" s="47">
        <f t="shared" si="793"/>
        <v>22.384999999999998</v>
      </c>
      <c r="AC163" s="42">
        <f t="shared" ref="AC163:AF163" si="794">(B163+C163)/2</f>
        <v>61.465000000000003</v>
      </c>
      <c r="AD163" s="42">
        <f t="shared" si="794"/>
        <v>53.22</v>
      </c>
      <c r="AE163" s="42">
        <f t="shared" si="794"/>
        <v>41.855000000000004</v>
      </c>
      <c r="AF163" s="42">
        <f t="shared" si="794"/>
        <v>29.074999999999999</v>
      </c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8"/>
      <c r="BK163" s="8"/>
      <c r="BL163" s="8"/>
      <c r="BM163" s="8"/>
    </row>
    <row r="164" spans="1:65" ht="15.75" hidden="1" customHeight="1" x14ac:dyDescent="0.45">
      <c r="A164" s="43">
        <f t="shared" si="3"/>
        <v>42027</v>
      </c>
      <c r="B164" s="44">
        <v>64.88</v>
      </c>
      <c r="C164" s="44">
        <v>59.01</v>
      </c>
      <c r="D164" s="44">
        <v>48.75</v>
      </c>
      <c r="E164" s="44">
        <v>35.549999999999997</v>
      </c>
      <c r="F164" s="44">
        <v>22.94</v>
      </c>
      <c r="G164" s="45">
        <v>61.97</v>
      </c>
      <c r="H164" s="37">
        <f t="shared" ref="H164:L164" si="795">B164-B163</f>
        <v>0.25999999999999091</v>
      </c>
      <c r="I164" s="38">
        <f t="shared" si="795"/>
        <v>0.69999999999999574</v>
      </c>
      <c r="J164" s="38">
        <f t="shared" si="795"/>
        <v>0.61999999999999744</v>
      </c>
      <c r="K164" s="38">
        <f t="shared" si="795"/>
        <v>-3.0000000000001137E-2</v>
      </c>
      <c r="L164" s="39">
        <f t="shared" si="795"/>
        <v>0.37000000000000099</v>
      </c>
      <c r="M164" s="38"/>
      <c r="N164" s="40"/>
      <c r="O164" s="40"/>
      <c r="P164" s="40"/>
      <c r="Q164" s="40"/>
      <c r="R164" s="40"/>
      <c r="S164" s="40">
        <f t="shared" ref="S164:T164" si="796">(B163+B164)/2</f>
        <v>64.75</v>
      </c>
      <c r="T164" s="40">
        <f t="shared" si="796"/>
        <v>58.66</v>
      </c>
      <c r="U164" s="40">
        <f t="shared" si="6"/>
        <v>48.44</v>
      </c>
      <c r="V164" s="40">
        <f t="shared" ref="V164:W164" si="797">(E163+E164)/2</f>
        <v>35.564999999999998</v>
      </c>
      <c r="W164" s="40">
        <f t="shared" si="797"/>
        <v>22.755000000000003</v>
      </c>
      <c r="X164" s="41">
        <f t="shared" ref="X164:AB164" si="798">(SUM(B161:B164))/4</f>
        <v>65.617500000000007</v>
      </c>
      <c r="Y164" s="40">
        <f t="shared" si="798"/>
        <v>58.5075</v>
      </c>
      <c r="Z164" s="40">
        <f t="shared" si="798"/>
        <v>48.357500000000002</v>
      </c>
      <c r="AA164" s="40">
        <f t="shared" si="798"/>
        <v>35.627499999999998</v>
      </c>
      <c r="AB164" s="47">
        <f t="shared" si="798"/>
        <v>22.557499999999997</v>
      </c>
      <c r="AC164" s="42">
        <f t="shared" ref="AC164:AF164" si="799">(B164+C164)/2</f>
        <v>61.944999999999993</v>
      </c>
      <c r="AD164" s="42">
        <f t="shared" si="799"/>
        <v>53.879999999999995</v>
      </c>
      <c r="AE164" s="42">
        <f t="shared" si="799"/>
        <v>42.15</v>
      </c>
      <c r="AF164" s="42">
        <f t="shared" si="799"/>
        <v>29.244999999999997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8"/>
      <c r="BK164" s="8"/>
      <c r="BL164" s="8"/>
      <c r="BM164" s="8"/>
    </row>
    <row r="165" spans="1:65" ht="15.75" hidden="1" customHeight="1" x14ac:dyDescent="0.45">
      <c r="A165" s="43">
        <f t="shared" si="3"/>
        <v>42034</v>
      </c>
      <c r="B165" s="44">
        <v>64.91</v>
      </c>
      <c r="C165" s="44">
        <v>58.87</v>
      </c>
      <c r="D165" s="44">
        <v>48.47</v>
      </c>
      <c r="E165" s="44">
        <v>35.65</v>
      </c>
      <c r="F165" s="44">
        <v>22.65</v>
      </c>
      <c r="G165" s="45">
        <v>66.150000000000006</v>
      </c>
      <c r="H165" s="37">
        <f t="shared" ref="H165:L165" si="800">B165-B164</f>
        <v>3.0000000000001137E-2</v>
      </c>
      <c r="I165" s="38">
        <f t="shared" si="800"/>
        <v>-0.14000000000000057</v>
      </c>
      <c r="J165" s="38">
        <f t="shared" si="800"/>
        <v>-0.28000000000000114</v>
      </c>
      <c r="K165" s="38">
        <f t="shared" si="800"/>
        <v>0.10000000000000142</v>
      </c>
      <c r="L165" s="39">
        <f t="shared" si="800"/>
        <v>-0.2900000000000027</v>
      </c>
      <c r="M165" s="38"/>
      <c r="N165" s="40"/>
      <c r="O165" s="40"/>
      <c r="P165" s="40"/>
      <c r="Q165" s="40"/>
      <c r="R165" s="40"/>
      <c r="S165" s="40">
        <f t="shared" ref="S165:T165" si="801">(B164+B165)/2</f>
        <v>64.894999999999996</v>
      </c>
      <c r="T165" s="40">
        <f t="shared" si="801"/>
        <v>58.94</v>
      </c>
      <c r="U165" s="40">
        <f t="shared" si="6"/>
        <v>48.61</v>
      </c>
      <c r="V165" s="40">
        <f t="shared" ref="V165:W165" si="802">(E164+E165)/2</f>
        <v>35.599999999999994</v>
      </c>
      <c r="W165" s="40">
        <f t="shared" si="802"/>
        <v>22.795000000000002</v>
      </c>
      <c r="X165" s="41">
        <f t="shared" ref="X165:AB165" si="803">(SUM(B162:B165))/4</f>
        <v>65.157499999999999</v>
      </c>
      <c r="Y165" s="40">
        <f t="shared" si="803"/>
        <v>58.657499999999999</v>
      </c>
      <c r="Z165" s="40">
        <f t="shared" si="803"/>
        <v>48.445</v>
      </c>
      <c r="AA165" s="40">
        <f t="shared" si="803"/>
        <v>35.587499999999999</v>
      </c>
      <c r="AB165" s="47">
        <f t="shared" si="803"/>
        <v>22.704999999999998</v>
      </c>
      <c r="AC165" s="42">
        <f t="shared" ref="AC165:AF165" si="804">(B165+C165)/2</f>
        <v>61.89</v>
      </c>
      <c r="AD165" s="42">
        <f t="shared" si="804"/>
        <v>53.67</v>
      </c>
      <c r="AE165" s="42">
        <f t="shared" si="804"/>
        <v>42.06</v>
      </c>
      <c r="AF165" s="42">
        <f t="shared" si="804"/>
        <v>29.15</v>
      </c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8"/>
      <c r="BK165" s="8"/>
      <c r="BL165" s="8"/>
      <c r="BM165" s="8"/>
    </row>
    <row r="166" spans="1:65" ht="15.75" hidden="1" customHeight="1" x14ac:dyDescent="0.45">
      <c r="A166" s="43">
        <f t="shared" si="3"/>
        <v>42041</v>
      </c>
      <c r="B166" s="44">
        <v>67.25</v>
      </c>
      <c r="C166" s="44">
        <v>60.05</v>
      </c>
      <c r="D166" s="44">
        <v>48.31</v>
      </c>
      <c r="E166" s="44">
        <v>35.1</v>
      </c>
      <c r="F166" s="44">
        <v>22.64</v>
      </c>
      <c r="G166" s="45">
        <v>69.650000000000006</v>
      </c>
      <c r="H166" s="37">
        <f t="shared" ref="H166:L166" si="805">B166-B165</f>
        <v>2.3400000000000034</v>
      </c>
      <c r="I166" s="38">
        <f t="shared" si="805"/>
        <v>1.1799999999999997</v>
      </c>
      <c r="J166" s="38">
        <f t="shared" si="805"/>
        <v>-0.15999999999999659</v>
      </c>
      <c r="K166" s="38">
        <f t="shared" si="805"/>
        <v>-0.54999999999999716</v>
      </c>
      <c r="L166" s="39">
        <f t="shared" si="805"/>
        <v>-9.9999999999980105E-3</v>
      </c>
      <c r="M166" s="38"/>
      <c r="N166" s="40"/>
      <c r="O166" s="40"/>
      <c r="P166" s="40"/>
      <c r="Q166" s="40"/>
      <c r="R166" s="40"/>
      <c r="S166" s="40">
        <f t="shared" ref="S166:T166" si="806">(B165+B166)/2</f>
        <v>66.08</v>
      </c>
      <c r="T166" s="40">
        <f t="shared" si="806"/>
        <v>59.459999999999994</v>
      </c>
      <c r="U166" s="40">
        <f t="shared" si="6"/>
        <v>48.39</v>
      </c>
      <c r="V166" s="40">
        <f t="shared" ref="V166:W166" si="807">(E165+E166)/2</f>
        <v>35.375</v>
      </c>
      <c r="W166" s="40">
        <f t="shared" si="807"/>
        <v>22.645</v>
      </c>
      <c r="X166" s="41">
        <f t="shared" ref="X166:AB166" si="808">(SUM(B163:B166))/4</f>
        <v>65.414999999999992</v>
      </c>
      <c r="Y166" s="40">
        <f t="shared" si="808"/>
        <v>59.06</v>
      </c>
      <c r="Z166" s="40">
        <f t="shared" si="808"/>
        <v>48.414999999999999</v>
      </c>
      <c r="AA166" s="40">
        <f t="shared" si="808"/>
        <v>35.47</v>
      </c>
      <c r="AB166" s="47">
        <f t="shared" si="808"/>
        <v>22.7</v>
      </c>
      <c r="AC166" s="42">
        <f t="shared" ref="AC166:AF166" si="809">(B166+C166)/2</f>
        <v>63.65</v>
      </c>
      <c r="AD166" s="42">
        <f t="shared" si="809"/>
        <v>54.18</v>
      </c>
      <c r="AE166" s="42">
        <f t="shared" si="809"/>
        <v>41.704999999999998</v>
      </c>
      <c r="AF166" s="42">
        <f t="shared" si="809"/>
        <v>28.87</v>
      </c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8"/>
      <c r="BK166" s="8"/>
      <c r="BL166" s="8"/>
      <c r="BM166" s="8"/>
    </row>
    <row r="167" spans="1:65" ht="15.75" hidden="1" customHeight="1" x14ac:dyDescent="0.45">
      <c r="A167" s="43">
        <f t="shared" si="3"/>
        <v>42048</v>
      </c>
      <c r="B167" s="44">
        <v>68.099999999999994</v>
      </c>
      <c r="C167" s="44">
        <v>60.91</v>
      </c>
      <c r="D167" s="44">
        <v>48.97</v>
      </c>
      <c r="E167" s="44">
        <v>34.909999999999997</v>
      </c>
      <c r="F167" s="44">
        <v>22.83</v>
      </c>
      <c r="G167" s="45">
        <v>71.55</v>
      </c>
      <c r="H167" s="37">
        <f t="shared" ref="H167:L167" si="810">B167-B166</f>
        <v>0.84999999999999432</v>
      </c>
      <c r="I167" s="38">
        <f t="shared" si="810"/>
        <v>0.85999999999999943</v>
      </c>
      <c r="J167" s="38">
        <f t="shared" si="810"/>
        <v>0.65999999999999659</v>
      </c>
      <c r="K167" s="38">
        <f t="shared" si="810"/>
        <v>-0.19000000000000483</v>
      </c>
      <c r="L167" s="39">
        <f t="shared" si="810"/>
        <v>0.18999999999999773</v>
      </c>
      <c r="M167" s="38"/>
      <c r="N167" s="40"/>
      <c r="O167" s="40"/>
      <c r="P167" s="40"/>
      <c r="Q167" s="40"/>
      <c r="R167" s="40"/>
      <c r="S167" s="40">
        <f t="shared" ref="S167:T167" si="811">(B166+B167)/2</f>
        <v>67.674999999999997</v>
      </c>
      <c r="T167" s="40">
        <f t="shared" si="811"/>
        <v>60.48</v>
      </c>
      <c r="U167" s="40">
        <f t="shared" si="6"/>
        <v>48.64</v>
      </c>
      <c r="V167" s="40">
        <f t="shared" ref="V167:W167" si="812">(E166+E167)/2</f>
        <v>35.004999999999995</v>
      </c>
      <c r="W167" s="40">
        <f t="shared" si="812"/>
        <v>22.734999999999999</v>
      </c>
      <c r="X167" s="41">
        <f t="shared" ref="X167:AB167" si="813">(SUM(B164:B167))/4</f>
        <v>66.284999999999997</v>
      </c>
      <c r="Y167" s="40">
        <f t="shared" si="813"/>
        <v>59.71</v>
      </c>
      <c r="Z167" s="40">
        <f t="shared" si="813"/>
        <v>48.625</v>
      </c>
      <c r="AA167" s="40">
        <f t="shared" si="813"/>
        <v>35.302499999999995</v>
      </c>
      <c r="AB167" s="47">
        <f t="shared" si="813"/>
        <v>22.765000000000001</v>
      </c>
      <c r="AC167" s="42">
        <f t="shared" ref="AC167:AF167" si="814">(B167+C167)/2</f>
        <v>64.504999999999995</v>
      </c>
      <c r="AD167" s="42">
        <f t="shared" si="814"/>
        <v>54.94</v>
      </c>
      <c r="AE167" s="42">
        <f t="shared" si="814"/>
        <v>41.94</v>
      </c>
      <c r="AF167" s="42">
        <f t="shared" si="814"/>
        <v>28.869999999999997</v>
      </c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8"/>
      <c r="BK167" s="8"/>
      <c r="BL167" s="8"/>
      <c r="BM167" s="8"/>
    </row>
    <row r="168" spans="1:65" ht="15.75" hidden="1" customHeight="1" x14ac:dyDescent="0.45">
      <c r="A168" s="43">
        <f t="shared" si="3"/>
        <v>42055</v>
      </c>
      <c r="B168" s="44">
        <v>68.45</v>
      </c>
      <c r="C168" s="44">
        <v>60.73</v>
      </c>
      <c r="D168" s="44">
        <v>48.93</v>
      </c>
      <c r="E168" s="44">
        <v>34.94</v>
      </c>
      <c r="F168" s="44">
        <v>23.05</v>
      </c>
      <c r="G168" s="45">
        <v>72.2</v>
      </c>
      <c r="H168" s="37">
        <f t="shared" ref="H168:L168" si="815">B168-B167</f>
        <v>0.35000000000000853</v>
      </c>
      <c r="I168" s="38">
        <f t="shared" si="815"/>
        <v>-0.17999999999999972</v>
      </c>
      <c r="J168" s="38">
        <f t="shared" si="815"/>
        <v>-3.9999999999999147E-2</v>
      </c>
      <c r="K168" s="38">
        <f t="shared" si="815"/>
        <v>3.0000000000001137E-2</v>
      </c>
      <c r="L168" s="39">
        <f t="shared" si="815"/>
        <v>0.22000000000000242</v>
      </c>
      <c r="M168" s="38"/>
      <c r="N168" s="40"/>
      <c r="O168" s="40"/>
      <c r="P168" s="40"/>
      <c r="Q168" s="40"/>
      <c r="R168" s="40"/>
      <c r="S168" s="40">
        <f t="shared" ref="S168:T168" si="816">(B167+B168)/2</f>
        <v>68.275000000000006</v>
      </c>
      <c r="T168" s="40">
        <f t="shared" si="816"/>
        <v>60.819999999999993</v>
      </c>
      <c r="U168" s="40">
        <f t="shared" si="6"/>
        <v>48.95</v>
      </c>
      <c r="V168" s="40">
        <f t="shared" ref="V168:W168" si="817">(E167+E168)/2</f>
        <v>34.924999999999997</v>
      </c>
      <c r="W168" s="40">
        <f t="shared" si="817"/>
        <v>22.939999999999998</v>
      </c>
      <c r="X168" s="41">
        <f t="shared" ref="X168:AB168" si="818">(SUM(B165:B168))/4</f>
        <v>67.177499999999995</v>
      </c>
      <c r="Y168" s="40">
        <f t="shared" si="818"/>
        <v>60.139999999999993</v>
      </c>
      <c r="Z168" s="40">
        <f t="shared" si="818"/>
        <v>48.67</v>
      </c>
      <c r="AA168" s="40">
        <f t="shared" si="818"/>
        <v>35.15</v>
      </c>
      <c r="AB168" s="47">
        <f t="shared" si="818"/>
        <v>22.7925</v>
      </c>
      <c r="AC168" s="42">
        <f t="shared" ref="AC168:AF168" si="819">(B168+C168)/2</f>
        <v>64.59</v>
      </c>
      <c r="AD168" s="42">
        <f t="shared" si="819"/>
        <v>54.83</v>
      </c>
      <c r="AE168" s="42">
        <f t="shared" si="819"/>
        <v>41.935000000000002</v>
      </c>
      <c r="AF168" s="42">
        <f t="shared" si="819"/>
        <v>28.994999999999997</v>
      </c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8"/>
      <c r="BK168" s="8"/>
      <c r="BL168" s="8"/>
      <c r="BM168" s="8"/>
    </row>
    <row r="169" spans="1:65" ht="15.75" hidden="1" customHeight="1" x14ac:dyDescent="0.45">
      <c r="A169" s="43">
        <f t="shared" si="3"/>
        <v>42062</v>
      </c>
      <c r="B169" s="44">
        <v>68.7</v>
      </c>
      <c r="C169" s="44">
        <v>60.62</v>
      </c>
      <c r="D169" s="44">
        <v>48.82</v>
      </c>
      <c r="E169" s="44">
        <v>34.869999999999997</v>
      </c>
      <c r="F169" s="44">
        <v>23.05</v>
      </c>
      <c r="G169" s="45">
        <v>73.7</v>
      </c>
      <c r="H169" s="37">
        <f t="shared" ref="H169:L169" si="820">B169-B168</f>
        <v>0.25</v>
      </c>
      <c r="I169" s="38">
        <f t="shared" si="820"/>
        <v>-0.10999999999999943</v>
      </c>
      <c r="J169" s="38">
        <f t="shared" si="820"/>
        <v>-0.10999999999999943</v>
      </c>
      <c r="K169" s="38">
        <f t="shared" si="820"/>
        <v>-7.0000000000000284E-2</v>
      </c>
      <c r="L169" s="39">
        <f t="shared" si="820"/>
        <v>0</v>
      </c>
      <c r="M169" s="38"/>
      <c r="N169" s="40"/>
      <c r="O169" s="40"/>
      <c r="P169" s="40"/>
      <c r="Q169" s="40"/>
      <c r="R169" s="40"/>
      <c r="S169" s="40">
        <f t="shared" ref="S169:T169" si="821">(B168+B169)/2</f>
        <v>68.575000000000003</v>
      </c>
      <c r="T169" s="40">
        <f t="shared" si="821"/>
        <v>60.674999999999997</v>
      </c>
      <c r="U169" s="40">
        <f t="shared" si="6"/>
        <v>48.875</v>
      </c>
      <c r="V169" s="40">
        <f t="shared" ref="V169:W169" si="822">(E168+E169)/2</f>
        <v>34.905000000000001</v>
      </c>
      <c r="W169" s="40">
        <f t="shared" si="822"/>
        <v>23.05</v>
      </c>
      <c r="X169" s="41">
        <f t="shared" ref="X169:AB169" si="823">(SUM(B166:B169))/4</f>
        <v>68.125</v>
      </c>
      <c r="Y169" s="40">
        <f t="shared" si="823"/>
        <v>60.577500000000001</v>
      </c>
      <c r="Z169" s="40">
        <f t="shared" si="823"/>
        <v>48.7575</v>
      </c>
      <c r="AA169" s="40">
        <f t="shared" si="823"/>
        <v>34.954999999999998</v>
      </c>
      <c r="AB169" s="47">
        <f t="shared" si="823"/>
        <v>22.892499999999998</v>
      </c>
      <c r="AC169" s="42">
        <f t="shared" ref="AC169:AF169" si="824">(B169+C169)/2</f>
        <v>64.66</v>
      </c>
      <c r="AD169" s="42">
        <f t="shared" si="824"/>
        <v>54.72</v>
      </c>
      <c r="AE169" s="42">
        <f t="shared" si="824"/>
        <v>41.844999999999999</v>
      </c>
      <c r="AF169" s="42">
        <f t="shared" si="824"/>
        <v>28.96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8"/>
      <c r="BK169" s="8"/>
      <c r="BL169" s="8"/>
      <c r="BM169" s="8"/>
    </row>
    <row r="170" spans="1:65" ht="15.75" hidden="1" customHeight="1" x14ac:dyDescent="0.45">
      <c r="A170" s="50">
        <f t="shared" si="3"/>
        <v>42069</v>
      </c>
      <c r="B170" s="51">
        <v>68.64</v>
      </c>
      <c r="C170" s="51">
        <v>60.32</v>
      </c>
      <c r="D170" s="51">
        <v>48.62</v>
      </c>
      <c r="E170" s="51">
        <v>34.75</v>
      </c>
      <c r="F170" s="51">
        <v>23.18</v>
      </c>
      <c r="G170" s="52">
        <v>66.209999999999994</v>
      </c>
      <c r="H170" s="37">
        <f t="shared" ref="H170:L170" si="825">B170-B169</f>
        <v>-6.0000000000002274E-2</v>
      </c>
      <c r="I170" s="38">
        <f t="shared" si="825"/>
        <v>-0.29999999999999716</v>
      </c>
      <c r="J170" s="38">
        <f t="shared" si="825"/>
        <v>-0.20000000000000284</v>
      </c>
      <c r="K170" s="38">
        <f t="shared" si="825"/>
        <v>-0.11999999999999744</v>
      </c>
      <c r="L170" s="39">
        <f t="shared" si="825"/>
        <v>0.12999999999999901</v>
      </c>
      <c r="M170" s="38"/>
      <c r="N170" s="40"/>
      <c r="O170" s="40"/>
      <c r="P170" s="40"/>
      <c r="Q170" s="40"/>
      <c r="R170" s="40"/>
      <c r="S170" s="40">
        <f t="shared" ref="S170:T170" si="826">(B169+B170)/2</f>
        <v>68.67</v>
      </c>
      <c r="T170" s="40">
        <f t="shared" si="826"/>
        <v>60.47</v>
      </c>
      <c r="U170" s="40">
        <f t="shared" si="6"/>
        <v>48.72</v>
      </c>
      <c r="V170" s="40">
        <f t="shared" ref="V170:W170" si="827">(E169+E170)/2</f>
        <v>34.81</v>
      </c>
      <c r="W170" s="40">
        <f t="shared" si="827"/>
        <v>23.115000000000002</v>
      </c>
      <c r="X170" s="41">
        <f t="shared" ref="X170:AB170" si="828">(SUM(B167:B170))/4</f>
        <v>68.472499999999997</v>
      </c>
      <c r="Y170" s="40">
        <f t="shared" si="828"/>
        <v>60.644999999999996</v>
      </c>
      <c r="Z170" s="40">
        <f t="shared" si="828"/>
        <v>48.835000000000001</v>
      </c>
      <c r="AA170" s="40">
        <f t="shared" si="828"/>
        <v>34.8675</v>
      </c>
      <c r="AB170" s="47">
        <f t="shared" si="828"/>
        <v>23.027499999999996</v>
      </c>
      <c r="AC170" s="42">
        <f t="shared" ref="AC170:AF170" si="829">(B170+C170)/2</f>
        <v>64.48</v>
      </c>
      <c r="AD170" s="42">
        <f t="shared" si="829"/>
        <v>54.47</v>
      </c>
      <c r="AE170" s="42">
        <f t="shared" si="829"/>
        <v>41.685000000000002</v>
      </c>
      <c r="AF170" s="42">
        <f t="shared" si="829"/>
        <v>28.965</v>
      </c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8"/>
      <c r="BK170" s="8"/>
      <c r="BL170" s="8"/>
      <c r="BM170" s="8"/>
    </row>
    <row r="171" spans="1:65" ht="15.75" hidden="1" customHeight="1" x14ac:dyDescent="0.45">
      <c r="A171" s="50">
        <f t="shared" si="3"/>
        <v>42076</v>
      </c>
      <c r="B171" s="51">
        <v>68.459999999999994</v>
      </c>
      <c r="C171" s="51">
        <v>60.24</v>
      </c>
      <c r="D171" s="51">
        <v>48.62</v>
      </c>
      <c r="E171" s="51">
        <v>34.65</v>
      </c>
      <c r="F171" s="51">
        <v>23.21</v>
      </c>
      <c r="G171" s="52">
        <v>65.11</v>
      </c>
      <c r="H171" s="37">
        <f t="shared" ref="H171:L171" si="830">B171-B170</f>
        <v>-0.18000000000000682</v>
      </c>
      <c r="I171" s="38">
        <f t="shared" si="830"/>
        <v>-7.9999999999998295E-2</v>
      </c>
      <c r="J171" s="38">
        <f t="shared" si="830"/>
        <v>0</v>
      </c>
      <c r="K171" s="38">
        <f t="shared" si="830"/>
        <v>-0.10000000000000142</v>
      </c>
      <c r="L171" s="39">
        <f t="shared" si="830"/>
        <v>3.0000000000001137E-2</v>
      </c>
      <c r="M171" s="38"/>
      <c r="N171" s="40"/>
      <c r="O171" s="40"/>
      <c r="P171" s="40"/>
      <c r="Q171" s="40"/>
      <c r="R171" s="40"/>
      <c r="S171" s="40">
        <f t="shared" ref="S171:T171" si="831">(B170+B171)/2</f>
        <v>68.55</v>
      </c>
      <c r="T171" s="40">
        <f t="shared" si="831"/>
        <v>60.28</v>
      </c>
      <c r="U171" s="40">
        <f t="shared" si="6"/>
        <v>48.62</v>
      </c>
      <c r="V171" s="40">
        <f t="shared" ref="V171:W171" si="832">(E170+E171)/2</f>
        <v>34.700000000000003</v>
      </c>
      <c r="W171" s="40">
        <f t="shared" si="832"/>
        <v>23.195</v>
      </c>
      <c r="X171" s="41">
        <f t="shared" ref="X171:AB171" si="833">(SUM(B168:B171))/4</f>
        <v>68.5625</v>
      </c>
      <c r="Y171" s="40">
        <f t="shared" si="833"/>
        <v>60.477499999999999</v>
      </c>
      <c r="Z171" s="40">
        <f t="shared" si="833"/>
        <v>48.747500000000002</v>
      </c>
      <c r="AA171" s="40">
        <f t="shared" si="833"/>
        <v>34.802500000000002</v>
      </c>
      <c r="AB171" s="47">
        <f t="shared" si="833"/>
        <v>23.122500000000002</v>
      </c>
      <c r="AC171" s="42">
        <f t="shared" ref="AC171:AF171" si="834">(B171+C171)/2</f>
        <v>64.349999999999994</v>
      </c>
      <c r="AD171" s="42">
        <f t="shared" si="834"/>
        <v>54.43</v>
      </c>
      <c r="AE171" s="42">
        <f t="shared" si="834"/>
        <v>41.634999999999998</v>
      </c>
      <c r="AF171" s="42">
        <f t="shared" si="834"/>
        <v>28.93</v>
      </c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8"/>
      <c r="BK171" s="8"/>
      <c r="BL171" s="8"/>
      <c r="BM171" s="8"/>
    </row>
    <row r="172" spans="1:65" ht="15.75" hidden="1" customHeight="1" x14ac:dyDescent="0.45">
      <c r="A172" s="50">
        <f t="shared" si="3"/>
        <v>42083</v>
      </c>
      <c r="B172" s="51">
        <v>68.099999999999994</v>
      </c>
      <c r="C172" s="51">
        <v>60.17</v>
      </c>
      <c r="D172" s="51">
        <v>48.36</v>
      </c>
      <c r="E172" s="51">
        <v>34.590000000000003</v>
      </c>
      <c r="F172" s="51">
        <v>23.19</v>
      </c>
      <c r="G172" s="52">
        <v>60.56</v>
      </c>
      <c r="H172" s="37">
        <f t="shared" ref="H172:L172" si="835">B172-B171</f>
        <v>-0.35999999999999943</v>
      </c>
      <c r="I172" s="38">
        <f t="shared" si="835"/>
        <v>-7.0000000000000284E-2</v>
      </c>
      <c r="J172" s="38">
        <f t="shared" si="835"/>
        <v>-0.25999999999999801</v>
      </c>
      <c r="K172" s="38">
        <f t="shared" si="835"/>
        <v>-5.9999999999995168E-2</v>
      </c>
      <c r="L172" s="39">
        <f t="shared" si="835"/>
        <v>-1.9999999999999574E-2</v>
      </c>
      <c r="M172" s="38"/>
      <c r="N172" s="40"/>
      <c r="O172" s="40"/>
      <c r="P172" s="40"/>
      <c r="Q172" s="40"/>
      <c r="R172" s="40"/>
      <c r="S172" s="40">
        <f t="shared" ref="S172:T172" si="836">(B171+B172)/2</f>
        <v>68.28</v>
      </c>
      <c r="T172" s="40">
        <f t="shared" si="836"/>
        <v>60.204999999999998</v>
      </c>
      <c r="U172" s="40">
        <f t="shared" si="6"/>
        <v>48.489999999999995</v>
      </c>
      <c r="V172" s="40">
        <f t="shared" ref="V172:W172" si="837">(E171+E172)/2</f>
        <v>34.620000000000005</v>
      </c>
      <c r="W172" s="40">
        <f t="shared" si="837"/>
        <v>23.200000000000003</v>
      </c>
      <c r="X172" s="41">
        <f t="shared" ref="X172:AB172" si="838">(SUM(B169:B172))/4</f>
        <v>68.474999999999994</v>
      </c>
      <c r="Y172" s="40">
        <f t="shared" si="838"/>
        <v>60.337500000000006</v>
      </c>
      <c r="Z172" s="40">
        <f t="shared" si="838"/>
        <v>48.605000000000004</v>
      </c>
      <c r="AA172" s="40">
        <f t="shared" si="838"/>
        <v>34.715000000000003</v>
      </c>
      <c r="AB172" s="47">
        <f t="shared" si="838"/>
        <v>23.157499999999999</v>
      </c>
      <c r="AC172" s="42">
        <f t="shared" ref="AC172:AF172" si="839">(B172+C172)/2</f>
        <v>64.134999999999991</v>
      </c>
      <c r="AD172" s="42">
        <f t="shared" si="839"/>
        <v>54.265000000000001</v>
      </c>
      <c r="AE172" s="42">
        <f t="shared" si="839"/>
        <v>41.475000000000001</v>
      </c>
      <c r="AF172" s="42">
        <f t="shared" si="839"/>
        <v>28.89</v>
      </c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8"/>
      <c r="BK172" s="8"/>
      <c r="BL172" s="8"/>
      <c r="BM172" s="8"/>
    </row>
    <row r="173" spans="1:65" ht="15.75" hidden="1" customHeight="1" x14ac:dyDescent="0.45">
      <c r="A173" s="50">
        <f t="shared" si="3"/>
        <v>42090</v>
      </c>
      <c r="B173" s="51">
        <v>66.180000000000007</v>
      </c>
      <c r="C173" s="51">
        <v>59.49</v>
      </c>
      <c r="D173" s="51">
        <v>48.12</v>
      </c>
      <c r="E173" s="51">
        <v>34.35</v>
      </c>
      <c r="F173" s="51">
        <v>23.06</v>
      </c>
      <c r="G173" s="52">
        <v>59.6</v>
      </c>
      <c r="H173" s="37">
        <f t="shared" ref="H173:L173" si="840">B173-B172</f>
        <v>-1.9199999999999875</v>
      </c>
      <c r="I173" s="38">
        <f t="shared" si="840"/>
        <v>-0.67999999999999972</v>
      </c>
      <c r="J173" s="38">
        <f t="shared" si="840"/>
        <v>-0.24000000000000199</v>
      </c>
      <c r="K173" s="38">
        <f t="shared" si="840"/>
        <v>-0.24000000000000199</v>
      </c>
      <c r="L173" s="39">
        <f t="shared" si="840"/>
        <v>-0.13000000000000256</v>
      </c>
      <c r="M173" s="38"/>
      <c r="N173" s="40"/>
      <c r="O173" s="40"/>
      <c r="P173" s="40"/>
      <c r="Q173" s="40"/>
      <c r="R173" s="40"/>
      <c r="S173" s="40">
        <f t="shared" ref="S173:T173" si="841">(B172+B173)/2</f>
        <v>67.14</v>
      </c>
      <c r="T173" s="40">
        <f t="shared" si="841"/>
        <v>59.83</v>
      </c>
      <c r="U173" s="40">
        <f t="shared" si="6"/>
        <v>48.239999999999995</v>
      </c>
      <c r="V173" s="40">
        <f t="shared" ref="V173:W173" si="842">(E172+E173)/2</f>
        <v>34.47</v>
      </c>
      <c r="W173" s="40">
        <f t="shared" si="842"/>
        <v>23.125</v>
      </c>
      <c r="X173" s="41">
        <f t="shared" ref="X173:AB173" si="843">(SUM(B170:B173))/4</f>
        <v>67.844999999999999</v>
      </c>
      <c r="Y173" s="40">
        <f t="shared" si="843"/>
        <v>60.055000000000007</v>
      </c>
      <c r="Z173" s="40">
        <f t="shared" si="843"/>
        <v>48.43</v>
      </c>
      <c r="AA173" s="40">
        <f t="shared" si="843"/>
        <v>34.585000000000001</v>
      </c>
      <c r="AB173" s="47">
        <f t="shared" si="843"/>
        <v>23.16</v>
      </c>
      <c r="AC173" s="42">
        <f t="shared" ref="AC173:AF173" si="844">(B173+C173)/2</f>
        <v>62.835000000000008</v>
      </c>
      <c r="AD173" s="42">
        <f t="shared" si="844"/>
        <v>53.805</v>
      </c>
      <c r="AE173" s="42">
        <f t="shared" si="844"/>
        <v>41.234999999999999</v>
      </c>
      <c r="AF173" s="42">
        <f t="shared" si="844"/>
        <v>28.704999999999998</v>
      </c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8"/>
      <c r="BK173" s="8"/>
      <c r="BL173" s="8"/>
      <c r="BM173" s="8"/>
    </row>
    <row r="174" spans="1:65" ht="15.75" hidden="1" customHeight="1" x14ac:dyDescent="0.45">
      <c r="A174" s="50">
        <f t="shared" si="3"/>
        <v>42097</v>
      </c>
      <c r="B174" s="51">
        <v>65.260000000000005</v>
      </c>
      <c r="C174" s="51">
        <v>59.05</v>
      </c>
      <c r="D174" s="51">
        <v>48.03</v>
      </c>
      <c r="E174" s="51">
        <v>33.74</v>
      </c>
      <c r="F174" s="51">
        <v>22.97</v>
      </c>
      <c r="G174" s="52">
        <v>57.86</v>
      </c>
      <c r="H174" s="37">
        <f t="shared" ref="H174:L174" si="845">B174-B173</f>
        <v>-0.92000000000000171</v>
      </c>
      <c r="I174" s="38">
        <f t="shared" si="845"/>
        <v>-0.44000000000000483</v>
      </c>
      <c r="J174" s="38">
        <f t="shared" si="845"/>
        <v>-8.9999999999996305E-2</v>
      </c>
      <c r="K174" s="38">
        <f t="shared" si="845"/>
        <v>-0.60999999999999943</v>
      </c>
      <c r="L174" s="39">
        <f t="shared" si="845"/>
        <v>-8.9999999999999858E-2</v>
      </c>
      <c r="M174" s="38"/>
      <c r="N174" s="40"/>
      <c r="O174" s="40"/>
      <c r="P174" s="40"/>
      <c r="Q174" s="40"/>
      <c r="R174" s="40"/>
      <c r="S174" s="40">
        <f t="shared" ref="S174:T174" si="846">(B173+B174)/2</f>
        <v>65.72</v>
      </c>
      <c r="T174" s="40">
        <f t="shared" si="846"/>
        <v>59.269999999999996</v>
      </c>
      <c r="U174" s="40">
        <f t="shared" si="6"/>
        <v>48.075000000000003</v>
      </c>
      <c r="V174" s="40">
        <f t="shared" ref="V174:W174" si="847">(E173+E174)/2</f>
        <v>34.045000000000002</v>
      </c>
      <c r="W174" s="40">
        <f t="shared" si="847"/>
        <v>23.015000000000001</v>
      </c>
      <c r="X174" s="41">
        <f t="shared" ref="X174:AB174" si="848">(SUM(B171:B174))/4</f>
        <v>67</v>
      </c>
      <c r="Y174" s="40">
        <f t="shared" si="848"/>
        <v>59.737499999999997</v>
      </c>
      <c r="Z174" s="40">
        <f t="shared" si="848"/>
        <v>48.282499999999999</v>
      </c>
      <c r="AA174" s="40">
        <f t="shared" si="848"/>
        <v>34.332500000000003</v>
      </c>
      <c r="AB174" s="47">
        <f t="shared" si="848"/>
        <v>23.107500000000002</v>
      </c>
      <c r="AC174" s="42">
        <f t="shared" ref="AC174:AF174" si="849">(B174+C174)/2</f>
        <v>62.155000000000001</v>
      </c>
      <c r="AD174" s="42">
        <f t="shared" si="849"/>
        <v>53.54</v>
      </c>
      <c r="AE174" s="42">
        <f t="shared" si="849"/>
        <v>40.885000000000005</v>
      </c>
      <c r="AF174" s="42">
        <f t="shared" si="849"/>
        <v>28.355</v>
      </c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8"/>
      <c r="BK174" s="8"/>
      <c r="BL174" s="8"/>
      <c r="BM174" s="8"/>
    </row>
    <row r="175" spans="1:65" ht="15.75" hidden="1" customHeight="1" x14ac:dyDescent="0.45">
      <c r="A175" s="50">
        <f t="shared" si="3"/>
        <v>42104</v>
      </c>
      <c r="B175" s="51">
        <v>64.53</v>
      </c>
      <c r="C175" s="51">
        <v>58</v>
      </c>
      <c r="D175" s="51">
        <v>47.54</v>
      </c>
      <c r="E175" s="51">
        <v>33.979999999999997</v>
      </c>
      <c r="F175" s="51">
        <v>22.91</v>
      </c>
      <c r="G175" s="52">
        <v>54.37</v>
      </c>
      <c r="H175" s="37">
        <f t="shared" ref="H175:L175" si="850">B175-B174</f>
        <v>-0.73000000000000398</v>
      </c>
      <c r="I175" s="38">
        <f t="shared" si="850"/>
        <v>-1.0499999999999972</v>
      </c>
      <c r="J175" s="38">
        <f t="shared" si="850"/>
        <v>-0.49000000000000199</v>
      </c>
      <c r="K175" s="38">
        <f t="shared" si="850"/>
        <v>0.23999999999999488</v>
      </c>
      <c r="L175" s="39">
        <f t="shared" si="850"/>
        <v>-5.9999999999998721E-2</v>
      </c>
      <c r="M175" s="38"/>
      <c r="N175" s="40"/>
      <c r="O175" s="40"/>
      <c r="P175" s="40"/>
      <c r="Q175" s="40"/>
      <c r="R175" s="40"/>
      <c r="S175" s="40">
        <f t="shared" ref="S175:T175" si="851">(B174+B175)/2</f>
        <v>64.89500000000001</v>
      </c>
      <c r="T175" s="40">
        <f t="shared" si="851"/>
        <v>58.524999999999999</v>
      </c>
      <c r="U175" s="40">
        <f t="shared" si="6"/>
        <v>47.784999999999997</v>
      </c>
      <c r="V175" s="40">
        <f t="shared" ref="V175:W175" si="852">(E174+E175)/2</f>
        <v>33.86</v>
      </c>
      <c r="W175" s="40">
        <f t="shared" si="852"/>
        <v>22.939999999999998</v>
      </c>
      <c r="X175" s="41">
        <f t="shared" ref="X175:AB175" si="853">(SUM(B172:B175))/4</f>
        <v>66.017500000000013</v>
      </c>
      <c r="Y175" s="40">
        <f t="shared" si="853"/>
        <v>59.177499999999995</v>
      </c>
      <c r="Z175" s="40">
        <f t="shared" si="853"/>
        <v>48.012499999999996</v>
      </c>
      <c r="AA175" s="40">
        <f t="shared" si="853"/>
        <v>34.164999999999999</v>
      </c>
      <c r="AB175" s="47">
        <f t="shared" si="853"/>
        <v>23.032499999999999</v>
      </c>
      <c r="AC175" s="42">
        <f t="shared" ref="AC175:AF175" si="854">(B175+C175)/2</f>
        <v>61.265000000000001</v>
      </c>
      <c r="AD175" s="42">
        <f t="shared" si="854"/>
        <v>52.769999999999996</v>
      </c>
      <c r="AE175" s="42">
        <f t="shared" si="854"/>
        <v>40.76</v>
      </c>
      <c r="AF175" s="42">
        <f t="shared" si="854"/>
        <v>28.445</v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8"/>
      <c r="BK175" s="8"/>
      <c r="BL175" s="8"/>
      <c r="BM175" s="8"/>
    </row>
    <row r="176" spans="1:65" ht="15.75" hidden="1" customHeight="1" x14ac:dyDescent="0.45">
      <c r="A176" s="50">
        <f t="shared" si="3"/>
        <v>42111</v>
      </c>
      <c r="B176" s="51">
        <v>63.62</v>
      </c>
      <c r="C176" s="51">
        <v>57.47</v>
      </c>
      <c r="D176" s="51">
        <v>47.21</v>
      </c>
      <c r="E176" s="51">
        <v>33.799999999999997</v>
      </c>
      <c r="F176" s="51">
        <v>22.71</v>
      </c>
      <c r="G176" s="52">
        <v>58.13</v>
      </c>
      <c r="H176" s="37">
        <f t="shared" ref="H176:L176" si="855">B176-B175</f>
        <v>-0.91000000000000369</v>
      </c>
      <c r="I176" s="38">
        <f t="shared" si="855"/>
        <v>-0.53000000000000114</v>
      </c>
      <c r="J176" s="38">
        <f t="shared" si="855"/>
        <v>-0.32999999999999829</v>
      </c>
      <c r="K176" s="38">
        <f t="shared" si="855"/>
        <v>-0.17999999999999972</v>
      </c>
      <c r="L176" s="39">
        <f t="shared" si="855"/>
        <v>-0.19999999999999929</v>
      </c>
      <c r="M176" s="38"/>
      <c r="N176" s="40"/>
      <c r="O176" s="40"/>
      <c r="P176" s="40"/>
      <c r="Q176" s="40"/>
      <c r="R176" s="40"/>
      <c r="S176" s="40">
        <f t="shared" ref="S176:T176" si="856">(B175+B176)/2</f>
        <v>64.075000000000003</v>
      </c>
      <c r="T176" s="40">
        <f t="shared" si="856"/>
        <v>57.734999999999999</v>
      </c>
      <c r="U176" s="40">
        <f t="shared" si="6"/>
        <v>47.375</v>
      </c>
      <c r="V176" s="40">
        <f t="shared" ref="V176:W176" si="857">(E175+E176)/2</f>
        <v>33.89</v>
      </c>
      <c r="W176" s="40">
        <f t="shared" si="857"/>
        <v>22.810000000000002</v>
      </c>
      <c r="X176" s="41">
        <f t="shared" ref="X176:AB176" si="858">(SUM(B173:B176))/4</f>
        <v>64.897499999999994</v>
      </c>
      <c r="Y176" s="40">
        <f t="shared" si="858"/>
        <v>58.502499999999998</v>
      </c>
      <c r="Z176" s="40">
        <f t="shared" si="858"/>
        <v>47.725000000000001</v>
      </c>
      <c r="AA176" s="40">
        <f t="shared" si="858"/>
        <v>33.967500000000001</v>
      </c>
      <c r="AB176" s="47">
        <f t="shared" si="858"/>
        <v>22.912500000000001</v>
      </c>
      <c r="AC176" s="42">
        <f t="shared" ref="AC176:AF176" si="859">(B176+C176)/2</f>
        <v>60.545000000000002</v>
      </c>
      <c r="AD176" s="42">
        <f t="shared" si="859"/>
        <v>52.34</v>
      </c>
      <c r="AE176" s="42">
        <f t="shared" si="859"/>
        <v>40.504999999999995</v>
      </c>
      <c r="AF176" s="42">
        <f t="shared" si="859"/>
        <v>28.254999999999999</v>
      </c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8"/>
      <c r="BK176" s="8"/>
      <c r="BL176" s="8"/>
      <c r="BM176" s="8"/>
    </row>
    <row r="177" spans="1:65" ht="15.75" hidden="1" customHeight="1" x14ac:dyDescent="0.45">
      <c r="A177" s="50">
        <f t="shared" si="3"/>
        <v>42118</v>
      </c>
      <c r="B177" s="51">
        <v>63.62</v>
      </c>
      <c r="C177" s="51">
        <v>57.21</v>
      </c>
      <c r="D177" s="51">
        <v>47.02</v>
      </c>
      <c r="E177" s="51">
        <v>33.409999999999997</v>
      </c>
      <c r="F177" s="51">
        <v>22.8</v>
      </c>
      <c r="G177" s="52">
        <v>63.83</v>
      </c>
      <c r="H177" s="37">
        <f t="shared" ref="H177:L177" si="860">B177-B176</f>
        <v>0</v>
      </c>
      <c r="I177" s="38">
        <f t="shared" si="860"/>
        <v>-0.25999999999999801</v>
      </c>
      <c r="J177" s="38">
        <f t="shared" si="860"/>
        <v>-0.18999999999999773</v>
      </c>
      <c r="K177" s="38">
        <f t="shared" si="860"/>
        <v>-0.39000000000000057</v>
      </c>
      <c r="L177" s="39">
        <f t="shared" si="860"/>
        <v>8.9999999999999858E-2</v>
      </c>
      <c r="M177" s="38"/>
      <c r="N177" s="40"/>
      <c r="O177" s="40"/>
      <c r="P177" s="40"/>
      <c r="Q177" s="40"/>
      <c r="R177" s="40"/>
      <c r="S177" s="40">
        <f t="shared" ref="S177:T177" si="861">(B176+B177)/2</f>
        <v>63.62</v>
      </c>
      <c r="T177" s="40">
        <f t="shared" si="861"/>
        <v>57.34</v>
      </c>
      <c r="U177" s="40">
        <f t="shared" si="6"/>
        <v>47.115000000000002</v>
      </c>
      <c r="V177" s="40">
        <f t="shared" ref="V177:W177" si="862">(E176+E177)/2</f>
        <v>33.604999999999997</v>
      </c>
      <c r="W177" s="40">
        <f t="shared" si="862"/>
        <v>22.755000000000003</v>
      </c>
      <c r="X177" s="41">
        <f t="shared" ref="X177:AB177" si="863">(SUM(B174:B177))/4</f>
        <v>64.257500000000007</v>
      </c>
      <c r="Y177" s="40">
        <f t="shared" si="863"/>
        <v>57.932499999999997</v>
      </c>
      <c r="Z177" s="40">
        <f t="shared" si="863"/>
        <v>47.45</v>
      </c>
      <c r="AA177" s="40">
        <f t="shared" si="863"/>
        <v>33.732500000000002</v>
      </c>
      <c r="AB177" s="47">
        <f t="shared" si="863"/>
        <v>22.8475</v>
      </c>
      <c r="AC177" s="42">
        <f t="shared" ref="AC177:AF177" si="864">(B177+C177)/2</f>
        <v>60.414999999999999</v>
      </c>
      <c r="AD177" s="42">
        <f t="shared" si="864"/>
        <v>52.115000000000002</v>
      </c>
      <c r="AE177" s="42">
        <f t="shared" si="864"/>
        <v>40.215000000000003</v>
      </c>
      <c r="AF177" s="42">
        <f t="shared" si="864"/>
        <v>28.104999999999997</v>
      </c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8"/>
      <c r="BK177" s="8"/>
      <c r="BL177" s="8"/>
      <c r="BM177" s="8"/>
    </row>
    <row r="178" spans="1:65" ht="15.75" hidden="1" customHeight="1" x14ac:dyDescent="0.45">
      <c r="A178" s="50">
        <f t="shared" si="3"/>
        <v>42125</v>
      </c>
      <c r="B178" s="51">
        <v>63.83</v>
      </c>
      <c r="C178" s="51">
        <v>57.57</v>
      </c>
      <c r="D178" s="51">
        <v>46.82</v>
      </c>
      <c r="E178" s="51">
        <v>33.24</v>
      </c>
      <c r="F178" s="51">
        <v>22.08</v>
      </c>
      <c r="G178" s="52">
        <v>65.099999999999994</v>
      </c>
      <c r="H178" s="37">
        <f t="shared" ref="H178:L178" si="865">B178-B177</f>
        <v>0.21000000000000085</v>
      </c>
      <c r="I178" s="38">
        <f t="shared" si="865"/>
        <v>0.35999999999999943</v>
      </c>
      <c r="J178" s="38">
        <f t="shared" si="865"/>
        <v>-0.20000000000000284</v>
      </c>
      <c r="K178" s="38">
        <f t="shared" si="865"/>
        <v>-0.1699999999999946</v>
      </c>
      <c r="L178" s="39">
        <f t="shared" si="865"/>
        <v>-0.72000000000000242</v>
      </c>
      <c r="M178" s="38"/>
      <c r="N178" s="40"/>
      <c r="O178" s="40"/>
      <c r="P178" s="40"/>
      <c r="Q178" s="40"/>
      <c r="R178" s="40"/>
      <c r="S178" s="40">
        <f t="shared" ref="S178:T178" si="866">(B177+B178)/2</f>
        <v>63.724999999999994</v>
      </c>
      <c r="T178" s="40">
        <f t="shared" si="866"/>
        <v>57.39</v>
      </c>
      <c r="U178" s="40">
        <f t="shared" si="6"/>
        <v>46.92</v>
      </c>
      <c r="V178" s="40">
        <f t="shared" ref="V178:W178" si="867">(E177+E178)/2</f>
        <v>33.325000000000003</v>
      </c>
      <c r="W178" s="40">
        <f t="shared" si="867"/>
        <v>22.439999999999998</v>
      </c>
      <c r="X178" s="41">
        <f t="shared" ref="X178:AB178" si="868">(SUM(B175:B178))/4</f>
        <v>63.900000000000006</v>
      </c>
      <c r="Y178" s="40">
        <f t="shared" si="868"/>
        <v>57.5625</v>
      </c>
      <c r="Z178" s="40">
        <f t="shared" si="868"/>
        <v>47.147500000000001</v>
      </c>
      <c r="AA178" s="40">
        <f t="shared" si="868"/>
        <v>33.607500000000002</v>
      </c>
      <c r="AB178" s="47">
        <f t="shared" si="868"/>
        <v>22.625</v>
      </c>
      <c r="AC178" s="42">
        <f t="shared" ref="AC178:AF178" si="869">(B178+C178)/2</f>
        <v>60.7</v>
      </c>
      <c r="AD178" s="42">
        <f t="shared" si="869"/>
        <v>52.195</v>
      </c>
      <c r="AE178" s="42">
        <f t="shared" si="869"/>
        <v>40.03</v>
      </c>
      <c r="AF178" s="42">
        <f t="shared" si="869"/>
        <v>27.66</v>
      </c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8"/>
      <c r="BK178" s="8"/>
      <c r="BL178" s="8"/>
      <c r="BM178" s="8"/>
    </row>
    <row r="179" spans="1:65" ht="15.75" hidden="1" customHeight="1" x14ac:dyDescent="0.45">
      <c r="A179" s="50">
        <f t="shared" si="3"/>
        <v>42132</v>
      </c>
      <c r="B179" s="51">
        <v>63.25</v>
      </c>
      <c r="C179" s="51">
        <v>57.19</v>
      </c>
      <c r="D179" s="51">
        <v>46.7</v>
      </c>
      <c r="E179" s="51">
        <v>32.880000000000003</v>
      </c>
      <c r="F179" s="51">
        <v>21.78</v>
      </c>
      <c r="G179" s="52">
        <v>61.14</v>
      </c>
      <c r="H179" s="37">
        <f t="shared" ref="H179:L179" si="870">B179-B178</f>
        <v>-0.57999999999999829</v>
      </c>
      <c r="I179" s="38">
        <f t="shared" si="870"/>
        <v>-0.38000000000000256</v>
      </c>
      <c r="J179" s="38">
        <f t="shared" si="870"/>
        <v>-0.11999999999999744</v>
      </c>
      <c r="K179" s="38">
        <f t="shared" si="870"/>
        <v>-0.35999999999999943</v>
      </c>
      <c r="L179" s="39">
        <f t="shared" si="870"/>
        <v>-0.29999999999999716</v>
      </c>
      <c r="M179" s="38"/>
      <c r="N179" s="40"/>
      <c r="O179" s="40"/>
      <c r="P179" s="40"/>
      <c r="Q179" s="40"/>
      <c r="R179" s="40"/>
      <c r="S179" s="40">
        <f t="shared" ref="S179:T179" si="871">(B178+B179)/2</f>
        <v>63.54</v>
      </c>
      <c r="T179" s="40">
        <f t="shared" si="871"/>
        <v>57.379999999999995</v>
      </c>
      <c r="U179" s="40">
        <f t="shared" si="6"/>
        <v>46.760000000000005</v>
      </c>
      <c r="V179" s="40">
        <f t="shared" ref="V179:W179" si="872">(E178+E179)/2</f>
        <v>33.06</v>
      </c>
      <c r="W179" s="40">
        <f t="shared" si="872"/>
        <v>21.93</v>
      </c>
      <c r="X179" s="41">
        <f t="shared" ref="X179:AB179" si="873">(SUM(B176:B179))/4</f>
        <v>63.58</v>
      </c>
      <c r="Y179" s="40">
        <f t="shared" si="873"/>
        <v>57.36</v>
      </c>
      <c r="Z179" s="40">
        <f t="shared" si="873"/>
        <v>46.9375</v>
      </c>
      <c r="AA179" s="40">
        <f t="shared" si="873"/>
        <v>33.332499999999996</v>
      </c>
      <c r="AB179" s="47">
        <f t="shared" si="873"/>
        <v>22.342500000000001</v>
      </c>
      <c r="AC179" s="42">
        <f t="shared" ref="AC179:AF179" si="874">(B179+C179)/2</f>
        <v>60.22</v>
      </c>
      <c r="AD179" s="42">
        <f t="shared" si="874"/>
        <v>51.945</v>
      </c>
      <c r="AE179" s="42">
        <f t="shared" si="874"/>
        <v>39.790000000000006</v>
      </c>
      <c r="AF179" s="42">
        <f t="shared" si="874"/>
        <v>27.330000000000002</v>
      </c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8"/>
      <c r="BK179" s="8"/>
      <c r="BL179" s="8"/>
      <c r="BM179" s="8"/>
    </row>
    <row r="180" spans="1:65" ht="15.75" hidden="1" customHeight="1" x14ac:dyDescent="0.45">
      <c r="A180" s="50">
        <f t="shared" si="3"/>
        <v>42139</v>
      </c>
      <c r="B180" s="51">
        <v>63.12</v>
      </c>
      <c r="C180" s="51">
        <v>56.68</v>
      </c>
      <c r="D180" s="51">
        <v>46.23</v>
      </c>
      <c r="E180" s="51">
        <v>32.43</v>
      </c>
      <c r="F180" s="51">
        <v>21.64</v>
      </c>
      <c r="G180" s="52">
        <v>59.66</v>
      </c>
      <c r="H180" s="37">
        <f t="shared" ref="H180:L180" si="875">B180-B179</f>
        <v>-0.13000000000000256</v>
      </c>
      <c r="I180" s="38">
        <f t="shared" si="875"/>
        <v>-0.50999999999999801</v>
      </c>
      <c r="J180" s="38">
        <f t="shared" si="875"/>
        <v>-0.47000000000000597</v>
      </c>
      <c r="K180" s="38">
        <f t="shared" si="875"/>
        <v>-0.45000000000000284</v>
      </c>
      <c r="L180" s="39">
        <f t="shared" si="875"/>
        <v>-0.14000000000000057</v>
      </c>
      <c r="M180" s="38"/>
      <c r="N180" s="40"/>
      <c r="O180" s="40"/>
      <c r="P180" s="40"/>
      <c r="Q180" s="40"/>
      <c r="R180" s="40"/>
      <c r="S180" s="40">
        <f t="shared" ref="S180:T180" si="876">(B179+B180)/2</f>
        <v>63.185000000000002</v>
      </c>
      <c r="T180" s="40">
        <f t="shared" si="876"/>
        <v>56.935000000000002</v>
      </c>
      <c r="U180" s="40">
        <f t="shared" si="6"/>
        <v>46.465000000000003</v>
      </c>
      <c r="V180" s="40">
        <f t="shared" ref="V180:W180" si="877">(E179+E180)/2</f>
        <v>32.655000000000001</v>
      </c>
      <c r="W180" s="40">
        <f t="shared" si="877"/>
        <v>21.71</v>
      </c>
      <c r="X180" s="41">
        <f t="shared" ref="X180:AB180" si="878">(SUM(B177:B180))/4</f>
        <v>63.454999999999998</v>
      </c>
      <c r="Y180" s="40">
        <f t="shared" si="878"/>
        <v>57.162500000000001</v>
      </c>
      <c r="Z180" s="40">
        <f t="shared" si="878"/>
        <v>46.692500000000003</v>
      </c>
      <c r="AA180" s="40">
        <f t="shared" si="878"/>
        <v>32.99</v>
      </c>
      <c r="AB180" s="47">
        <f t="shared" si="878"/>
        <v>22.074999999999999</v>
      </c>
      <c r="AC180" s="42">
        <f t="shared" ref="AC180:AF180" si="879">(B180+C180)/2</f>
        <v>59.9</v>
      </c>
      <c r="AD180" s="42">
        <f t="shared" si="879"/>
        <v>51.454999999999998</v>
      </c>
      <c r="AE180" s="42">
        <f t="shared" si="879"/>
        <v>39.33</v>
      </c>
      <c r="AF180" s="42">
        <f t="shared" si="879"/>
        <v>27.035</v>
      </c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8"/>
      <c r="BK180" s="8"/>
      <c r="BL180" s="8"/>
      <c r="BM180" s="8"/>
    </row>
    <row r="181" spans="1:65" ht="15.75" hidden="1" customHeight="1" x14ac:dyDescent="0.45">
      <c r="A181" s="50">
        <f t="shared" si="3"/>
        <v>42146</v>
      </c>
      <c r="B181" s="51">
        <v>62.74</v>
      </c>
      <c r="C181" s="51">
        <v>56.28</v>
      </c>
      <c r="D181" s="51">
        <v>44.76</v>
      </c>
      <c r="E181" s="51">
        <v>32.1</v>
      </c>
      <c r="F181" s="51">
        <v>21.49</v>
      </c>
      <c r="G181" s="52">
        <v>57.04</v>
      </c>
      <c r="H181" s="37">
        <f t="shared" ref="H181:L181" si="880">B181-B180</f>
        <v>-0.37999999999999545</v>
      </c>
      <c r="I181" s="38">
        <f t="shared" si="880"/>
        <v>-0.39999999999999858</v>
      </c>
      <c r="J181" s="38">
        <f t="shared" si="880"/>
        <v>-1.4699999999999989</v>
      </c>
      <c r="K181" s="38">
        <f t="shared" si="880"/>
        <v>-0.32999999999999829</v>
      </c>
      <c r="L181" s="39">
        <f t="shared" si="880"/>
        <v>-0.15000000000000213</v>
      </c>
      <c r="M181" s="38"/>
      <c r="N181" s="40"/>
      <c r="O181" s="40"/>
      <c r="P181" s="40"/>
      <c r="Q181" s="40"/>
      <c r="R181" s="40"/>
      <c r="S181" s="40">
        <f t="shared" ref="S181:T181" si="881">(B180+B181)/2</f>
        <v>62.93</v>
      </c>
      <c r="T181" s="40">
        <f t="shared" si="881"/>
        <v>56.480000000000004</v>
      </c>
      <c r="U181" s="40">
        <f t="shared" si="6"/>
        <v>45.494999999999997</v>
      </c>
      <c r="V181" s="40">
        <f t="shared" ref="V181:W181" si="882">(E180+E181)/2</f>
        <v>32.265000000000001</v>
      </c>
      <c r="W181" s="40">
        <f t="shared" si="882"/>
        <v>21.564999999999998</v>
      </c>
      <c r="X181" s="41">
        <f t="shared" ref="X181:AB181" si="883">(SUM(B178:B181))/4</f>
        <v>63.234999999999999</v>
      </c>
      <c r="Y181" s="40">
        <f t="shared" si="883"/>
        <v>56.93</v>
      </c>
      <c r="Z181" s="40">
        <f t="shared" si="883"/>
        <v>46.127499999999998</v>
      </c>
      <c r="AA181" s="40">
        <f t="shared" si="883"/>
        <v>32.662500000000001</v>
      </c>
      <c r="AB181" s="47">
        <f t="shared" si="883"/>
        <v>21.747499999999999</v>
      </c>
      <c r="AC181" s="42">
        <f t="shared" ref="AC181:AF181" si="884">(B181+C181)/2</f>
        <v>59.510000000000005</v>
      </c>
      <c r="AD181" s="42">
        <f t="shared" si="884"/>
        <v>50.519999999999996</v>
      </c>
      <c r="AE181" s="42">
        <f t="shared" si="884"/>
        <v>38.43</v>
      </c>
      <c r="AF181" s="42">
        <f t="shared" si="884"/>
        <v>26.795000000000002</v>
      </c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8"/>
      <c r="BK181" s="8"/>
      <c r="BL181" s="8"/>
      <c r="BM181" s="8"/>
    </row>
    <row r="182" spans="1:65" ht="15.75" hidden="1" customHeight="1" x14ac:dyDescent="0.45">
      <c r="A182" s="50">
        <f t="shared" si="3"/>
        <v>42153</v>
      </c>
      <c r="B182" s="51">
        <v>62.69</v>
      </c>
      <c r="C182" s="51">
        <v>56.27</v>
      </c>
      <c r="D182" s="51">
        <v>43.96</v>
      </c>
      <c r="E182" s="51">
        <v>31.74</v>
      </c>
      <c r="F182" s="51">
        <v>21.55</v>
      </c>
      <c r="G182" s="52">
        <v>57.39</v>
      </c>
      <c r="H182" s="37">
        <f t="shared" ref="H182:L182" si="885">B182-B181</f>
        <v>-5.0000000000004263E-2</v>
      </c>
      <c r="I182" s="38">
        <f t="shared" si="885"/>
        <v>-9.9999999999980105E-3</v>
      </c>
      <c r="J182" s="38">
        <f t="shared" si="885"/>
        <v>-0.79999999999999716</v>
      </c>
      <c r="K182" s="38">
        <f t="shared" si="885"/>
        <v>-0.36000000000000298</v>
      </c>
      <c r="L182" s="39">
        <f t="shared" si="885"/>
        <v>6.0000000000002274E-2</v>
      </c>
      <c r="M182" s="38"/>
      <c r="N182" s="40"/>
      <c r="O182" s="40"/>
      <c r="P182" s="40"/>
      <c r="Q182" s="40"/>
      <c r="R182" s="40"/>
      <c r="S182" s="40">
        <f t="shared" ref="S182:T182" si="886">(B181+B182)/2</f>
        <v>62.715000000000003</v>
      </c>
      <c r="T182" s="40">
        <f t="shared" si="886"/>
        <v>56.275000000000006</v>
      </c>
      <c r="U182" s="40">
        <f t="shared" si="6"/>
        <v>44.36</v>
      </c>
      <c r="V182" s="40">
        <f t="shared" ref="V182:W182" si="887">(E181+E182)/2</f>
        <v>31.92</v>
      </c>
      <c r="W182" s="40">
        <f t="shared" si="887"/>
        <v>21.52</v>
      </c>
      <c r="X182" s="41">
        <f t="shared" ref="X182:AB182" si="888">(SUM(B179:B182))/4</f>
        <v>62.95</v>
      </c>
      <c r="Y182" s="40">
        <f t="shared" si="888"/>
        <v>56.605000000000004</v>
      </c>
      <c r="Z182" s="40">
        <f t="shared" si="888"/>
        <v>45.412500000000001</v>
      </c>
      <c r="AA182" s="40">
        <f t="shared" si="888"/>
        <v>32.287500000000001</v>
      </c>
      <c r="AB182" s="47">
        <f t="shared" si="888"/>
        <v>21.614999999999998</v>
      </c>
      <c r="AC182" s="42">
        <f t="shared" ref="AC182:AF182" si="889">(B182+C182)/2</f>
        <v>59.480000000000004</v>
      </c>
      <c r="AD182" s="42">
        <f t="shared" si="889"/>
        <v>50.115000000000002</v>
      </c>
      <c r="AE182" s="42">
        <f t="shared" si="889"/>
        <v>37.85</v>
      </c>
      <c r="AF182" s="42">
        <f t="shared" si="889"/>
        <v>26.645</v>
      </c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8"/>
      <c r="BK182" s="8"/>
      <c r="BL182" s="8"/>
      <c r="BM182" s="8"/>
    </row>
    <row r="183" spans="1:65" ht="15.75" hidden="1" customHeight="1" x14ac:dyDescent="0.45">
      <c r="A183" s="50">
        <f t="shared" si="3"/>
        <v>42160</v>
      </c>
      <c r="B183" s="51">
        <v>62.38</v>
      </c>
      <c r="C183" s="51">
        <v>55.63</v>
      </c>
      <c r="D183" s="51">
        <v>44.03</v>
      </c>
      <c r="E183" s="51">
        <v>31.41</v>
      </c>
      <c r="F183" s="51">
        <v>21.58</v>
      </c>
      <c r="G183" s="52">
        <v>58.11</v>
      </c>
      <c r="H183" s="37">
        <f t="shared" ref="H183:L183" si="890">B183-B182</f>
        <v>-0.30999999999999517</v>
      </c>
      <c r="I183" s="38">
        <f t="shared" si="890"/>
        <v>-0.64000000000000057</v>
      </c>
      <c r="J183" s="38">
        <f t="shared" si="890"/>
        <v>7.0000000000000284E-2</v>
      </c>
      <c r="K183" s="38">
        <f t="shared" si="890"/>
        <v>-0.32999999999999829</v>
      </c>
      <c r="L183" s="39">
        <f t="shared" si="890"/>
        <v>2.9999999999997584E-2</v>
      </c>
      <c r="M183" s="38"/>
      <c r="N183" s="40"/>
      <c r="O183" s="40"/>
      <c r="P183" s="40"/>
      <c r="Q183" s="40"/>
      <c r="R183" s="40"/>
      <c r="S183" s="40">
        <f t="shared" ref="S183:T183" si="891">(B182+B183)/2</f>
        <v>62.534999999999997</v>
      </c>
      <c r="T183" s="40">
        <f t="shared" si="891"/>
        <v>55.95</v>
      </c>
      <c r="U183" s="40">
        <f t="shared" si="6"/>
        <v>43.995000000000005</v>
      </c>
      <c r="V183" s="40">
        <f t="shared" ref="V183:W183" si="892">(E182+E183)/2</f>
        <v>31.574999999999999</v>
      </c>
      <c r="W183" s="40">
        <f t="shared" si="892"/>
        <v>21.564999999999998</v>
      </c>
      <c r="X183" s="41">
        <f t="shared" ref="X183:AB183" si="893">(SUM(B180:B183))/4</f>
        <v>62.732500000000002</v>
      </c>
      <c r="Y183" s="40">
        <f t="shared" si="893"/>
        <v>56.215000000000003</v>
      </c>
      <c r="Z183" s="40">
        <f t="shared" si="893"/>
        <v>44.744999999999997</v>
      </c>
      <c r="AA183" s="40">
        <f t="shared" si="893"/>
        <v>31.919999999999998</v>
      </c>
      <c r="AB183" s="47">
        <f t="shared" si="893"/>
        <v>21.564999999999998</v>
      </c>
      <c r="AC183" s="42">
        <f t="shared" ref="AC183:AF183" si="894">(B183+C183)/2</f>
        <v>59.005000000000003</v>
      </c>
      <c r="AD183" s="42">
        <f t="shared" si="894"/>
        <v>49.83</v>
      </c>
      <c r="AE183" s="42">
        <f t="shared" si="894"/>
        <v>37.72</v>
      </c>
      <c r="AF183" s="42">
        <f t="shared" si="894"/>
        <v>26.494999999999997</v>
      </c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8"/>
      <c r="BK183" s="8"/>
      <c r="BL183" s="8"/>
      <c r="BM183" s="8"/>
    </row>
    <row r="184" spans="1:65" ht="15.75" hidden="1" customHeight="1" x14ac:dyDescent="0.45">
      <c r="A184" s="50">
        <f t="shared" si="3"/>
        <v>42167</v>
      </c>
      <c r="B184" s="51">
        <v>62.38</v>
      </c>
      <c r="C184" s="51">
        <v>55.62</v>
      </c>
      <c r="D184" s="51">
        <v>43.46</v>
      </c>
      <c r="E184" s="51">
        <v>31.19</v>
      </c>
      <c r="F184" s="51">
        <v>21.2</v>
      </c>
      <c r="G184" s="52">
        <v>59.38</v>
      </c>
      <c r="H184" s="37">
        <f t="shared" ref="H184:L184" si="895">B184-B183</f>
        <v>0</v>
      </c>
      <c r="I184" s="38">
        <f t="shared" si="895"/>
        <v>-1.0000000000005116E-2</v>
      </c>
      <c r="J184" s="38">
        <f t="shared" si="895"/>
        <v>-0.57000000000000028</v>
      </c>
      <c r="K184" s="38">
        <f t="shared" si="895"/>
        <v>-0.21999999999999886</v>
      </c>
      <c r="L184" s="39">
        <f t="shared" si="895"/>
        <v>-0.37999999999999901</v>
      </c>
      <c r="M184" s="38"/>
      <c r="N184" s="40"/>
      <c r="O184" s="40"/>
      <c r="P184" s="40"/>
      <c r="Q184" s="40"/>
      <c r="R184" s="40"/>
      <c r="S184" s="40">
        <f t="shared" ref="S184:T184" si="896">(B183+B184)/2</f>
        <v>62.38</v>
      </c>
      <c r="T184" s="40">
        <f t="shared" si="896"/>
        <v>55.625</v>
      </c>
      <c r="U184" s="40">
        <f t="shared" si="6"/>
        <v>43.745000000000005</v>
      </c>
      <c r="V184" s="40">
        <f t="shared" ref="V184:W184" si="897">(E183+E184)/2</f>
        <v>31.3</v>
      </c>
      <c r="W184" s="40">
        <f t="shared" si="897"/>
        <v>21.39</v>
      </c>
      <c r="X184" s="41">
        <f t="shared" ref="X184:AB184" si="898">(SUM(B181:B184))/4</f>
        <v>62.547499999999999</v>
      </c>
      <c r="Y184" s="40">
        <f t="shared" si="898"/>
        <v>55.95</v>
      </c>
      <c r="Z184" s="40">
        <f t="shared" si="898"/>
        <v>44.052500000000002</v>
      </c>
      <c r="AA184" s="40">
        <f t="shared" si="898"/>
        <v>31.61</v>
      </c>
      <c r="AB184" s="47">
        <f t="shared" si="898"/>
        <v>21.455000000000002</v>
      </c>
      <c r="AC184" s="42">
        <f t="shared" ref="AC184:AF184" si="899">(B184+C184)/2</f>
        <v>59</v>
      </c>
      <c r="AD184" s="42">
        <f t="shared" si="899"/>
        <v>49.54</v>
      </c>
      <c r="AE184" s="42">
        <f t="shared" si="899"/>
        <v>37.325000000000003</v>
      </c>
      <c r="AF184" s="42">
        <f t="shared" si="899"/>
        <v>26.195</v>
      </c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8"/>
      <c r="BK184" s="8"/>
      <c r="BL184" s="8"/>
      <c r="BM184" s="8"/>
    </row>
    <row r="185" spans="1:65" ht="15.75" hidden="1" customHeight="1" x14ac:dyDescent="0.45">
      <c r="A185" s="50">
        <f t="shared" si="3"/>
        <v>42174</v>
      </c>
      <c r="B185" s="51">
        <v>61.92</v>
      </c>
      <c r="C185" s="51">
        <v>55.25</v>
      </c>
      <c r="D185" s="51">
        <v>42.91</v>
      </c>
      <c r="E185" s="51">
        <v>30.41</v>
      </c>
      <c r="F185" s="51">
        <v>20.59</v>
      </c>
      <c r="G185" s="52">
        <v>61.24</v>
      </c>
      <c r="H185" s="37">
        <f t="shared" ref="H185:L185" si="900">B185-B184</f>
        <v>-0.46000000000000085</v>
      </c>
      <c r="I185" s="38">
        <f t="shared" si="900"/>
        <v>-0.36999999999999744</v>
      </c>
      <c r="J185" s="38">
        <f t="shared" si="900"/>
        <v>-0.55000000000000426</v>
      </c>
      <c r="K185" s="38">
        <f t="shared" si="900"/>
        <v>-0.78000000000000114</v>
      </c>
      <c r="L185" s="39">
        <f t="shared" si="900"/>
        <v>-0.60999999999999943</v>
      </c>
      <c r="M185" s="38"/>
      <c r="N185" s="40"/>
      <c r="O185" s="40"/>
      <c r="P185" s="40"/>
      <c r="Q185" s="40"/>
      <c r="R185" s="40"/>
      <c r="S185" s="40">
        <f t="shared" ref="S185:T185" si="901">(B184+B185)/2</f>
        <v>62.150000000000006</v>
      </c>
      <c r="T185" s="40">
        <f t="shared" si="901"/>
        <v>55.435000000000002</v>
      </c>
      <c r="U185" s="40">
        <f t="shared" si="6"/>
        <v>43.185000000000002</v>
      </c>
      <c r="V185" s="40">
        <f t="shared" ref="V185:W185" si="902">(E184+E185)/2</f>
        <v>30.8</v>
      </c>
      <c r="W185" s="40">
        <f t="shared" si="902"/>
        <v>20.895</v>
      </c>
      <c r="X185" s="41">
        <f t="shared" ref="X185:AB185" si="903">(SUM(B182:B185))/4</f>
        <v>62.342500000000001</v>
      </c>
      <c r="Y185" s="40">
        <f t="shared" si="903"/>
        <v>55.692500000000003</v>
      </c>
      <c r="Z185" s="40">
        <f t="shared" si="903"/>
        <v>43.59</v>
      </c>
      <c r="AA185" s="40">
        <f t="shared" si="903"/>
        <v>31.1875</v>
      </c>
      <c r="AB185" s="47">
        <f t="shared" si="903"/>
        <v>21.23</v>
      </c>
      <c r="AC185" s="42">
        <f t="shared" ref="AC185:AF185" si="904">(B185+C185)/2</f>
        <v>58.585000000000001</v>
      </c>
      <c r="AD185" s="42">
        <f t="shared" si="904"/>
        <v>49.08</v>
      </c>
      <c r="AE185" s="42">
        <f t="shared" si="904"/>
        <v>36.659999999999997</v>
      </c>
      <c r="AF185" s="42">
        <f t="shared" si="904"/>
        <v>25.5</v>
      </c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8"/>
      <c r="BK185" s="8"/>
      <c r="BL185" s="8"/>
      <c r="BM185" s="8"/>
    </row>
    <row r="186" spans="1:65" ht="15.75" hidden="1" customHeight="1" x14ac:dyDescent="0.45">
      <c r="A186" s="50">
        <f t="shared" si="3"/>
        <v>42181</v>
      </c>
      <c r="B186" s="51">
        <v>61.86</v>
      </c>
      <c r="C186" s="51">
        <v>55.01</v>
      </c>
      <c r="D186" s="51">
        <v>42.93</v>
      </c>
      <c r="E186" s="51">
        <v>30.3</v>
      </c>
      <c r="F186" s="51">
        <v>20.97</v>
      </c>
      <c r="G186" s="52">
        <v>61.66</v>
      </c>
      <c r="H186" s="37">
        <f t="shared" ref="H186:L186" si="905">B186-B185</f>
        <v>-6.0000000000002274E-2</v>
      </c>
      <c r="I186" s="38">
        <f t="shared" si="905"/>
        <v>-0.24000000000000199</v>
      </c>
      <c r="J186" s="38">
        <f t="shared" si="905"/>
        <v>2.0000000000003126E-2</v>
      </c>
      <c r="K186" s="38">
        <f t="shared" si="905"/>
        <v>-0.10999999999999943</v>
      </c>
      <c r="L186" s="39">
        <f t="shared" si="905"/>
        <v>0.37999999999999901</v>
      </c>
      <c r="M186" s="38"/>
      <c r="N186" s="40"/>
      <c r="O186" s="40"/>
      <c r="P186" s="40"/>
      <c r="Q186" s="40"/>
      <c r="R186" s="40"/>
      <c r="S186" s="40">
        <f t="shared" ref="S186:T186" si="906">(B185+B186)/2</f>
        <v>61.89</v>
      </c>
      <c r="T186" s="40">
        <f t="shared" si="906"/>
        <v>55.129999999999995</v>
      </c>
      <c r="U186" s="40">
        <f t="shared" si="6"/>
        <v>42.92</v>
      </c>
      <c r="V186" s="40">
        <f t="shared" ref="V186:W186" si="907">(E185+E186)/2</f>
        <v>30.355</v>
      </c>
      <c r="W186" s="40">
        <f t="shared" si="907"/>
        <v>20.78</v>
      </c>
      <c r="X186" s="41">
        <f t="shared" ref="X186:AB186" si="908">(SUM(B183:B186))/4</f>
        <v>62.135000000000005</v>
      </c>
      <c r="Y186" s="40">
        <f t="shared" si="908"/>
        <v>55.377499999999998</v>
      </c>
      <c r="Z186" s="40">
        <f t="shared" si="908"/>
        <v>43.332500000000003</v>
      </c>
      <c r="AA186" s="40">
        <f t="shared" si="908"/>
        <v>30.827500000000001</v>
      </c>
      <c r="AB186" s="47">
        <f t="shared" si="908"/>
        <v>21.085000000000001</v>
      </c>
      <c r="AC186" s="42">
        <f t="shared" ref="AC186:AF186" si="909">(B186+C186)/2</f>
        <v>58.435000000000002</v>
      </c>
      <c r="AD186" s="42">
        <f t="shared" si="909"/>
        <v>48.97</v>
      </c>
      <c r="AE186" s="42">
        <f t="shared" si="909"/>
        <v>36.615000000000002</v>
      </c>
      <c r="AF186" s="42">
        <f t="shared" si="909"/>
        <v>25.634999999999998</v>
      </c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8"/>
      <c r="BK186" s="8"/>
      <c r="BL186" s="8"/>
      <c r="BM186" s="8"/>
    </row>
    <row r="187" spans="1:65" ht="15.75" hidden="1" customHeight="1" x14ac:dyDescent="0.45">
      <c r="A187" s="50">
        <f t="shared" si="3"/>
        <v>42188</v>
      </c>
      <c r="B187" s="51">
        <v>61.68</v>
      </c>
      <c r="C187" s="51">
        <v>54.48</v>
      </c>
      <c r="D187" s="51">
        <v>42.57</v>
      </c>
      <c r="E187" s="51">
        <v>29.93</v>
      </c>
      <c r="F187" s="51">
        <v>20.83</v>
      </c>
      <c r="G187" s="52">
        <v>60.91</v>
      </c>
      <c r="H187" s="37">
        <f t="shared" ref="H187:L187" si="910">B187-B186</f>
        <v>-0.17999999999999972</v>
      </c>
      <c r="I187" s="38">
        <f t="shared" si="910"/>
        <v>-0.53000000000000114</v>
      </c>
      <c r="J187" s="38">
        <f t="shared" si="910"/>
        <v>-0.35999999999999943</v>
      </c>
      <c r="K187" s="38">
        <f t="shared" si="910"/>
        <v>-0.37000000000000099</v>
      </c>
      <c r="L187" s="39">
        <f t="shared" si="910"/>
        <v>-0.14000000000000057</v>
      </c>
      <c r="M187" s="38"/>
      <c r="N187" s="40"/>
      <c r="O187" s="40"/>
      <c r="P187" s="40"/>
      <c r="Q187" s="40"/>
      <c r="R187" s="40"/>
      <c r="S187" s="40">
        <f t="shared" ref="S187:T187" si="911">(B186+B187)/2</f>
        <v>61.769999999999996</v>
      </c>
      <c r="T187" s="40">
        <f t="shared" si="911"/>
        <v>54.744999999999997</v>
      </c>
      <c r="U187" s="40">
        <f t="shared" si="6"/>
        <v>42.75</v>
      </c>
      <c r="V187" s="40">
        <f t="shared" ref="V187:W187" si="912">(E186+E187)/2</f>
        <v>30.115000000000002</v>
      </c>
      <c r="W187" s="40">
        <f t="shared" si="912"/>
        <v>20.9</v>
      </c>
      <c r="X187" s="41">
        <f t="shared" ref="X187:AB187" si="913">(SUM(B184:B187))/4</f>
        <v>61.960000000000008</v>
      </c>
      <c r="Y187" s="40">
        <f t="shared" si="913"/>
        <v>55.089999999999996</v>
      </c>
      <c r="Z187" s="40">
        <f t="shared" si="913"/>
        <v>42.967500000000001</v>
      </c>
      <c r="AA187" s="40">
        <f t="shared" si="913"/>
        <v>30.457500000000003</v>
      </c>
      <c r="AB187" s="47">
        <f t="shared" si="913"/>
        <v>20.897500000000001</v>
      </c>
      <c r="AC187" s="42">
        <f t="shared" ref="AC187:AF187" si="914">(B187+C187)/2</f>
        <v>58.08</v>
      </c>
      <c r="AD187" s="42">
        <f t="shared" si="914"/>
        <v>48.524999999999999</v>
      </c>
      <c r="AE187" s="42">
        <f t="shared" si="914"/>
        <v>36.25</v>
      </c>
      <c r="AF187" s="42">
        <f t="shared" si="914"/>
        <v>25.38</v>
      </c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8"/>
      <c r="BK187" s="8"/>
      <c r="BL187" s="8"/>
      <c r="BM187" s="8"/>
    </row>
    <row r="188" spans="1:65" ht="15.75" hidden="1" customHeight="1" x14ac:dyDescent="0.45">
      <c r="A188" s="50">
        <f t="shared" si="3"/>
        <v>42195</v>
      </c>
      <c r="B188" s="51">
        <v>61.32</v>
      </c>
      <c r="C188" s="51">
        <v>53.76</v>
      </c>
      <c r="D188" s="51">
        <v>41.95</v>
      </c>
      <c r="E188" s="51">
        <v>29.48</v>
      </c>
      <c r="F188" s="51">
        <v>20.440000000000001</v>
      </c>
      <c r="G188" s="52">
        <v>60.08</v>
      </c>
      <c r="H188" s="37">
        <f t="shared" ref="H188:L188" si="915">B188-B187</f>
        <v>-0.35999999999999943</v>
      </c>
      <c r="I188" s="38">
        <f t="shared" si="915"/>
        <v>-0.71999999999999886</v>
      </c>
      <c r="J188" s="38">
        <f t="shared" si="915"/>
        <v>-0.61999999999999744</v>
      </c>
      <c r="K188" s="38">
        <f t="shared" si="915"/>
        <v>-0.44999999999999929</v>
      </c>
      <c r="L188" s="39">
        <f t="shared" si="915"/>
        <v>-0.38999999999999702</v>
      </c>
      <c r="M188" s="38"/>
      <c r="N188" s="40"/>
      <c r="O188" s="40"/>
      <c r="P188" s="40"/>
      <c r="Q188" s="40"/>
      <c r="R188" s="40"/>
      <c r="S188" s="40">
        <f t="shared" ref="S188:T188" si="916">(B187+B188)/2</f>
        <v>61.5</v>
      </c>
      <c r="T188" s="40">
        <f t="shared" si="916"/>
        <v>54.12</v>
      </c>
      <c r="U188" s="40">
        <f t="shared" si="6"/>
        <v>42.260000000000005</v>
      </c>
      <c r="V188" s="40">
        <f t="shared" ref="V188:W188" si="917">(E187+E188)/2</f>
        <v>29.704999999999998</v>
      </c>
      <c r="W188" s="40">
        <f t="shared" si="917"/>
        <v>20.634999999999998</v>
      </c>
      <c r="X188" s="41">
        <f t="shared" ref="X188:AB188" si="918">(SUM(B185:B188))/4</f>
        <v>61.695</v>
      </c>
      <c r="Y188" s="40">
        <f t="shared" si="918"/>
        <v>54.624999999999993</v>
      </c>
      <c r="Z188" s="40">
        <f t="shared" si="918"/>
        <v>42.59</v>
      </c>
      <c r="AA188" s="40">
        <f t="shared" si="918"/>
        <v>30.03</v>
      </c>
      <c r="AB188" s="47">
        <f t="shared" si="918"/>
        <v>20.7075</v>
      </c>
      <c r="AC188" s="42">
        <f t="shared" ref="AC188:AF188" si="919">(B188+C188)/2</f>
        <v>57.54</v>
      </c>
      <c r="AD188" s="42">
        <f t="shared" si="919"/>
        <v>47.855000000000004</v>
      </c>
      <c r="AE188" s="42">
        <f t="shared" si="919"/>
        <v>35.715000000000003</v>
      </c>
      <c r="AF188" s="42">
        <f t="shared" si="919"/>
        <v>24.96</v>
      </c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8"/>
      <c r="BK188" s="8"/>
      <c r="BL188" s="8"/>
      <c r="BM188" s="8"/>
    </row>
    <row r="189" spans="1:65" ht="15.75" hidden="1" customHeight="1" x14ac:dyDescent="0.45">
      <c r="A189" s="50">
        <f t="shared" si="3"/>
        <v>42202</v>
      </c>
      <c r="B189" s="51">
        <v>61.32</v>
      </c>
      <c r="C189" s="51">
        <v>53.44</v>
      </c>
      <c r="D189" s="51">
        <v>41.66</v>
      </c>
      <c r="E189" s="51">
        <v>29.41</v>
      </c>
      <c r="F189" s="51">
        <v>20.61</v>
      </c>
      <c r="G189" s="52">
        <v>60.52</v>
      </c>
      <c r="H189" s="37">
        <f t="shared" ref="H189:L189" si="920">B189-B188</f>
        <v>0</v>
      </c>
      <c r="I189" s="38">
        <f t="shared" si="920"/>
        <v>-0.32000000000000028</v>
      </c>
      <c r="J189" s="38">
        <f t="shared" si="920"/>
        <v>-0.29000000000000625</v>
      </c>
      <c r="K189" s="38">
        <f t="shared" si="920"/>
        <v>-7.0000000000000284E-2</v>
      </c>
      <c r="L189" s="39">
        <f t="shared" si="920"/>
        <v>0.16999999999999815</v>
      </c>
      <c r="M189" s="38"/>
      <c r="N189" s="40"/>
      <c r="O189" s="40"/>
      <c r="P189" s="40"/>
      <c r="Q189" s="40"/>
      <c r="R189" s="40"/>
      <c r="S189" s="40">
        <f t="shared" ref="S189:T189" si="921">(B188+B189)/2</f>
        <v>61.32</v>
      </c>
      <c r="T189" s="40">
        <f t="shared" si="921"/>
        <v>53.599999999999994</v>
      </c>
      <c r="U189" s="40">
        <f t="shared" si="6"/>
        <v>41.805</v>
      </c>
      <c r="V189" s="40">
        <f t="shared" ref="V189:W189" si="922">(E188+E189)/2</f>
        <v>29.445</v>
      </c>
      <c r="W189" s="40">
        <f t="shared" si="922"/>
        <v>20.524999999999999</v>
      </c>
      <c r="X189" s="41">
        <f t="shared" ref="X189:AB189" si="923">(SUM(B186:B189))/4</f>
        <v>61.544999999999995</v>
      </c>
      <c r="Y189" s="40">
        <f t="shared" si="923"/>
        <v>54.172499999999999</v>
      </c>
      <c r="Z189" s="40">
        <f t="shared" si="923"/>
        <v>42.277500000000003</v>
      </c>
      <c r="AA189" s="40">
        <f t="shared" si="923"/>
        <v>29.78</v>
      </c>
      <c r="AB189" s="47">
        <f t="shared" si="923"/>
        <v>20.712499999999999</v>
      </c>
      <c r="AC189" s="42">
        <f t="shared" ref="AC189:AF189" si="924">(B189+C189)/2</f>
        <v>57.379999999999995</v>
      </c>
      <c r="AD189" s="42">
        <f t="shared" si="924"/>
        <v>47.55</v>
      </c>
      <c r="AE189" s="42">
        <f t="shared" si="924"/>
        <v>35.534999999999997</v>
      </c>
      <c r="AF189" s="42">
        <f t="shared" si="924"/>
        <v>25.009999999999998</v>
      </c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8"/>
      <c r="BK189" s="8"/>
      <c r="BL189" s="8"/>
      <c r="BM189" s="8"/>
    </row>
    <row r="190" spans="1:65" ht="15.75" hidden="1" customHeight="1" x14ac:dyDescent="0.45">
      <c r="A190" s="50">
        <f t="shared" si="3"/>
        <v>42209</v>
      </c>
      <c r="B190" s="51">
        <v>61.1</v>
      </c>
      <c r="C190" s="51">
        <v>52.92</v>
      </c>
      <c r="D190" s="51">
        <v>41.46</v>
      </c>
      <c r="E190" s="51">
        <v>29.23</v>
      </c>
      <c r="F190" s="51">
        <v>20.149999999999999</v>
      </c>
      <c r="G190" s="52">
        <v>60.02</v>
      </c>
      <c r="H190" s="37">
        <f t="shared" ref="H190:L190" si="925">B190-B189</f>
        <v>-0.21999999999999886</v>
      </c>
      <c r="I190" s="38">
        <f t="shared" si="925"/>
        <v>-0.51999999999999602</v>
      </c>
      <c r="J190" s="38">
        <f t="shared" si="925"/>
        <v>-0.19999999999999574</v>
      </c>
      <c r="K190" s="38">
        <f t="shared" si="925"/>
        <v>-0.17999999999999972</v>
      </c>
      <c r="L190" s="39">
        <f t="shared" si="925"/>
        <v>-0.46000000000000085</v>
      </c>
      <c r="M190" s="38"/>
      <c r="N190" s="40"/>
      <c r="O190" s="40"/>
      <c r="P190" s="40"/>
      <c r="Q190" s="40"/>
      <c r="R190" s="40"/>
      <c r="S190" s="40">
        <f t="shared" ref="S190:T190" si="926">(B189+B190)/2</f>
        <v>61.21</v>
      </c>
      <c r="T190" s="40">
        <f t="shared" si="926"/>
        <v>53.18</v>
      </c>
      <c r="U190" s="40">
        <f t="shared" si="6"/>
        <v>41.56</v>
      </c>
      <c r="V190" s="40">
        <f t="shared" ref="V190:W190" si="927">(E189+E190)/2</f>
        <v>29.32</v>
      </c>
      <c r="W190" s="40">
        <f t="shared" si="927"/>
        <v>20.38</v>
      </c>
      <c r="X190" s="41">
        <f t="shared" ref="X190:AB190" si="928">(SUM(B187:B190))/4</f>
        <v>61.354999999999997</v>
      </c>
      <c r="Y190" s="40">
        <f t="shared" si="928"/>
        <v>53.650000000000006</v>
      </c>
      <c r="Z190" s="40">
        <f t="shared" si="928"/>
        <v>41.910000000000004</v>
      </c>
      <c r="AA190" s="40">
        <f t="shared" si="928"/>
        <v>29.512499999999999</v>
      </c>
      <c r="AB190" s="47">
        <f t="shared" si="928"/>
        <v>20.5075</v>
      </c>
      <c r="AC190" s="42">
        <f t="shared" ref="AC190:AF190" si="929">(B190+C190)/2</f>
        <v>57.010000000000005</v>
      </c>
      <c r="AD190" s="42">
        <f t="shared" si="929"/>
        <v>47.19</v>
      </c>
      <c r="AE190" s="42">
        <f t="shared" si="929"/>
        <v>35.344999999999999</v>
      </c>
      <c r="AF190" s="42">
        <f t="shared" si="929"/>
        <v>24.689999999999998</v>
      </c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8"/>
      <c r="BK190" s="8"/>
      <c r="BL190" s="8"/>
      <c r="BM190" s="8"/>
    </row>
    <row r="191" spans="1:65" ht="15.75" hidden="1" customHeight="1" x14ac:dyDescent="0.45">
      <c r="A191" s="50">
        <f t="shared" si="3"/>
        <v>42216</v>
      </c>
      <c r="B191" s="51">
        <v>60.89</v>
      </c>
      <c r="C191" s="51">
        <v>53</v>
      </c>
      <c r="D191" s="51">
        <v>41.41</v>
      </c>
      <c r="E191" s="51">
        <v>29.11</v>
      </c>
      <c r="F191" s="51">
        <v>19.98</v>
      </c>
      <c r="G191" s="52">
        <v>60.2</v>
      </c>
      <c r="H191" s="37">
        <f t="shared" ref="H191:L191" si="930">B191-B190</f>
        <v>-0.21000000000000085</v>
      </c>
      <c r="I191" s="38">
        <f t="shared" si="930"/>
        <v>7.9999999999998295E-2</v>
      </c>
      <c r="J191" s="38">
        <f t="shared" si="930"/>
        <v>-5.0000000000004263E-2</v>
      </c>
      <c r="K191" s="38">
        <f t="shared" si="930"/>
        <v>-0.12000000000000099</v>
      </c>
      <c r="L191" s="39">
        <f t="shared" si="930"/>
        <v>-0.16999999999999815</v>
      </c>
      <c r="M191" s="38"/>
      <c r="N191" s="40"/>
      <c r="O191" s="40"/>
      <c r="P191" s="40"/>
      <c r="Q191" s="40"/>
      <c r="R191" s="40"/>
      <c r="S191" s="40">
        <f t="shared" ref="S191:T191" si="931">(B190+B191)/2</f>
        <v>60.995000000000005</v>
      </c>
      <c r="T191" s="40">
        <f t="shared" si="931"/>
        <v>52.96</v>
      </c>
      <c r="U191" s="40">
        <f t="shared" si="6"/>
        <v>41.435000000000002</v>
      </c>
      <c r="V191" s="40">
        <f t="shared" ref="V191:W191" si="932">(E190+E191)/2</f>
        <v>29.17</v>
      </c>
      <c r="W191" s="40">
        <f t="shared" si="932"/>
        <v>20.064999999999998</v>
      </c>
      <c r="X191" s="41">
        <f t="shared" ref="X191:AB191" si="933">(SUM(B188:B191))/4</f>
        <v>61.157499999999999</v>
      </c>
      <c r="Y191" s="40">
        <f t="shared" si="933"/>
        <v>53.28</v>
      </c>
      <c r="Z191" s="40">
        <f t="shared" si="933"/>
        <v>41.62</v>
      </c>
      <c r="AA191" s="40">
        <f t="shared" si="933"/>
        <v>29.307500000000001</v>
      </c>
      <c r="AB191" s="47">
        <f t="shared" si="933"/>
        <v>20.294999999999998</v>
      </c>
      <c r="AC191" s="42">
        <f t="shared" ref="AC191:AF191" si="934">(B191+C191)/2</f>
        <v>56.945</v>
      </c>
      <c r="AD191" s="42">
        <f t="shared" si="934"/>
        <v>47.204999999999998</v>
      </c>
      <c r="AE191" s="42">
        <f t="shared" si="934"/>
        <v>35.26</v>
      </c>
      <c r="AF191" s="42">
        <f t="shared" si="934"/>
        <v>24.545000000000002</v>
      </c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8"/>
      <c r="BK191" s="8"/>
      <c r="BL191" s="8"/>
      <c r="BM191" s="8"/>
    </row>
    <row r="192" spans="1:65" ht="15.75" hidden="1" customHeight="1" x14ac:dyDescent="0.45">
      <c r="A192" s="50">
        <f t="shared" si="3"/>
        <v>42223</v>
      </c>
      <c r="B192" s="51">
        <v>60.77</v>
      </c>
      <c r="C192" s="51">
        <v>53.11</v>
      </c>
      <c r="D192" s="51">
        <v>41.4</v>
      </c>
      <c r="E192" s="51">
        <v>29</v>
      </c>
      <c r="F192" s="51">
        <v>19.87</v>
      </c>
      <c r="G192" s="52">
        <v>59.54</v>
      </c>
      <c r="H192" s="37">
        <f t="shared" ref="H192:L192" si="935">B192-B191</f>
        <v>-0.11999999999999744</v>
      </c>
      <c r="I192" s="38">
        <f t="shared" si="935"/>
        <v>0.10999999999999943</v>
      </c>
      <c r="J192" s="38">
        <f t="shared" si="935"/>
        <v>-9.9999999999980105E-3</v>
      </c>
      <c r="K192" s="38">
        <f t="shared" si="935"/>
        <v>-0.10999999999999943</v>
      </c>
      <c r="L192" s="39">
        <f t="shared" si="935"/>
        <v>-0.10999999999999943</v>
      </c>
      <c r="M192" s="38"/>
      <c r="N192" s="40"/>
      <c r="O192" s="40"/>
      <c r="P192" s="40"/>
      <c r="Q192" s="40"/>
      <c r="R192" s="40"/>
      <c r="S192" s="40">
        <f t="shared" ref="S192:T192" si="936">(B191+B192)/2</f>
        <v>60.83</v>
      </c>
      <c r="T192" s="40">
        <f t="shared" si="936"/>
        <v>53.055</v>
      </c>
      <c r="U192" s="40">
        <f t="shared" si="6"/>
        <v>41.405000000000001</v>
      </c>
      <c r="V192" s="40">
        <f t="shared" ref="V192:W192" si="937">(E191+E192)/2</f>
        <v>29.055</v>
      </c>
      <c r="W192" s="40">
        <f t="shared" si="937"/>
        <v>19.925000000000001</v>
      </c>
      <c r="X192" s="41">
        <f t="shared" ref="X192:AB192" si="938">(SUM(B189:B192))/4</f>
        <v>61.02</v>
      </c>
      <c r="Y192" s="40">
        <f t="shared" si="938"/>
        <v>53.117500000000007</v>
      </c>
      <c r="Z192" s="40">
        <f t="shared" si="938"/>
        <v>41.482500000000002</v>
      </c>
      <c r="AA192" s="40">
        <f t="shared" si="938"/>
        <v>29.1875</v>
      </c>
      <c r="AB192" s="47">
        <f t="shared" si="938"/>
        <v>20.1525</v>
      </c>
      <c r="AC192" s="42">
        <f t="shared" ref="AC192:AF192" si="939">(B192+C192)/2</f>
        <v>56.94</v>
      </c>
      <c r="AD192" s="42">
        <f t="shared" si="939"/>
        <v>47.254999999999995</v>
      </c>
      <c r="AE192" s="42">
        <f t="shared" si="939"/>
        <v>35.200000000000003</v>
      </c>
      <c r="AF192" s="42">
        <f t="shared" si="939"/>
        <v>24.435000000000002</v>
      </c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8"/>
      <c r="BK192" s="8"/>
      <c r="BL192" s="8"/>
      <c r="BM192" s="8"/>
    </row>
    <row r="193" spans="1:65" ht="15.75" hidden="1" customHeight="1" x14ac:dyDescent="0.45">
      <c r="A193" s="50">
        <f t="shared" si="3"/>
        <v>42230</v>
      </c>
      <c r="B193" s="51">
        <v>60.7</v>
      </c>
      <c r="C193" s="51">
        <v>52.76</v>
      </c>
      <c r="D193" s="51">
        <v>41.35</v>
      </c>
      <c r="E193" s="51">
        <v>28.66</v>
      </c>
      <c r="F193" s="51">
        <v>19.73</v>
      </c>
      <c r="G193" s="52">
        <v>60</v>
      </c>
      <c r="H193" s="37">
        <f t="shared" ref="H193:L193" si="940">B193-B192</f>
        <v>-7.0000000000000284E-2</v>
      </c>
      <c r="I193" s="38">
        <f t="shared" si="940"/>
        <v>-0.35000000000000142</v>
      </c>
      <c r="J193" s="38">
        <f t="shared" si="940"/>
        <v>-4.9999999999997158E-2</v>
      </c>
      <c r="K193" s="38">
        <f t="shared" si="940"/>
        <v>-0.33999999999999986</v>
      </c>
      <c r="L193" s="39">
        <f t="shared" si="940"/>
        <v>-0.14000000000000057</v>
      </c>
      <c r="M193" s="38"/>
      <c r="N193" s="40"/>
      <c r="O193" s="40"/>
      <c r="P193" s="40"/>
      <c r="Q193" s="40"/>
      <c r="R193" s="40"/>
      <c r="S193" s="40">
        <f t="shared" ref="S193:T193" si="941">(B192+B193)/2</f>
        <v>60.734999999999999</v>
      </c>
      <c r="T193" s="40">
        <f t="shared" si="941"/>
        <v>52.935000000000002</v>
      </c>
      <c r="U193" s="40">
        <f t="shared" si="6"/>
        <v>41.375</v>
      </c>
      <c r="V193" s="40">
        <f t="shared" ref="V193:W193" si="942">(E192+E193)/2</f>
        <v>28.83</v>
      </c>
      <c r="W193" s="40">
        <f t="shared" si="942"/>
        <v>19.8</v>
      </c>
      <c r="X193" s="41">
        <f t="shared" ref="X193:AB193" si="943">(SUM(B190:B193))/4</f>
        <v>60.865000000000009</v>
      </c>
      <c r="Y193" s="40">
        <f t="shared" si="943"/>
        <v>52.947499999999998</v>
      </c>
      <c r="Z193" s="40">
        <f t="shared" si="943"/>
        <v>41.405000000000001</v>
      </c>
      <c r="AA193" s="40">
        <f t="shared" si="943"/>
        <v>29</v>
      </c>
      <c r="AB193" s="47">
        <f t="shared" si="943"/>
        <v>19.932500000000001</v>
      </c>
      <c r="AC193" s="42">
        <f t="shared" ref="AC193:AF193" si="944">(B193+C193)/2</f>
        <v>56.730000000000004</v>
      </c>
      <c r="AD193" s="42">
        <f t="shared" si="944"/>
        <v>47.055</v>
      </c>
      <c r="AE193" s="42">
        <f t="shared" si="944"/>
        <v>35.005000000000003</v>
      </c>
      <c r="AF193" s="42">
        <f t="shared" si="944"/>
        <v>24.195</v>
      </c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8"/>
      <c r="BK193" s="8"/>
      <c r="BL193" s="8"/>
      <c r="BM193" s="8"/>
    </row>
    <row r="194" spans="1:65" ht="15.75" hidden="1" customHeight="1" x14ac:dyDescent="0.45">
      <c r="A194" s="50">
        <f t="shared" si="3"/>
        <v>42237</v>
      </c>
      <c r="B194" s="51">
        <v>60.43</v>
      </c>
      <c r="C194" s="51">
        <v>52.38</v>
      </c>
      <c r="D194" s="51">
        <v>41.05</v>
      </c>
      <c r="E194" s="51">
        <v>28.36</v>
      </c>
      <c r="F194" s="51">
        <v>19.71</v>
      </c>
      <c r="G194" s="52">
        <v>57.77</v>
      </c>
      <c r="H194" s="37">
        <f t="shared" ref="H194:L194" si="945">B194-B193</f>
        <v>-0.27000000000000313</v>
      </c>
      <c r="I194" s="38">
        <f t="shared" si="945"/>
        <v>-0.37999999999999545</v>
      </c>
      <c r="J194" s="38">
        <f t="shared" si="945"/>
        <v>-0.30000000000000426</v>
      </c>
      <c r="K194" s="38">
        <f t="shared" si="945"/>
        <v>-0.30000000000000071</v>
      </c>
      <c r="L194" s="39">
        <f t="shared" si="945"/>
        <v>-1.9999999999999574E-2</v>
      </c>
      <c r="M194" s="38"/>
      <c r="N194" s="40"/>
      <c r="O194" s="40"/>
      <c r="P194" s="40"/>
      <c r="Q194" s="40"/>
      <c r="R194" s="40"/>
      <c r="S194" s="40">
        <f t="shared" ref="S194:T194" si="946">(B193+B194)/2</f>
        <v>60.564999999999998</v>
      </c>
      <c r="T194" s="40">
        <f t="shared" si="946"/>
        <v>52.57</v>
      </c>
      <c r="U194" s="40">
        <f t="shared" si="6"/>
        <v>41.2</v>
      </c>
      <c r="V194" s="40">
        <f t="shared" ref="V194:W194" si="947">(E193+E194)/2</f>
        <v>28.509999999999998</v>
      </c>
      <c r="W194" s="40">
        <f t="shared" si="947"/>
        <v>19.72</v>
      </c>
      <c r="X194" s="41">
        <f t="shared" ref="X194:AB194" si="948">(SUM(B191:B194))/4</f>
        <v>60.697500000000005</v>
      </c>
      <c r="Y194" s="40">
        <f t="shared" si="948"/>
        <v>52.8125</v>
      </c>
      <c r="Z194" s="40">
        <f t="shared" si="948"/>
        <v>41.302499999999995</v>
      </c>
      <c r="AA194" s="40">
        <f t="shared" si="948"/>
        <v>28.782499999999999</v>
      </c>
      <c r="AB194" s="47">
        <f t="shared" si="948"/>
        <v>19.822499999999998</v>
      </c>
      <c r="AC194" s="42">
        <f t="shared" ref="AC194:AF194" si="949">(B194+C194)/2</f>
        <v>56.405000000000001</v>
      </c>
      <c r="AD194" s="42">
        <f t="shared" si="949"/>
        <v>46.715000000000003</v>
      </c>
      <c r="AE194" s="42">
        <f t="shared" si="949"/>
        <v>34.704999999999998</v>
      </c>
      <c r="AF194" s="42">
        <f t="shared" si="949"/>
        <v>24.035</v>
      </c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8"/>
      <c r="BK194" s="8"/>
      <c r="BL194" s="8"/>
      <c r="BM194" s="8"/>
    </row>
    <row r="195" spans="1:65" ht="15.75" hidden="1" customHeight="1" x14ac:dyDescent="0.45">
      <c r="A195" s="50">
        <f t="shared" si="3"/>
        <v>42244</v>
      </c>
      <c r="B195" s="51">
        <v>60.47</v>
      </c>
      <c r="C195" s="51">
        <v>52.33</v>
      </c>
      <c r="D195" s="51">
        <v>40.98</v>
      </c>
      <c r="E195" s="51">
        <v>28.25</v>
      </c>
      <c r="F195" s="51">
        <v>19.73</v>
      </c>
      <c r="G195" s="52">
        <v>57.1</v>
      </c>
      <c r="H195" s="37">
        <f t="shared" ref="H195:L195" si="950">B195-B194</f>
        <v>3.9999999999999147E-2</v>
      </c>
      <c r="I195" s="38">
        <f t="shared" si="950"/>
        <v>-5.0000000000004263E-2</v>
      </c>
      <c r="J195" s="38">
        <f t="shared" si="950"/>
        <v>-7.0000000000000284E-2</v>
      </c>
      <c r="K195" s="38">
        <f t="shared" si="950"/>
        <v>-0.10999999999999943</v>
      </c>
      <c r="L195" s="39">
        <f t="shared" si="950"/>
        <v>1.9999999999999574E-2</v>
      </c>
      <c r="M195" s="38"/>
      <c r="N195" s="40"/>
      <c r="O195" s="40"/>
      <c r="P195" s="40"/>
      <c r="Q195" s="40"/>
      <c r="R195" s="40"/>
      <c r="S195" s="40">
        <f t="shared" ref="S195:T195" si="951">(B194+B195)/2</f>
        <v>60.45</v>
      </c>
      <c r="T195" s="40">
        <f t="shared" si="951"/>
        <v>52.355000000000004</v>
      </c>
      <c r="U195" s="40">
        <f t="shared" si="6"/>
        <v>41.015000000000001</v>
      </c>
      <c r="V195" s="40">
        <f t="shared" ref="V195:W195" si="952">(E194+E195)/2</f>
        <v>28.305</v>
      </c>
      <c r="W195" s="40">
        <f t="shared" si="952"/>
        <v>19.72</v>
      </c>
      <c r="X195" s="41">
        <f t="shared" ref="X195:AB195" si="953">(SUM(B192:B195))/4</f>
        <v>60.592500000000001</v>
      </c>
      <c r="Y195" s="40">
        <f t="shared" si="953"/>
        <v>52.644999999999996</v>
      </c>
      <c r="Z195" s="40">
        <f t="shared" si="953"/>
        <v>41.195</v>
      </c>
      <c r="AA195" s="40">
        <f t="shared" si="953"/>
        <v>28.567499999999999</v>
      </c>
      <c r="AB195" s="47">
        <f t="shared" si="953"/>
        <v>19.760000000000002</v>
      </c>
      <c r="AC195" s="42">
        <f t="shared" ref="AC195:AF195" si="954">(B195+C195)/2</f>
        <v>56.4</v>
      </c>
      <c r="AD195" s="42">
        <f t="shared" si="954"/>
        <v>46.655000000000001</v>
      </c>
      <c r="AE195" s="42">
        <f t="shared" si="954"/>
        <v>34.614999999999995</v>
      </c>
      <c r="AF195" s="42">
        <f t="shared" si="954"/>
        <v>23.990000000000002</v>
      </c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8"/>
      <c r="BK195" s="8"/>
      <c r="BL195" s="8"/>
      <c r="BM195" s="8"/>
    </row>
    <row r="196" spans="1:65" ht="15.75" hidden="1" customHeight="1" x14ac:dyDescent="0.45">
      <c r="A196" s="50">
        <f t="shared" si="3"/>
        <v>42251</v>
      </c>
      <c r="B196" s="51">
        <v>60.97</v>
      </c>
      <c r="C196" s="51">
        <v>51.95</v>
      </c>
      <c r="D196" s="51">
        <v>40.97</v>
      </c>
      <c r="E196" s="51">
        <v>28.12</v>
      </c>
      <c r="F196" s="51">
        <v>19.62</v>
      </c>
      <c r="G196" s="52">
        <v>59.48</v>
      </c>
      <c r="H196" s="37">
        <f t="shared" ref="H196:L196" si="955">B196-B195</f>
        <v>0.5</v>
      </c>
      <c r="I196" s="38">
        <f t="shared" si="955"/>
        <v>-0.37999999999999545</v>
      </c>
      <c r="J196" s="38">
        <f t="shared" si="955"/>
        <v>-9.9999999999980105E-3</v>
      </c>
      <c r="K196" s="38">
        <f t="shared" si="955"/>
        <v>-0.12999999999999901</v>
      </c>
      <c r="L196" s="39">
        <f t="shared" si="955"/>
        <v>-0.10999999999999943</v>
      </c>
      <c r="M196" s="38"/>
      <c r="N196" s="40"/>
      <c r="O196" s="40"/>
      <c r="P196" s="40"/>
      <c r="Q196" s="40"/>
      <c r="R196" s="40"/>
      <c r="S196" s="40">
        <f t="shared" ref="S196:T196" si="956">(B195+B196)/2</f>
        <v>60.72</v>
      </c>
      <c r="T196" s="40">
        <f t="shared" si="956"/>
        <v>52.14</v>
      </c>
      <c r="U196" s="40">
        <f t="shared" si="6"/>
        <v>40.974999999999994</v>
      </c>
      <c r="V196" s="40">
        <f t="shared" ref="V196:W196" si="957">(E195+E196)/2</f>
        <v>28.185000000000002</v>
      </c>
      <c r="W196" s="40">
        <f t="shared" si="957"/>
        <v>19.675000000000001</v>
      </c>
      <c r="X196" s="41">
        <f t="shared" ref="X196:AB196" si="958">(SUM(B193:B196))/4</f>
        <v>60.642499999999998</v>
      </c>
      <c r="Y196" s="40">
        <f t="shared" si="958"/>
        <v>52.355000000000004</v>
      </c>
      <c r="Z196" s="40">
        <f t="shared" si="958"/>
        <v>41.087499999999999</v>
      </c>
      <c r="AA196" s="40">
        <f t="shared" si="958"/>
        <v>28.3475</v>
      </c>
      <c r="AB196" s="47">
        <f t="shared" si="958"/>
        <v>19.697500000000002</v>
      </c>
      <c r="AC196" s="42">
        <f t="shared" ref="AC196:AF196" si="959">(B196+C196)/2</f>
        <v>56.46</v>
      </c>
      <c r="AD196" s="42">
        <f t="shared" si="959"/>
        <v>46.46</v>
      </c>
      <c r="AE196" s="42">
        <f t="shared" si="959"/>
        <v>34.545000000000002</v>
      </c>
      <c r="AF196" s="42">
        <f t="shared" si="959"/>
        <v>23.87</v>
      </c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8"/>
      <c r="BK196" s="8"/>
      <c r="BL196" s="8"/>
      <c r="BM196" s="8"/>
    </row>
    <row r="197" spans="1:65" ht="15.75" hidden="1" customHeight="1" x14ac:dyDescent="0.45">
      <c r="A197" s="50">
        <f t="shared" si="3"/>
        <v>42258</v>
      </c>
      <c r="B197" s="51">
        <v>61.03</v>
      </c>
      <c r="C197" s="51">
        <v>51.92</v>
      </c>
      <c r="D197" s="51">
        <v>40.98</v>
      </c>
      <c r="E197" s="51">
        <v>27.99</v>
      </c>
      <c r="F197" s="51">
        <v>19.670000000000002</v>
      </c>
      <c r="G197" s="52">
        <v>57.19</v>
      </c>
      <c r="H197" s="37">
        <f t="shared" ref="H197:L197" si="960">B197-B196</f>
        <v>6.0000000000002274E-2</v>
      </c>
      <c r="I197" s="38">
        <f t="shared" si="960"/>
        <v>-3.0000000000001137E-2</v>
      </c>
      <c r="J197" s="38">
        <f t="shared" si="960"/>
        <v>9.9999999999980105E-3</v>
      </c>
      <c r="K197" s="38">
        <f t="shared" si="960"/>
        <v>-0.13000000000000256</v>
      </c>
      <c r="L197" s="39">
        <f t="shared" si="960"/>
        <v>5.0000000000000711E-2</v>
      </c>
      <c r="M197" s="38"/>
      <c r="N197" s="40"/>
      <c r="O197" s="40"/>
      <c r="P197" s="40"/>
      <c r="Q197" s="40"/>
      <c r="R197" s="40"/>
      <c r="S197" s="40">
        <f t="shared" ref="S197:T197" si="961">(B196+B197)/2</f>
        <v>61</v>
      </c>
      <c r="T197" s="40">
        <f t="shared" si="961"/>
        <v>51.935000000000002</v>
      </c>
      <c r="U197" s="40">
        <f t="shared" si="6"/>
        <v>40.974999999999994</v>
      </c>
      <c r="V197" s="40">
        <f t="shared" ref="V197:W197" si="962">(E196+E197)/2</f>
        <v>28.055</v>
      </c>
      <c r="W197" s="40">
        <f t="shared" si="962"/>
        <v>19.645000000000003</v>
      </c>
      <c r="X197" s="41">
        <f t="shared" ref="X197:AB197" si="963">(SUM(B194:B197))/4</f>
        <v>60.725000000000001</v>
      </c>
      <c r="Y197" s="40">
        <f t="shared" si="963"/>
        <v>52.14500000000001</v>
      </c>
      <c r="Z197" s="40">
        <f t="shared" si="963"/>
        <v>40.994999999999997</v>
      </c>
      <c r="AA197" s="40">
        <f t="shared" si="963"/>
        <v>28.18</v>
      </c>
      <c r="AB197" s="47">
        <f t="shared" si="963"/>
        <v>19.682500000000001</v>
      </c>
      <c r="AC197" s="42">
        <f t="shared" ref="AC197:AF197" si="964">(B197+C197)/2</f>
        <v>56.475000000000001</v>
      </c>
      <c r="AD197" s="42">
        <f t="shared" si="964"/>
        <v>46.45</v>
      </c>
      <c r="AE197" s="42">
        <f t="shared" si="964"/>
        <v>34.484999999999999</v>
      </c>
      <c r="AF197" s="42">
        <f t="shared" si="964"/>
        <v>23.83</v>
      </c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8"/>
      <c r="BK197" s="8"/>
      <c r="BL197" s="8"/>
      <c r="BM197" s="8"/>
    </row>
    <row r="198" spans="1:65" ht="15.75" hidden="1" customHeight="1" x14ac:dyDescent="0.45">
      <c r="A198" s="50">
        <f t="shared" si="3"/>
        <v>42265</v>
      </c>
      <c r="B198" s="51">
        <v>60.81</v>
      </c>
      <c r="C198" s="51">
        <v>51.84</v>
      </c>
      <c r="D198" s="51">
        <v>40.880000000000003</v>
      </c>
      <c r="E198" s="51">
        <v>27.96</v>
      </c>
      <c r="F198" s="51">
        <v>19.64</v>
      </c>
      <c r="G198" s="52">
        <v>56.95</v>
      </c>
      <c r="H198" s="37">
        <f t="shared" ref="H198:L198" si="965">B198-B197</f>
        <v>-0.21999999999999886</v>
      </c>
      <c r="I198" s="38">
        <f t="shared" si="965"/>
        <v>-7.9999999999998295E-2</v>
      </c>
      <c r="J198" s="38">
        <f t="shared" si="965"/>
        <v>-9.9999999999994316E-2</v>
      </c>
      <c r="K198" s="38">
        <f t="shared" si="965"/>
        <v>-2.9999999999997584E-2</v>
      </c>
      <c r="L198" s="39">
        <f t="shared" si="965"/>
        <v>-3.0000000000001137E-2</v>
      </c>
      <c r="M198" s="38"/>
      <c r="N198" s="40"/>
      <c r="O198" s="40"/>
      <c r="P198" s="40"/>
      <c r="Q198" s="40"/>
      <c r="R198" s="40"/>
      <c r="S198" s="40">
        <f t="shared" ref="S198:T198" si="966">(B197+B198)/2</f>
        <v>60.92</v>
      </c>
      <c r="T198" s="40">
        <f t="shared" si="966"/>
        <v>51.88</v>
      </c>
      <c r="U198" s="40">
        <f t="shared" si="6"/>
        <v>40.93</v>
      </c>
      <c r="V198" s="40">
        <f t="shared" ref="V198:W198" si="967">(E197+E198)/2</f>
        <v>27.975000000000001</v>
      </c>
      <c r="W198" s="40">
        <f t="shared" si="967"/>
        <v>19.655000000000001</v>
      </c>
      <c r="X198" s="41">
        <f t="shared" ref="X198:AB198" si="968">(SUM(B195:B198))/4</f>
        <v>60.82</v>
      </c>
      <c r="Y198" s="40">
        <f t="shared" si="968"/>
        <v>52.01</v>
      </c>
      <c r="Z198" s="40">
        <f t="shared" si="968"/>
        <v>40.952499999999993</v>
      </c>
      <c r="AA198" s="40">
        <f t="shared" si="968"/>
        <v>28.08</v>
      </c>
      <c r="AB198" s="47">
        <f t="shared" si="968"/>
        <v>19.664999999999999</v>
      </c>
      <c r="AC198" s="42">
        <f t="shared" ref="AC198:AF198" si="969">(B198+C198)/2</f>
        <v>56.325000000000003</v>
      </c>
      <c r="AD198" s="42">
        <f t="shared" si="969"/>
        <v>46.36</v>
      </c>
      <c r="AE198" s="42">
        <f t="shared" si="969"/>
        <v>34.42</v>
      </c>
      <c r="AF198" s="42">
        <f t="shared" si="969"/>
        <v>23.8</v>
      </c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8"/>
      <c r="BK198" s="8"/>
      <c r="BL198" s="8"/>
      <c r="BM198" s="8"/>
    </row>
    <row r="199" spans="1:65" ht="15.75" hidden="1" customHeight="1" x14ac:dyDescent="0.45">
      <c r="A199" s="50">
        <f t="shared" si="3"/>
        <v>42272</v>
      </c>
      <c r="B199" s="51">
        <v>60.8</v>
      </c>
      <c r="C199" s="51">
        <v>51.58</v>
      </c>
      <c r="D199" s="51">
        <v>40.840000000000003</v>
      </c>
      <c r="E199" s="51">
        <v>27.82</v>
      </c>
      <c r="F199" s="51">
        <v>19.91</v>
      </c>
      <c r="G199" s="52">
        <v>56.72</v>
      </c>
      <c r="H199" s="37">
        <f t="shared" ref="H199:L199" si="970">B199-B198</f>
        <v>-1.0000000000005116E-2</v>
      </c>
      <c r="I199" s="38">
        <f t="shared" si="970"/>
        <v>-0.26000000000000512</v>
      </c>
      <c r="J199" s="38">
        <f t="shared" si="970"/>
        <v>-3.9999999999999147E-2</v>
      </c>
      <c r="K199" s="38">
        <f t="shared" si="970"/>
        <v>-0.14000000000000057</v>
      </c>
      <c r="L199" s="39">
        <f t="shared" si="970"/>
        <v>0.26999999999999957</v>
      </c>
      <c r="M199" s="38"/>
      <c r="N199" s="40"/>
      <c r="O199" s="40"/>
      <c r="P199" s="40"/>
      <c r="Q199" s="40"/>
      <c r="R199" s="40"/>
      <c r="S199" s="40">
        <f t="shared" ref="S199:T199" si="971">(B198+B199)/2</f>
        <v>60.805</v>
      </c>
      <c r="T199" s="40">
        <f t="shared" si="971"/>
        <v>51.71</v>
      </c>
      <c r="U199" s="40">
        <f t="shared" si="6"/>
        <v>40.86</v>
      </c>
      <c r="V199" s="40">
        <f t="shared" ref="V199:W199" si="972">(E198+E199)/2</f>
        <v>27.89</v>
      </c>
      <c r="W199" s="40">
        <f t="shared" si="972"/>
        <v>19.774999999999999</v>
      </c>
      <c r="X199" s="41">
        <f t="shared" ref="X199:AB199" si="973">(SUM(B196:B199))/4</f>
        <v>60.902500000000003</v>
      </c>
      <c r="Y199" s="40">
        <f t="shared" si="973"/>
        <v>51.822500000000005</v>
      </c>
      <c r="Z199" s="40">
        <f t="shared" si="973"/>
        <v>40.917499999999997</v>
      </c>
      <c r="AA199" s="40">
        <f t="shared" si="973"/>
        <v>27.972499999999997</v>
      </c>
      <c r="AB199" s="47">
        <f t="shared" si="973"/>
        <v>19.71</v>
      </c>
      <c r="AC199" s="42">
        <f t="shared" ref="AC199:AF199" si="974">(B199+C199)/2</f>
        <v>56.19</v>
      </c>
      <c r="AD199" s="42">
        <f t="shared" si="974"/>
        <v>46.21</v>
      </c>
      <c r="AE199" s="42">
        <f t="shared" si="974"/>
        <v>34.33</v>
      </c>
      <c r="AF199" s="42">
        <f t="shared" si="974"/>
        <v>23.865000000000002</v>
      </c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8"/>
      <c r="BK199" s="8"/>
      <c r="BL199" s="8"/>
      <c r="BM199" s="8"/>
    </row>
    <row r="200" spans="1:65" ht="15.75" hidden="1" customHeight="1" x14ac:dyDescent="0.45">
      <c r="A200" s="50">
        <f t="shared" si="3"/>
        <v>42279</v>
      </c>
      <c r="B200" s="51">
        <v>60.78</v>
      </c>
      <c r="C200" s="51">
        <v>51.62</v>
      </c>
      <c r="D200" s="51">
        <v>40.47</v>
      </c>
      <c r="E200" s="51">
        <v>26.99</v>
      </c>
      <c r="F200" s="51">
        <v>19.77</v>
      </c>
      <c r="G200" s="52">
        <v>54.53</v>
      </c>
      <c r="H200" s="37">
        <f t="shared" ref="H200:L200" si="975">B200-B199</f>
        <v>-1.9999999999996021E-2</v>
      </c>
      <c r="I200" s="38">
        <f t="shared" si="975"/>
        <v>3.9999999999999147E-2</v>
      </c>
      <c r="J200" s="38">
        <f t="shared" si="975"/>
        <v>-0.37000000000000455</v>
      </c>
      <c r="K200" s="38">
        <f t="shared" si="975"/>
        <v>-0.83000000000000185</v>
      </c>
      <c r="L200" s="39">
        <f t="shared" si="975"/>
        <v>-0.14000000000000057</v>
      </c>
      <c r="M200" s="38"/>
      <c r="N200" s="40"/>
      <c r="O200" s="40"/>
      <c r="P200" s="40"/>
      <c r="Q200" s="40"/>
      <c r="R200" s="40"/>
      <c r="S200" s="40">
        <f t="shared" ref="S200:T200" si="976">(B199+B200)/2</f>
        <v>60.79</v>
      </c>
      <c r="T200" s="40">
        <f t="shared" si="976"/>
        <v>51.599999999999994</v>
      </c>
      <c r="U200" s="40">
        <f t="shared" si="6"/>
        <v>40.655000000000001</v>
      </c>
      <c r="V200" s="40">
        <f t="shared" ref="V200:W200" si="977">(E199+E200)/2</f>
        <v>27.405000000000001</v>
      </c>
      <c r="W200" s="40">
        <f t="shared" si="977"/>
        <v>19.84</v>
      </c>
      <c r="X200" s="41">
        <f t="shared" ref="X200:AB200" si="978">(SUM(B197:B200))/4</f>
        <v>60.854999999999997</v>
      </c>
      <c r="Y200" s="40">
        <f t="shared" si="978"/>
        <v>51.74</v>
      </c>
      <c r="Z200" s="40">
        <f t="shared" si="978"/>
        <v>40.792500000000004</v>
      </c>
      <c r="AA200" s="40">
        <f t="shared" si="978"/>
        <v>27.69</v>
      </c>
      <c r="AB200" s="47">
        <f t="shared" si="978"/>
        <v>19.747499999999999</v>
      </c>
      <c r="AC200" s="42">
        <f t="shared" ref="AC200:AF200" si="979">(B200+C200)/2</f>
        <v>56.2</v>
      </c>
      <c r="AD200" s="42">
        <f t="shared" si="979"/>
        <v>46.045000000000002</v>
      </c>
      <c r="AE200" s="42">
        <f t="shared" si="979"/>
        <v>33.729999999999997</v>
      </c>
      <c r="AF200" s="42">
        <f t="shared" si="979"/>
        <v>23.38</v>
      </c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8"/>
      <c r="BK200" s="8"/>
      <c r="BL200" s="8"/>
      <c r="BM200" s="8"/>
    </row>
    <row r="201" spans="1:65" ht="15.75" hidden="1" customHeight="1" x14ac:dyDescent="0.45">
      <c r="A201" s="50">
        <f t="shared" si="3"/>
        <v>42286</v>
      </c>
      <c r="B201" s="51">
        <v>60.35</v>
      </c>
      <c r="C201" s="51">
        <v>50.35</v>
      </c>
      <c r="D201" s="51">
        <v>39.76</v>
      </c>
      <c r="E201" s="51">
        <v>26.78</v>
      </c>
      <c r="F201" s="51">
        <v>19.559999999999999</v>
      </c>
      <c r="G201" s="52">
        <v>53.71</v>
      </c>
      <c r="H201" s="37">
        <f t="shared" ref="H201:L201" si="980">B201-B200</f>
        <v>-0.42999999999999972</v>
      </c>
      <c r="I201" s="38">
        <f t="shared" si="980"/>
        <v>-1.269999999999996</v>
      </c>
      <c r="J201" s="38">
        <f t="shared" si="980"/>
        <v>-0.71000000000000085</v>
      </c>
      <c r="K201" s="38">
        <f t="shared" si="980"/>
        <v>-0.2099999999999973</v>
      </c>
      <c r="L201" s="39">
        <f t="shared" si="980"/>
        <v>-0.21000000000000085</v>
      </c>
      <c r="M201" s="38"/>
      <c r="N201" s="40"/>
      <c r="O201" s="40"/>
      <c r="P201" s="40"/>
      <c r="Q201" s="40"/>
      <c r="R201" s="40"/>
      <c r="S201" s="40">
        <f t="shared" ref="S201:T201" si="981">(B200+B201)/2</f>
        <v>60.564999999999998</v>
      </c>
      <c r="T201" s="40">
        <f t="shared" si="981"/>
        <v>50.984999999999999</v>
      </c>
      <c r="U201" s="40">
        <f t="shared" si="6"/>
        <v>40.114999999999995</v>
      </c>
      <c r="V201" s="40">
        <f t="shared" ref="V201:W201" si="982">(E200+E201)/2</f>
        <v>26.884999999999998</v>
      </c>
      <c r="W201" s="40">
        <f t="shared" si="982"/>
        <v>19.664999999999999</v>
      </c>
      <c r="X201" s="41">
        <f t="shared" ref="X201:AB201" si="983">(SUM(B198:B201))/4</f>
        <v>60.684999999999995</v>
      </c>
      <c r="Y201" s="40">
        <f t="shared" si="983"/>
        <v>51.347499999999997</v>
      </c>
      <c r="Z201" s="40">
        <f t="shared" si="983"/>
        <v>40.487499999999997</v>
      </c>
      <c r="AA201" s="40">
        <f t="shared" si="983"/>
        <v>27.387499999999999</v>
      </c>
      <c r="AB201" s="47">
        <f t="shared" si="983"/>
        <v>19.72</v>
      </c>
      <c r="AC201" s="42">
        <f t="shared" ref="AC201:AF201" si="984">(B201+C201)/2</f>
        <v>55.35</v>
      </c>
      <c r="AD201" s="42">
        <f t="shared" si="984"/>
        <v>45.055</v>
      </c>
      <c r="AE201" s="42">
        <f t="shared" si="984"/>
        <v>33.269999999999996</v>
      </c>
      <c r="AF201" s="42">
        <f t="shared" si="984"/>
        <v>23.17</v>
      </c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8"/>
      <c r="BK201" s="8"/>
      <c r="BL201" s="8"/>
      <c r="BM201" s="8"/>
    </row>
    <row r="202" spans="1:65" ht="15.75" hidden="1" customHeight="1" x14ac:dyDescent="0.45">
      <c r="A202" s="50">
        <f t="shared" si="3"/>
        <v>42293</v>
      </c>
      <c r="B202" s="51">
        <v>60.26</v>
      </c>
      <c r="C202" s="51">
        <v>49.65</v>
      </c>
      <c r="D202" s="51">
        <v>39.200000000000003</v>
      </c>
      <c r="E202" s="51">
        <v>26.48</v>
      </c>
      <c r="F202" s="51">
        <v>19.37</v>
      </c>
      <c r="G202" s="52">
        <v>52.88</v>
      </c>
      <c r="H202" s="37">
        <f t="shared" ref="H202:L202" si="985">B202-B201</f>
        <v>-9.0000000000003411E-2</v>
      </c>
      <c r="I202" s="38">
        <f t="shared" si="985"/>
        <v>-0.70000000000000284</v>
      </c>
      <c r="J202" s="38">
        <f t="shared" si="985"/>
        <v>-0.55999999999999517</v>
      </c>
      <c r="K202" s="38">
        <f t="shared" si="985"/>
        <v>-0.30000000000000071</v>
      </c>
      <c r="L202" s="39">
        <f t="shared" si="985"/>
        <v>-0.18999999999999773</v>
      </c>
      <c r="M202" s="38"/>
      <c r="N202" s="40"/>
      <c r="O202" s="40"/>
      <c r="P202" s="40"/>
      <c r="Q202" s="40"/>
      <c r="R202" s="40"/>
      <c r="S202" s="40">
        <f t="shared" ref="S202:T202" si="986">(B201+B202)/2</f>
        <v>60.305</v>
      </c>
      <c r="T202" s="40">
        <f t="shared" si="986"/>
        <v>50</v>
      </c>
      <c r="U202" s="40">
        <f t="shared" si="6"/>
        <v>39.480000000000004</v>
      </c>
      <c r="V202" s="40">
        <f t="shared" ref="V202:W202" si="987">(E201+E202)/2</f>
        <v>26.630000000000003</v>
      </c>
      <c r="W202" s="40">
        <f t="shared" si="987"/>
        <v>19.465</v>
      </c>
      <c r="X202" s="41">
        <f t="shared" ref="X202:AB202" si="988">(SUM(B199:B202))/4</f>
        <v>60.547499999999999</v>
      </c>
      <c r="Y202" s="40">
        <f t="shared" si="988"/>
        <v>50.8</v>
      </c>
      <c r="Z202" s="40">
        <f t="shared" si="988"/>
        <v>40.067499999999995</v>
      </c>
      <c r="AA202" s="40">
        <f t="shared" si="988"/>
        <v>27.017500000000002</v>
      </c>
      <c r="AB202" s="47">
        <f t="shared" si="988"/>
        <v>19.6525</v>
      </c>
      <c r="AC202" s="42">
        <f t="shared" ref="AC202:AF202" si="989">(B202+C202)/2</f>
        <v>54.954999999999998</v>
      </c>
      <c r="AD202" s="42">
        <f t="shared" si="989"/>
        <v>44.424999999999997</v>
      </c>
      <c r="AE202" s="42">
        <f t="shared" si="989"/>
        <v>32.840000000000003</v>
      </c>
      <c r="AF202" s="42">
        <f t="shared" si="989"/>
        <v>22.925000000000001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8"/>
      <c r="BK202" s="8"/>
      <c r="BL202" s="8"/>
      <c r="BM202" s="8"/>
    </row>
    <row r="203" spans="1:65" ht="15.75" hidden="1" customHeight="1" x14ac:dyDescent="0.45">
      <c r="A203" s="50">
        <f t="shared" si="3"/>
        <v>42300</v>
      </c>
      <c r="B203" s="51">
        <v>60</v>
      </c>
      <c r="C203" s="51">
        <v>49.16</v>
      </c>
      <c r="D203" s="51">
        <v>38.799999999999997</v>
      </c>
      <c r="E203" s="51">
        <v>26.57</v>
      </c>
      <c r="F203" s="51">
        <v>19.29</v>
      </c>
      <c r="G203" s="52">
        <v>51.84</v>
      </c>
      <c r="H203" s="37">
        <f t="shared" ref="H203:L203" si="990">B203-B202</f>
        <v>-0.25999999999999801</v>
      </c>
      <c r="I203" s="38">
        <f t="shared" si="990"/>
        <v>-0.49000000000000199</v>
      </c>
      <c r="J203" s="38">
        <f t="shared" si="990"/>
        <v>-0.40000000000000568</v>
      </c>
      <c r="K203" s="38">
        <f t="shared" si="990"/>
        <v>8.9999999999999858E-2</v>
      </c>
      <c r="L203" s="39">
        <f t="shared" si="990"/>
        <v>-8.0000000000001847E-2</v>
      </c>
      <c r="M203" s="38"/>
      <c r="N203" s="40"/>
      <c r="O203" s="40"/>
      <c r="P203" s="40"/>
      <c r="Q203" s="40"/>
      <c r="R203" s="40"/>
      <c r="S203" s="40">
        <f t="shared" ref="S203:T203" si="991">(B202+B203)/2</f>
        <v>60.129999999999995</v>
      </c>
      <c r="T203" s="40">
        <f t="shared" si="991"/>
        <v>49.405000000000001</v>
      </c>
      <c r="U203" s="40">
        <f t="shared" si="6"/>
        <v>39</v>
      </c>
      <c r="V203" s="40">
        <f t="shared" ref="V203:W203" si="992">(E202+E203)/2</f>
        <v>26.524999999999999</v>
      </c>
      <c r="W203" s="40">
        <f t="shared" si="992"/>
        <v>19.329999999999998</v>
      </c>
      <c r="X203" s="41">
        <f t="shared" ref="X203:AB203" si="993">(SUM(B200:B203))/4</f>
        <v>60.347499999999997</v>
      </c>
      <c r="Y203" s="40">
        <f t="shared" si="993"/>
        <v>50.195</v>
      </c>
      <c r="Z203" s="40">
        <f t="shared" si="993"/>
        <v>39.557499999999997</v>
      </c>
      <c r="AA203" s="40">
        <f t="shared" si="993"/>
        <v>26.704999999999998</v>
      </c>
      <c r="AB203" s="47">
        <f t="shared" si="993"/>
        <v>19.497500000000002</v>
      </c>
      <c r="AC203" s="42">
        <f t="shared" ref="AC203:AF203" si="994">(B203+C203)/2</f>
        <v>54.58</v>
      </c>
      <c r="AD203" s="42">
        <f t="shared" si="994"/>
        <v>43.98</v>
      </c>
      <c r="AE203" s="42">
        <f t="shared" si="994"/>
        <v>32.685000000000002</v>
      </c>
      <c r="AF203" s="42">
        <f t="shared" si="994"/>
        <v>22.93</v>
      </c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8"/>
      <c r="BK203" s="8"/>
      <c r="BL203" s="8"/>
      <c r="BM203" s="8"/>
    </row>
    <row r="204" spans="1:65" ht="15.75" hidden="1" customHeight="1" x14ac:dyDescent="0.45">
      <c r="A204" s="50">
        <f t="shared" si="3"/>
        <v>42307</v>
      </c>
      <c r="B204" s="51">
        <v>59.5</v>
      </c>
      <c r="C204" s="51">
        <v>48.55</v>
      </c>
      <c r="D204" s="51">
        <v>38.369999999999997</v>
      </c>
      <c r="E204" s="51">
        <v>26.53</v>
      </c>
      <c r="F204" s="51">
        <v>19.149999999999999</v>
      </c>
      <c r="G204" s="52">
        <v>51.9</v>
      </c>
      <c r="H204" s="37">
        <f t="shared" ref="H204:L204" si="995">B204-B203</f>
        <v>-0.5</v>
      </c>
      <c r="I204" s="38">
        <f t="shared" si="995"/>
        <v>-0.60999999999999943</v>
      </c>
      <c r="J204" s="38">
        <f t="shared" si="995"/>
        <v>-0.42999999999999972</v>
      </c>
      <c r="K204" s="38">
        <f t="shared" si="995"/>
        <v>-3.9999999999999147E-2</v>
      </c>
      <c r="L204" s="39">
        <f t="shared" si="995"/>
        <v>-0.14000000000000057</v>
      </c>
      <c r="M204" s="38"/>
      <c r="N204" s="40"/>
      <c r="O204" s="40"/>
      <c r="P204" s="40"/>
      <c r="Q204" s="40"/>
      <c r="R204" s="40"/>
      <c r="S204" s="40">
        <f t="shared" ref="S204:T204" si="996">(B203+B204)/2</f>
        <v>59.75</v>
      </c>
      <c r="T204" s="40">
        <f t="shared" si="996"/>
        <v>48.854999999999997</v>
      </c>
      <c r="U204" s="40">
        <f t="shared" si="6"/>
        <v>38.584999999999994</v>
      </c>
      <c r="V204" s="40">
        <f t="shared" ref="V204:W204" si="997">(E203+E204)/2</f>
        <v>26.55</v>
      </c>
      <c r="W204" s="40">
        <f t="shared" si="997"/>
        <v>19.22</v>
      </c>
      <c r="X204" s="41">
        <f t="shared" ref="X204:AB204" si="998">(SUM(B201:B204))/4</f>
        <v>60.027500000000003</v>
      </c>
      <c r="Y204" s="40">
        <f t="shared" si="998"/>
        <v>49.427499999999995</v>
      </c>
      <c r="Z204" s="40">
        <f t="shared" si="998"/>
        <v>39.032499999999999</v>
      </c>
      <c r="AA204" s="40">
        <f t="shared" si="998"/>
        <v>26.590000000000003</v>
      </c>
      <c r="AB204" s="47">
        <f t="shared" si="998"/>
        <v>19.342500000000001</v>
      </c>
      <c r="AC204" s="42">
        <f t="shared" ref="AC204:AF204" si="999">(B204+C204)/2</f>
        <v>54.024999999999999</v>
      </c>
      <c r="AD204" s="42">
        <f t="shared" si="999"/>
        <v>43.459999999999994</v>
      </c>
      <c r="AE204" s="42">
        <f t="shared" si="999"/>
        <v>32.450000000000003</v>
      </c>
      <c r="AF204" s="42">
        <f t="shared" si="999"/>
        <v>22.84</v>
      </c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8"/>
      <c r="BK204" s="8"/>
      <c r="BL204" s="8"/>
      <c r="BM204" s="8"/>
    </row>
    <row r="205" spans="1:65" ht="15.75" hidden="1" customHeight="1" x14ac:dyDescent="0.45">
      <c r="A205" s="50">
        <f t="shared" si="3"/>
        <v>42314</v>
      </c>
      <c r="B205" s="51">
        <v>59.28</v>
      </c>
      <c r="C205" s="51">
        <v>48.87</v>
      </c>
      <c r="D205" s="51">
        <v>38.380000000000003</v>
      </c>
      <c r="E205" s="51">
        <v>26.89</v>
      </c>
      <c r="F205" s="51">
        <v>19.100000000000001</v>
      </c>
      <c r="G205" s="52">
        <v>52.2</v>
      </c>
      <c r="H205" s="37">
        <f t="shared" ref="H205:L205" si="1000">B205-B204</f>
        <v>-0.21999999999999886</v>
      </c>
      <c r="I205" s="38">
        <f t="shared" si="1000"/>
        <v>0.32000000000000028</v>
      </c>
      <c r="J205" s="38">
        <f t="shared" si="1000"/>
        <v>1.0000000000005116E-2</v>
      </c>
      <c r="K205" s="38">
        <f t="shared" si="1000"/>
        <v>0.35999999999999943</v>
      </c>
      <c r="L205" s="39">
        <f t="shared" si="1000"/>
        <v>-4.9999999999997158E-2</v>
      </c>
      <c r="M205" s="38"/>
      <c r="N205" s="40"/>
      <c r="O205" s="40"/>
      <c r="P205" s="40"/>
      <c r="Q205" s="40"/>
      <c r="R205" s="40"/>
      <c r="S205" s="40">
        <f t="shared" ref="S205:T205" si="1001">(B204+B205)/2</f>
        <v>59.39</v>
      </c>
      <c r="T205" s="40">
        <f t="shared" si="1001"/>
        <v>48.709999999999994</v>
      </c>
      <c r="U205" s="40">
        <f t="shared" si="6"/>
        <v>38.375</v>
      </c>
      <c r="V205" s="40">
        <f t="shared" ref="V205:W205" si="1002">(E204+E205)/2</f>
        <v>26.71</v>
      </c>
      <c r="W205" s="40">
        <f t="shared" si="1002"/>
        <v>19.125</v>
      </c>
      <c r="X205" s="41">
        <f t="shared" ref="X205:AB205" si="1003">(SUM(B202:B205))/4</f>
        <v>59.76</v>
      </c>
      <c r="Y205" s="40">
        <f t="shared" si="1003"/>
        <v>49.057500000000005</v>
      </c>
      <c r="Z205" s="40">
        <f t="shared" si="1003"/>
        <v>38.6875</v>
      </c>
      <c r="AA205" s="40">
        <f t="shared" si="1003"/>
        <v>26.6175</v>
      </c>
      <c r="AB205" s="47">
        <f t="shared" si="1003"/>
        <v>19.227499999999999</v>
      </c>
      <c r="AC205" s="42">
        <f t="shared" ref="AC205:AF205" si="1004">(B205+C205)/2</f>
        <v>54.075000000000003</v>
      </c>
      <c r="AD205" s="42">
        <f t="shared" si="1004"/>
        <v>43.625</v>
      </c>
      <c r="AE205" s="42">
        <f t="shared" si="1004"/>
        <v>32.635000000000005</v>
      </c>
      <c r="AF205" s="42">
        <f t="shared" si="1004"/>
        <v>22.995000000000001</v>
      </c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8"/>
      <c r="BK205" s="8"/>
      <c r="BL205" s="8"/>
      <c r="BM205" s="8"/>
    </row>
    <row r="206" spans="1:65" ht="15.75" hidden="1" customHeight="1" x14ac:dyDescent="0.45">
      <c r="A206" s="50">
        <f t="shared" si="3"/>
        <v>42321</v>
      </c>
      <c r="B206" s="51">
        <v>59.43</v>
      </c>
      <c r="C206" s="51">
        <v>48.56</v>
      </c>
      <c r="D206" s="51">
        <v>38.36</v>
      </c>
      <c r="E206" s="51">
        <v>27</v>
      </c>
      <c r="F206" s="51">
        <v>19.25</v>
      </c>
      <c r="G206" s="52">
        <v>52.4</v>
      </c>
      <c r="H206" s="37">
        <f t="shared" ref="H206:L206" si="1005">B206-B205</f>
        <v>0.14999999999999858</v>
      </c>
      <c r="I206" s="38">
        <f t="shared" si="1005"/>
        <v>-0.30999999999999517</v>
      </c>
      <c r="J206" s="38">
        <f t="shared" si="1005"/>
        <v>-2.0000000000003126E-2</v>
      </c>
      <c r="K206" s="38">
        <f t="shared" si="1005"/>
        <v>0.10999999999999943</v>
      </c>
      <c r="L206" s="39">
        <f t="shared" si="1005"/>
        <v>0.14999999999999858</v>
      </c>
      <c r="M206" s="38"/>
      <c r="N206" s="40"/>
      <c r="O206" s="40"/>
      <c r="P206" s="40"/>
      <c r="Q206" s="40"/>
      <c r="R206" s="40"/>
      <c r="S206" s="40">
        <f t="shared" ref="S206:T206" si="1006">(B205+B206)/2</f>
        <v>59.355000000000004</v>
      </c>
      <c r="T206" s="40">
        <f t="shared" si="1006"/>
        <v>48.715000000000003</v>
      </c>
      <c r="U206" s="40">
        <f t="shared" si="6"/>
        <v>38.370000000000005</v>
      </c>
      <c r="V206" s="40">
        <f t="shared" ref="V206:W206" si="1007">(E205+E206)/2</f>
        <v>26.945</v>
      </c>
      <c r="W206" s="40">
        <f t="shared" si="1007"/>
        <v>19.175000000000001</v>
      </c>
      <c r="X206" s="41">
        <f t="shared" ref="X206:AB206" si="1008">(SUM(B203:B206))/4</f>
        <v>59.552500000000002</v>
      </c>
      <c r="Y206" s="40">
        <f t="shared" si="1008"/>
        <v>48.784999999999997</v>
      </c>
      <c r="Z206" s="40">
        <f t="shared" si="1008"/>
        <v>38.477499999999992</v>
      </c>
      <c r="AA206" s="40">
        <f t="shared" si="1008"/>
        <v>26.747500000000002</v>
      </c>
      <c r="AB206" s="47">
        <f t="shared" si="1008"/>
        <v>19.197499999999998</v>
      </c>
      <c r="AC206" s="42">
        <f t="shared" ref="AC206:AF206" si="1009">(B206+C206)/2</f>
        <v>53.995000000000005</v>
      </c>
      <c r="AD206" s="42">
        <f t="shared" si="1009"/>
        <v>43.46</v>
      </c>
      <c r="AE206" s="42">
        <f t="shared" si="1009"/>
        <v>32.68</v>
      </c>
      <c r="AF206" s="42">
        <f t="shared" si="1009"/>
        <v>23.125</v>
      </c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8"/>
      <c r="BK206" s="8"/>
      <c r="BL206" s="8"/>
      <c r="BM206" s="8"/>
    </row>
    <row r="207" spans="1:65" ht="15.75" hidden="1" customHeight="1" x14ac:dyDescent="0.45">
      <c r="A207" s="50">
        <f t="shared" si="3"/>
        <v>42328</v>
      </c>
      <c r="B207" s="51">
        <v>59.2</v>
      </c>
      <c r="C207" s="51">
        <v>48.48</v>
      </c>
      <c r="D207" s="51">
        <v>38.25</v>
      </c>
      <c r="E207" s="51">
        <v>26.84</v>
      </c>
      <c r="F207" s="51">
        <v>19.579999999999998</v>
      </c>
      <c r="G207" s="52">
        <v>53.2</v>
      </c>
      <c r="H207" s="37">
        <f t="shared" ref="H207:L207" si="1010">B207-B206</f>
        <v>-0.22999999999999687</v>
      </c>
      <c r="I207" s="38">
        <f t="shared" si="1010"/>
        <v>-8.00000000000054E-2</v>
      </c>
      <c r="J207" s="38">
        <f t="shared" si="1010"/>
        <v>-0.10999999999999943</v>
      </c>
      <c r="K207" s="38">
        <f t="shared" si="1010"/>
        <v>-0.16000000000000014</v>
      </c>
      <c r="L207" s="39">
        <f t="shared" si="1010"/>
        <v>0.32999999999999829</v>
      </c>
      <c r="M207" s="38"/>
      <c r="N207" s="40"/>
      <c r="O207" s="40"/>
      <c r="P207" s="40"/>
      <c r="Q207" s="40"/>
      <c r="R207" s="40"/>
      <c r="S207" s="40">
        <f t="shared" ref="S207:T207" si="1011">(B206+B207)/2</f>
        <v>59.314999999999998</v>
      </c>
      <c r="T207" s="40">
        <f t="shared" si="1011"/>
        <v>48.519999999999996</v>
      </c>
      <c r="U207" s="40">
        <f t="shared" si="6"/>
        <v>38.305</v>
      </c>
      <c r="V207" s="40">
        <f t="shared" ref="V207:W207" si="1012">(E206+E207)/2</f>
        <v>26.92</v>
      </c>
      <c r="W207" s="40">
        <f t="shared" si="1012"/>
        <v>19.414999999999999</v>
      </c>
      <c r="X207" s="41">
        <f t="shared" ref="X207:AB207" si="1013">(SUM(B204:B207))/4</f>
        <v>59.352500000000006</v>
      </c>
      <c r="Y207" s="40">
        <f t="shared" si="1013"/>
        <v>48.614999999999995</v>
      </c>
      <c r="Z207" s="40">
        <f t="shared" si="1013"/>
        <v>38.340000000000003</v>
      </c>
      <c r="AA207" s="40">
        <f t="shared" si="1013"/>
        <v>26.815000000000001</v>
      </c>
      <c r="AB207" s="47">
        <f t="shared" si="1013"/>
        <v>19.27</v>
      </c>
      <c r="AC207" s="42">
        <f t="shared" ref="AC207:AF207" si="1014">(B207+C207)/2</f>
        <v>53.84</v>
      </c>
      <c r="AD207" s="42">
        <f t="shared" si="1014"/>
        <v>43.364999999999995</v>
      </c>
      <c r="AE207" s="42">
        <f t="shared" si="1014"/>
        <v>32.545000000000002</v>
      </c>
      <c r="AF207" s="42">
        <f t="shared" si="1014"/>
        <v>23.21</v>
      </c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8"/>
      <c r="BK207" s="8"/>
      <c r="BL207" s="8"/>
      <c r="BM207" s="8"/>
    </row>
    <row r="208" spans="1:65" ht="15.75" hidden="1" customHeight="1" x14ac:dyDescent="0.45">
      <c r="A208" s="50">
        <f t="shared" si="3"/>
        <v>42335</v>
      </c>
      <c r="B208" s="51">
        <v>58.97</v>
      </c>
      <c r="C208" s="51">
        <v>48.41</v>
      </c>
      <c r="D208" s="51">
        <v>38.32</v>
      </c>
      <c r="E208" s="51">
        <v>26.84</v>
      </c>
      <c r="F208" s="51">
        <v>19.62</v>
      </c>
      <c r="G208" s="52">
        <v>53.23</v>
      </c>
      <c r="H208" s="37">
        <f t="shared" ref="H208:L208" si="1015">B208-B207</f>
        <v>-0.23000000000000398</v>
      </c>
      <c r="I208" s="38">
        <f t="shared" si="1015"/>
        <v>-7.0000000000000284E-2</v>
      </c>
      <c r="J208" s="38">
        <f t="shared" si="1015"/>
        <v>7.0000000000000284E-2</v>
      </c>
      <c r="K208" s="38">
        <f t="shared" si="1015"/>
        <v>0</v>
      </c>
      <c r="L208" s="39">
        <f t="shared" si="1015"/>
        <v>4.00000000000027E-2</v>
      </c>
      <c r="M208" s="38"/>
      <c r="N208" s="40"/>
      <c r="O208" s="40"/>
      <c r="P208" s="40"/>
      <c r="Q208" s="40"/>
      <c r="R208" s="40"/>
      <c r="S208" s="40">
        <f t="shared" ref="S208:T208" si="1016">(B207+B208)/2</f>
        <v>59.085000000000001</v>
      </c>
      <c r="T208" s="40">
        <f t="shared" si="1016"/>
        <v>48.444999999999993</v>
      </c>
      <c r="U208" s="40">
        <f t="shared" si="6"/>
        <v>38.284999999999997</v>
      </c>
      <c r="V208" s="40">
        <f t="shared" ref="V208:W208" si="1017">(E207+E208)/2</f>
        <v>26.84</v>
      </c>
      <c r="W208" s="40">
        <f t="shared" si="1017"/>
        <v>19.600000000000001</v>
      </c>
      <c r="X208" s="41">
        <f t="shared" ref="X208:AB208" si="1018">(SUM(B205:B208))/4</f>
        <v>59.220000000000006</v>
      </c>
      <c r="Y208" s="40">
        <f t="shared" si="1018"/>
        <v>48.58</v>
      </c>
      <c r="Z208" s="40">
        <f t="shared" si="1018"/>
        <v>38.327500000000001</v>
      </c>
      <c r="AA208" s="40">
        <f t="shared" si="1018"/>
        <v>26.892500000000002</v>
      </c>
      <c r="AB208" s="47">
        <f t="shared" si="1018"/>
        <v>19.387499999999999</v>
      </c>
      <c r="AC208" s="42">
        <f t="shared" ref="AC208:AF208" si="1019">(B208+C208)/2</f>
        <v>53.69</v>
      </c>
      <c r="AD208" s="42">
        <f t="shared" si="1019"/>
        <v>43.364999999999995</v>
      </c>
      <c r="AE208" s="42">
        <f t="shared" si="1019"/>
        <v>32.58</v>
      </c>
      <c r="AF208" s="42">
        <f t="shared" si="1019"/>
        <v>23.23</v>
      </c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8"/>
      <c r="BK208" s="8"/>
      <c r="BL208" s="8"/>
      <c r="BM208" s="8"/>
    </row>
    <row r="209" spans="1:65" ht="15.75" hidden="1" customHeight="1" x14ac:dyDescent="0.45">
      <c r="A209" s="50">
        <f t="shared" si="3"/>
        <v>42342</v>
      </c>
      <c r="B209" s="51">
        <v>58.95</v>
      </c>
      <c r="C209" s="51">
        <v>48.36</v>
      </c>
      <c r="D209" s="51">
        <v>38.44</v>
      </c>
      <c r="E209" s="51">
        <v>26.84</v>
      </c>
      <c r="F209" s="51">
        <v>19.64</v>
      </c>
      <c r="G209" s="52">
        <v>52.98</v>
      </c>
      <c r="H209" s="37">
        <f t="shared" ref="H209:L209" si="1020">B209-B208</f>
        <v>-1.9999999999996021E-2</v>
      </c>
      <c r="I209" s="38">
        <f t="shared" si="1020"/>
        <v>-4.9999999999997158E-2</v>
      </c>
      <c r="J209" s="38">
        <f t="shared" si="1020"/>
        <v>0.11999999999999744</v>
      </c>
      <c r="K209" s="38">
        <f t="shared" si="1020"/>
        <v>0</v>
      </c>
      <c r="L209" s="39">
        <f t="shared" si="1020"/>
        <v>1.9999999999999574E-2</v>
      </c>
      <c r="M209" s="38"/>
      <c r="N209" s="40"/>
      <c r="O209" s="40"/>
      <c r="P209" s="40"/>
      <c r="Q209" s="40"/>
      <c r="R209" s="40"/>
      <c r="S209" s="40">
        <f t="shared" ref="S209:T209" si="1021">(B208+B209)/2</f>
        <v>58.96</v>
      </c>
      <c r="T209" s="40">
        <f t="shared" si="1021"/>
        <v>48.384999999999998</v>
      </c>
      <c r="U209" s="40">
        <f t="shared" si="6"/>
        <v>38.379999999999995</v>
      </c>
      <c r="V209" s="40">
        <f t="shared" ref="V209:W209" si="1022">(E208+E209)/2</f>
        <v>26.84</v>
      </c>
      <c r="W209" s="40">
        <f t="shared" si="1022"/>
        <v>19.630000000000003</v>
      </c>
      <c r="X209" s="41">
        <f t="shared" ref="X209:AB209" si="1023">(SUM(B206:B209))/4</f>
        <v>59.137500000000003</v>
      </c>
      <c r="Y209" s="40">
        <f t="shared" si="1023"/>
        <v>48.452500000000001</v>
      </c>
      <c r="Z209" s="40">
        <f t="shared" si="1023"/>
        <v>38.342500000000001</v>
      </c>
      <c r="AA209" s="40">
        <f t="shared" si="1023"/>
        <v>26.880000000000003</v>
      </c>
      <c r="AB209" s="47">
        <f t="shared" si="1023"/>
        <v>19.522500000000001</v>
      </c>
      <c r="AC209" s="42">
        <f t="shared" ref="AC209:AF209" si="1024">(B209+C209)/2</f>
        <v>53.655000000000001</v>
      </c>
      <c r="AD209" s="42">
        <f t="shared" si="1024"/>
        <v>43.4</v>
      </c>
      <c r="AE209" s="42">
        <f t="shared" si="1024"/>
        <v>32.64</v>
      </c>
      <c r="AF209" s="42">
        <f t="shared" si="1024"/>
        <v>23.240000000000002</v>
      </c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8"/>
      <c r="BK209" s="8"/>
      <c r="BL209" s="8"/>
      <c r="BM209" s="8"/>
    </row>
    <row r="210" spans="1:65" ht="15.75" hidden="1" customHeight="1" x14ac:dyDescent="0.45">
      <c r="A210" s="50">
        <f t="shared" si="3"/>
        <v>42349</v>
      </c>
      <c r="B210" s="51">
        <v>58.64</v>
      </c>
      <c r="C210" s="51">
        <v>47.99</v>
      </c>
      <c r="D210" s="51">
        <v>38.25</v>
      </c>
      <c r="E210" s="51">
        <v>26.78</v>
      </c>
      <c r="F210" s="51">
        <v>19.68</v>
      </c>
      <c r="G210" s="52">
        <v>52.34</v>
      </c>
      <c r="H210" s="37">
        <f t="shared" ref="H210:L210" si="1025">B210-B209</f>
        <v>-0.31000000000000227</v>
      </c>
      <c r="I210" s="38">
        <f t="shared" si="1025"/>
        <v>-0.36999999999999744</v>
      </c>
      <c r="J210" s="38">
        <f t="shared" si="1025"/>
        <v>-0.18999999999999773</v>
      </c>
      <c r="K210" s="38">
        <f t="shared" si="1025"/>
        <v>-5.9999999999998721E-2</v>
      </c>
      <c r="L210" s="39">
        <f t="shared" si="1025"/>
        <v>3.9999999999999147E-2</v>
      </c>
      <c r="M210" s="38"/>
      <c r="N210" s="40"/>
      <c r="O210" s="40"/>
      <c r="P210" s="40"/>
      <c r="Q210" s="40"/>
      <c r="R210" s="40"/>
      <c r="S210" s="40">
        <f t="shared" ref="S210:T210" si="1026">(B209+B210)/2</f>
        <v>58.795000000000002</v>
      </c>
      <c r="T210" s="40">
        <f t="shared" si="1026"/>
        <v>48.174999999999997</v>
      </c>
      <c r="U210" s="40">
        <f t="shared" si="6"/>
        <v>38.344999999999999</v>
      </c>
      <c r="V210" s="40">
        <f t="shared" ref="V210:W210" si="1027">(E209+E210)/2</f>
        <v>26.810000000000002</v>
      </c>
      <c r="W210" s="40">
        <f t="shared" si="1027"/>
        <v>19.66</v>
      </c>
      <c r="X210" s="41">
        <f t="shared" ref="X210:AB210" si="1028">(SUM(B207:B210))/4</f>
        <v>58.94</v>
      </c>
      <c r="Y210" s="40">
        <f t="shared" si="1028"/>
        <v>48.31</v>
      </c>
      <c r="Z210" s="40">
        <f t="shared" si="1028"/>
        <v>38.314999999999998</v>
      </c>
      <c r="AA210" s="40">
        <f t="shared" si="1028"/>
        <v>26.824999999999999</v>
      </c>
      <c r="AB210" s="47">
        <f t="shared" si="1028"/>
        <v>19.630000000000003</v>
      </c>
      <c r="AC210" s="42">
        <f t="shared" ref="AC210:AF210" si="1029">(B210+C210)/2</f>
        <v>53.314999999999998</v>
      </c>
      <c r="AD210" s="42">
        <f t="shared" si="1029"/>
        <v>43.120000000000005</v>
      </c>
      <c r="AE210" s="42">
        <f t="shared" si="1029"/>
        <v>32.515000000000001</v>
      </c>
      <c r="AF210" s="42">
        <f t="shared" si="1029"/>
        <v>23.23</v>
      </c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8"/>
      <c r="BK210" s="8"/>
      <c r="BL210" s="8"/>
      <c r="BM210" s="8"/>
    </row>
    <row r="211" spans="1:65" ht="15.75" hidden="1" customHeight="1" x14ac:dyDescent="0.45">
      <c r="A211" s="50">
        <f t="shared" si="3"/>
        <v>42356</v>
      </c>
      <c r="B211" s="51">
        <v>58.65</v>
      </c>
      <c r="C211" s="51">
        <v>48</v>
      </c>
      <c r="D211" s="51">
        <v>38.28</v>
      </c>
      <c r="E211" s="51">
        <v>26.84</v>
      </c>
      <c r="F211" s="51">
        <v>19.649999999999999</v>
      </c>
      <c r="G211" s="52">
        <v>51.88</v>
      </c>
      <c r="H211" s="37">
        <f t="shared" ref="H211:L211" si="1030">B211-B210</f>
        <v>9.9999999999980105E-3</v>
      </c>
      <c r="I211" s="38">
        <f t="shared" si="1030"/>
        <v>9.9999999999980105E-3</v>
      </c>
      <c r="J211" s="38">
        <f t="shared" si="1030"/>
        <v>3.0000000000001137E-2</v>
      </c>
      <c r="K211" s="38">
        <f t="shared" si="1030"/>
        <v>5.9999999999998721E-2</v>
      </c>
      <c r="L211" s="39">
        <f t="shared" si="1030"/>
        <v>-3.0000000000001137E-2</v>
      </c>
      <c r="M211" s="38"/>
      <c r="N211" s="40"/>
      <c r="O211" s="40"/>
      <c r="P211" s="40"/>
      <c r="Q211" s="40"/>
      <c r="R211" s="40"/>
      <c r="S211" s="40">
        <f t="shared" ref="S211:T211" si="1031">(B210+B211)/2</f>
        <v>58.644999999999996</v>
      </c>
      <c r="T211" s="40">
        <f t="shared" si="1031"/>
        <v>47.995000000000005</v>
      </c>
      <c r="U211" s="40">
        <f t="shared" si="6"/>
        <v>38.265000000000001</v>
      </c>
      <c r="V211" s="40">
        <f t="shared" ref="V211:W211" si="1032">(E210+E211)/2</f>
        <v>26.810000000000002</v>
      </c>
      <c r="W211" s="40">
        <f t="shared" si="1032"/>
        <v>19.664999999999999</v>
      </c>
      <c r="X211" s="41">
        <f t="shared" ref="X211:AB211" si="1033">(SUM(B208:B211))/4</f>
        <v>58.802500000000002</v>
      </c>
      <c r="Y211" s="40">
        <f t="shared" si="1033"/>
        <v>48.19</v>
      </c>
      <c r="Z211" s="40">
        <f t="shared" si="1033"/>
        <v>38.322499999999998</v>
      </c>
      <c r="AA211" s="40">
        <f t="shared" si="1033"/>
        <v>26.825000000000003</v>
      </c>
      <c r="AB211" s="47">
        <f t="shared" si="1033"/>
        <v>19.647500000000001</v>
      </c>
      <c r="AC211" s="42">
        <f t="shared" ref="AC211:AF211" si="1034">(B211+C211)/2</f>
        <v>53.325000000000003</v>
      </c>
      <c r="AD211" s="42">
        <f t="shared" si="1034"/>
        <v>43.14</v>
      </c>
      <c r="AE211" s="42">
        <f t="shared" si="1034"/>
        <v>32.56</v>
      </c>
      <c r="AF211" s="42">
        <f t="shared" si="1034"/>
        <v>23.244999999999997</v>
      </c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8"/>
      <c r="BK211" s="8"/>
      <c r="BL211" s="8"/>
      <c r="BM211" s="8"/>
    </row>
    <row r="212" spans="1:65" ht="15.75" hidden="1" customHeight="1" x14ac:dyDescent="0.45">
      <c r="A212" s="50">
        <f t="shared" si="3"/>
        <v>42363</v>
      </c>
      <c r="B212" s="51">
        <v>58.56</v>
      </c>
      <c r="C212" s="51">
        <v>48.02</v>
      </c>
      <c r="D212" s="51">
        <v>38.369999999999997</v>
      </c>
      <c r="E212" s="51">
        <v>26.74</v>
      </c>
      <c r="F212" s="51">
        <v>19.559999999999999</v>
      </c>
      <c r="G212" s="52">
        <v>50.63</v>
      </c>
      <c r="H212" s="37">
        <f t="shared" ref="H212:L212" si="1035">B212-B211</f>
        <v>-8.9999999999996305E-2</v>
      </c>
      <c r="I212" s="38">
        <f t="shared" si="1035"/>
        <v>2.0000000000003126E-2</v>
      </c>
      <c r="J212" s="38">
        <f t="shared" si="1035"/>
        <v>8.9999999999996305E-2</v>
      </c>
      <c r="K212" s="38">
        <f t="shared" si="1035"/>
        <v>-0.10000000000000142</v>
      </c>
      <c r="L212" s="39">
        <f t="shared" si="1035"/>
        <v>-8.9999999999999858E-2</v>
      </c>
      <c r="M212" s="38"/>
      <c r="N212" s="40"/>
      <c r="O212" s="40"/>
      <c r="P212" s="40"/>
      <c r="Q212" s="40"/>
      <c r="R212" s="40"/>
      <c r="S212" s="40">
        <f t="shared" ref="S212:T212" si="1036">(B211+B212)/2</f>
        <v>58.605000000000004</v>
      </c>
      <c r="T212" s="40">
        <f t="shared" si="1036"/>
        <v>48.010000000000005</v>
      </c>
      <c r="U212" s="40">
        <f t="shared" si="6"/>
        <v>38.325000000000003</v>
      </c>
      <c r="V212" s="40">
        <f t="shared" ref="V212:W212" si="1037">(E211+E212)/2</f>
        <v>26.79</v>
      </c>
      <c r="W212" s="40">
        <f t="shared" si="1037"/>
        <v>19.604999999999997</v>
      </c>
      <c r="X212" s="41">
        <f t="shared" ref="X212:AB212" si="1038">(SUM(B209:B212))/4</f>
        <v>58.7</v>
      </c>
      <c r="Y212" s="40">
        <f t="shared" si="1038"/>
        <v>48.092500000000001</v>
      </c>
      <c r="Z212" s="40">
        <f t="shared" si="1038"/>
        <v>38.335000000000001</v>
      </c>
      <c r="AA212" s="40">
        <f t="shared" si="1038"/>
        <v>26.8</v>
      </c>
      <c r="AB212" s="47">
        <f t="shared" si="1038"/>
        <v>19.6325</v>
      </c>
      <c r="AC212" s="42">
        <f t="shared" ref="AC212:AF212" si="1039">(B212+C212)/2</f>
        <v>53.290000000000006</v>
      </c>
      <c r="AD212" s="42">
        <f t="shared" si="1039"/>
        <v>43.195</v>
      </c>
      <c r="AE212" s="42">
        <f t="shared" si="1039"/>
        <v>32.555</v>
      </c>
      <c r="AF212" s="42">
        <f t="shared" si="1039"/>
        <v>23.15</v>
      </c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8"/>
      <c r="BK212" s="8"/>
      <c r="BL212" s="8"/>
      <c r="BM212" s="8"/>
    </row>
    <row r="213" spans="1:65" ht="15.75" hidden="1" customHeight="1" x14ac:dyDescent="0.45">
      <c r="A213" s="50">
        <f t="shared" si="3"/>
        <v>42370</v>
      </c>
      <c r="B213" s="51">
        <v>58.55</v>
      </c>
      <c r="C213" s="51">
        <v>47.65</v>
      </c>
      <c r="D213" s="51">
        <v>38.15</v>
      </c>
      <c r="E213" s="51">
        <v>26.65</v>
      </c>
      <c r="F213" s="51">
        <v>19.579999999999998</v>
      </c>
      <c r="G213" s="52">
        <v>50.49</v>
      </c>
      <c r="H213" s="37">
        <f t="shared" ref="H213:L213" si="1040">B213-B212</f>
        <v>-1.0000000000005116E-2</v>
      </c>
      <c r="I213" s="38">
        <f t="shared" si="1040"/>
        <v>-0.37000000000000455</v>
      </c>
      <c r="J213" s="38">
        <f t="shared" si="1040"/>
        <v>-0.21999999999999886</v>
      </c>
      <c r="K213" s="38">
        <f t="shared" si="1040"/>
        <v>-8.9999999999999858E-2</v>
      </c>
      <c r="L213" s="39">
        <f t="shared" si="1040"/>
        <v>1.9999999999999574E-2</v>
      </c>
      <c r="M213" s="38"/>
      <c r="N213" s="40"/>
      <c r="O213" s="40"/>
      <c r="P213" s="40"/>
      <c r="Q213" s="40"/>
      <c r="R213" s="40"/>
      <c r="S213" s="40">
        <f t="shared" ref="S213:T213" si="1041">(B212+B213)/2</f>
        <v>58.555</v>
      </c>
      <c r="T213" s="40">
        <f t="shared" si="1041"/>
        <v>47.835000000000001</v>
      </c>
      <c r="U213" s="40">
        <f t="shared" si="6"/>
        <v>38.26</v>
      </c>
      <c r="V213" s="40">
        <f t="shared" ref="V213:W213" si="1042">(E212+E213)/2</f>
        <v>26.695</v>
      </c>
      <c r="W213" s="40">
        <f t="shared" si="1042"/>
        <v>19.57</v>
      </c>
      <c r="X213" s="41">
        <f t="shared" ref="X213:AB213" si="1043">(SUM(B210:B213))/4</f>
        <v>58.599999999999994</v>
      </c>
      <c r="Y213" s="40">
        <f t="shared" si="1043"/>
        <v>47.915000000000006</v>
      </c>
      <c r="Z213" s="40">
        <f t="shared" si="1043"/>
        <v>38.262500000000003</v>
      </c>
      <c r="AA213" s="40">
        <f t="shared" si="1043"/>
        <v>26.752499999999998</v>
      </c>
      <c r="AB213" s="47">
        <f t="shared" si="1043"/>
        <v>19.6175</v>
      </c>
      <c r="AC213" s="42">
        <f t="shared" ref="AC213:AF213" si="1044">(B213+C213)/2</f>
        <v>53.099999999999994</v>
      </c>
      <c r="AD213" s="42">
        <f t="shared" si="1044"/>
        <v>42.9</v>
      </c>
      <c r="AE213" s="42">
        <f t="shared" si="1044"/>
        <v>32.4</v>
      </c>
      <c r="AF213" s="42">
        <f t="shared" si="1044"/>
        <v>23.114999999999998</v>
      </c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8"/>
      <c r="BK213" s="8"/>
      <c r="BL213" s="8"/>
      <c r="BM213" s="8"/>
    </row>
    <row r="214" spans="1:65" ht="15.75" hidden="1" customHeight="1" x14ac:dyDescent="0.45">
      <c r="A214" s="50">
        <f t="shared" si="3"/>
        <v>42377</v>
      </c>
      <c r="B214" s="51">
        <v>58.2</v>
      </c>
      <c r="C214" s="51">
        <v>47.62</v>
      </c>
      <c r="D214" s="51">
        <v>37.99</v>
      </c>
      <c r="E214" s="51">
        <v>26.69</v>
      </c>
      <c r="F214" s="51">
        <v>19.48</v>
      </c>
      <c r="G214" s="52">
        <v>49.6</v>
      </c>
      <c r="H214" s="37">
        <f t="shared" ref="H214:L214" si="1045">B214-B213</f>
        <v>-0.34999999999999432</v>
      </c>
      <c r="I214" s="38">
        <f t="shared" si="1045"/>
        <v>-3.0000000000001137E-2</v>
      </c>
      <c r="J214" s="38">
        <f t="shared" si="1045"/>
        <v>-0.15999999999999659</v>
      </c>
      <c r="K214" s="38">
        <f t="shared" si="1045"/>
        <v>4.00000000000027E-2</v>
      </c>
      <c r="L214" s="39">
        <f t="shared" si="1045"/>
        <v>-9.9999999999997868E-2</v>
      </c>
      <c r="M214" s="38"/>
      <c r="N214" s="40"/>
      <c r="O214" s="40"/>
      <c r="P214" s="40"/>
      <c r="Q214" s="40"/>
      <c r="R214" s="40"/>
      <c r="S214" s="40">
        <f t="shared" ref="S214:T214" si="1046">(B213+B214)/2</f>
        <v>58.375</v>
      </c>
      <c r="T214" s="40">
        <f t="shared" si="1046"/>
        <v>47.634999999999998</v>
      </c>
      <c r="U214" s="40">
        <f t="shared" si="6"/>
        <v>38.07</v>
      </c>
      <c r="V214" s="40">
        <f t="shared" ref="V214:W214" si="1047">(E213+E214)/2</f>
        <v>26.67</v>
      </c>
      <c r="W214" s="40">
        <f t="shared" si="1047"/>
        <v>19.53</v>
      </c>
      <c r="X214" s="41">
        <f t="shared" ref="X214:AB214" si="1048">(SUM(B211:B214))/4</f>
        <v>58.489999999999995</v>
      </c>
      <c r="Y214" s="40">
        <f t="shared" si="1048"/>
        <v>47.822500000000005</v>
      </c>
      <c r="Z214" s="40">
        <f t="shared" si="1048"/>
        <v>38.197500000000005</v>
      </c>
      <c r="AA214" s="40">
        <f t="shared" si="1048"/>
        <v>26.729999999999997</v>
      </c>
      <c r="AB214" s="47">
        <f t="shared" si="1048"/>
        <v>19.567499999999999</v>
      </c>
      <c r="AC214" s="42">
        <f t="shared" ref="AC214:AF214" si="1049">(B214+C214)/2</f>
        <v>52.91</v>
      </c>
      <c r="AD214" s="42">
        <f t="shared" si="1049"/>
        <v>42.805</v>
      </c>
      <c r="AE214" s="42">
        <f t="shared" si="1049"/>
        <v>32.340000000000003</v>
      </c>
      <c r="AF214" s="42">
        <f t="shared" si="1049"/>
        <v>23.085000000000001</v>
      </c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8"/>
      <c r="BK214" s="8"/>
      <c r="BL214" s="8"/>
      <c r="BM214" s="8"/>
    </row>
    <row r="215" spans="1:65" ht="15.75" hidden="1" customHeight="1" x14ac:dyDescent="0.45">
      <c r="A215" s="50">
        <f t="shared" si="3"/>
        <v>42384</v>
      </c>
      <c r="B215" s="51">
        <v>57.83</v>
      </c>
      <c r="C215" s="51">
        <v>47.47</v>
      </c>
      <c r="D215" s="51">
        <v>37.83</v>
      </c>
      <c r="E215" s="51">
        <v>26.63</v>
      </c>
      <c r="F215" s="51">
        <v>19.510000000000002</v>
      </c>
      <c r="G215" s="52">
        <v>48.41</v>
      </c>
      <c r="H215" s="37">
        <f t="shared" ref="H215:L215" si="1050">B215-B214</f>
        <v>-0.37000000000000455</v>
      </c>
      <c r="I215" s="38">
        <f t="shared" si="1050"/>
        <v>-0.14999999999999858</v>
      </c>
      <c r="J215" s="38">
        <f t="shared" si="1050"/>
        <v>-0.16000000000000369</v>
      </c>
      <c r="K215" s="38">
        <f t="shared" si="1050"/>
        <v>-6.0000000000002274E-2</v>
      </c>
      <c r="L215" s="39">
        <f t="shared" si="1050"/>
        <v>3.0000000000001137E-2</v>
      </c>
      <c r="M215" s="38"/>
      <c r="N215" s="40"/>
      <c r="O215" s="40"/>
      <c r="P215" s="40"/>
      <c r="Q215" s="40"/>
      <c r="R215" s="40"/>
      <c r="S215" s="40">
        <f t="shared" ref="S215:T215" si="1051">(B214+B215)/2</f>
        <v>58.015000000000001</v>
      </c>
      <c r="T215" s="40">
        <f t="shared" si="1051"/>
        <v>47.545000000000002</v>
      </c>
      <c r="U215" s="40">
        <f t="shared" si="6"/>
        <v>37.909999999999997</v>
      </c>
      <c r="V215" s="40">
        <f t="shared" ref="V215:W215" si="1052">(E214+E215)/2</f>
        <v>26.66</v>
      </c>
      <c r="W215" s="40">
        <f t="shared" si="1052"/>
        <v>19.495000000000001</v>
      </c>
      <c r="X215" s="41">
        <f t="shared" ref="X215:AB215" si="1053">(SUM(B212:B215))/4</f>
        <v>58.284999999999997</v>
      </c>
      <c r="Y215" s="40">
        <f t="shared" si="1053"/>
        <v>47.69</v>
      </c>
      <c r="Z215" s="40">
        <f t="shared" si="1053"/>
        <v>38.084999999999994</v>
      </c>
      <c r="AA215" s="40">
        <f t="shared" si="1053"/>
        <v>26.677499999999998</v>
      </c>
      <c r="AB215" s="47">
        <f t="shared" si="1053"/>
        <v>19.532500000000002</v>
      </c>
      <c r="AC215" s="42">
        <f t="shared" ref="AC215:AF215" si="1054">(B215+C215)/2</f>
        <v>52.65</v>
      </c>
      <c r="AD215" s="42">
        <f t="shared" si="1054"/>
        <v>42.65</v>
      </c>
      <c r="AE215" s="42">
        <f t="shared" si="1054"/>
        <v>32.229999999999997</v>
      </c>
      <c r="AF215" s="42">
        <f t="shared" si="1054"/>
        <v>23.07</v>
      </c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8"/>
      <c r="BK215" s="8"/>
      <c r="BL215" s="8"/>
      <c r="BM215" s="8"/>
    </row>
    <row r="216" spans="1:65" ht="15.75" hidden="1" customHeight="1" x14ac:dyDescent="0.45">
      <c r="A216" s="50">
        <f t="shared" si="3"/>
        <v>42391</v>
      </c>
      <c r="B216" s="51">
        <v>57.74</v>
      </c>
      <c r="C216" s="51">
        <v>47.18</v>
      </c>
      <c r="D216" s="51">
        <v>37.47</v>
      </c>
      <c r="E216" s="51">
        <v>26.43</v>
      </c>
      <c r="F216" s="51">
        <v>19.46</v>
      </c>
      <c r="G216" s="52">
        <v>47.37</v>
      </c>
      <c r="H216" s="37">
        <f t="shared" ref="H216:L216" si="1055">B216-B215</f>
        <v>-8.9999999999996305E-2</v>
      </c>
      <c r="I216" s="38">
        <f t="shared" si="1055"/>
        <v>-0.28999999999999915</v>
      </c>
      <c r="J216" s="38">
        <f t="shared" si="1055"/>
        <v>-0.35999999999999943</v>
      </c>
      <c r="K216" s="38">
        <f t="shared" si="1055"/>
        <v>-0.19999999999999929</v>
      </c>
      <c r="L216" s="39">
        <f t="shared" si="1055"/>
        <v>-5.0000000000000711E-2</v>
      </c>
      <c r="M216" s="38"/>
      <c r="N216" s="40"/>
      <c r="O216" s="40"/>
      <c r="P216" s="40"/>
      <c r="Q216" s="40"/>
      <c r="R216" s="40"/>
      <c r="S216" s="40">
        <f t="shared" ref="S216:T216" si="1056">(B215+B216)/2</f>
        <v>57.784999999999997</v>
      </c>
      <c r="T216" s="40">
        <f t="shared" si="1056"/>
        <v>47.325000000000003</v>
      </c>
      <c r="U216" s="40">
        <f t="shared" si="6"/>
        <v>37.65</v>
      </c>
      <c r="V216" s="40">
        <f t="shared" ref="V216:W216" si="1057">(E215+E216)/2</f>
        <v>26.53</v>
      </c>
      <c r="W216" s="40">
        <f t="shared" si="1057"/>
        <v>19.484999999999999</v>
      </c>
      <c r="X216" s="41">
        <f t="shared" ref="X216:AB216" si="1058">(SUM(B213:B216))/4</f>
        <v>58.08</v>
      </c>
      <c r="Y216" s="40">
        <f t="shared" si="1058"/>
        <v>47.480000000000004</v>
      </c>
      <c r="Z216" s="40">
        <f t="shared" si="1058"/>
        <v>37.86</v>
      </c>
      <c r="AA216" s="40">
        <f t="shared" si="1058"/>
        <v>26.6</v>
      </c>
      <c r="AB216" s="47">
        <f t="shared" si="1058"/>
        <v>19.5075</v>
      </c>
      <c r="AC216" s="42">
        <f t="shared" ref="AC216:AF216" si="1059">(B216+C216)/2</f>
        <v>52.46</v>
      </c>
      <c r="AD216" s="42">
        <f t="shared" si="1059"/>
        <v>42.325000000000003</v>
      </c>
      <c r="AE216" s="42">
        <f t="shared" si="1059"/>
        <v>31.95</v>
      </c>
      <c r="AF216" s="42">
        <f t="shared" si="1059"/>
        <v>22.945</v>
      </c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8"/>
      <c r="BK216" s="8"/>
      <c r="BL216" s="8"/>
      <c r="BM216" s="8"/>
    </row>
    <row r="217" spans="1:65" ht="15.75" hidden="1" customHeight="1" x14ac:dyDescent="0.45">
      <c r="A217" s="50">
        <f t="shared" si="3"/>
        <v>42398</v>
      </c>
      <c r="B217" s="51">
        <v>57.46</v>
      </c>
      <c r="C217" s="51">
        <v>46.87</v>
      </c>
      <c r="D217" s="51">
        <v>37.49</v>
      </c>
      <c r="E217" s="51">
        <v>26.52</v>
      </c>
      <c r="F217" s="51">
        <v>19.37</v>
      </c>
      <c r="G217" s="52">
        <v>48.14</v>
      </c>
      <c r="H217" s="37">
        <f t="shared" ref="H217:L217" si="1060">B217-B216</f>
        <v>-0.28000000000000114</v>
      </c>
      <c r="I217" s="38">
        <f t="shared" si="1060"/>
        <v>-0.31000000000000227</v>
      </c>
      <c r="J217" s="38">
        <f t="shared" si="1060"/>
        <v>2.0000000000003126E-2</v>
      </c>
      <c r="K217" s="38">
        <f t="shared" si="1060"/>
        <v>8.9999999999999858E-2</v>
      </c>
      <c r="L217" s="39">
        <f t="shared" si="1060"/>
        <v>-8.9999999999999858E-2</v>
      </c>
      <c r="M217" s="38"/>
      <c r="N217" s="40"/>
      <c r="O217" s="40"/>
      <c r="P217" s="40"/>
      <c r="Q217" s="40"/>
      <c r="R217" s="40"/>
      <c r="S217" s="40">
        <f t="shared" ref="S217:T217" si="1061">(B216+B217)/2</f>
        <v>57.6</v>
      </c>
      <c r="T217" s="40">
        <f t="shared" si="1061"/>
        <v>47.024999999999999</v>
      </c>
      <c r="U217" s="40">
        <f t="shared" si="6"/>
        <v>37.480000000000004</v>
      </c>
      <c r="V217" s="40">
        <f t="shared" ref="V217:W217" si="1062">(E216+E217)/2</f>
        <v>26.475000000000001</v>
      </c>
      <c r="W217" s="40">
        <f t="shared" si="1062"/>
        <v>19.414999999999999</v>
      </c>
      <c r="X217" s="41">
        <f t="shared" ref="X217:AB217" si="1063">(SUM(B214:B217))/4</f>
        <v>57.807500000000005</v>
      </c>
      <c r="Y217" s="40">
        <f t="shared" si="1063"/>
        <v>47.285000000000004</v>
      </c>
      <c r="Z217" s="40">
        <f t="shared" si="1063"/>
        <v>37.695</v>
      </c>
      <c r="AA217" s="40">
        <f t="shared" si="1063"/>
        <v>26.567499999999999</v>
      </c>
      <c r="AB217" s="47">
        <f t="shared" si="1063"/>
        <v>19.455000000000002</v>
      </c>
      <c r="AC217" s="42">
        <f t="shared" ref="AC217:AF217" si="1064">(B217+C217)/2</f>
        <v>52.164999999999999</v>
      </c>
      <c r="AD217" s="42">
        <f t="shared" si="1064"/>
        <v>42.18</v>
      </c>
      <c r="AE217" s="42">
        <f t="shared" si="1064"/>
        <v>32.005000000000003</v>
      </c>
      <c r="AF217" s="42">
        <f t="shared" si="1064"/>
        <v>22.945</v>
      </c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8"/>
      <c r="BK217" s="8"/>
      <c r="BL217" s="8"/>
      <c r="BM217" s="8"/>
    </row>
    <row r="218" spans="1:65" ht="15.75" hidden="1" customHeight="1" x14ac:dyDescent="0.45">
      <c r="A218" s="50">
        <f t="shared" si="3"/>
        <v>42405</v>
      </c>
      <c r="B218" s="51">
        <v>57.42</v>
      </c>
      <c r="C218" s="51">
        <v>46.91</v>
      </c>
      <c r="D218" s="51">
        <v>37.36</v>
      </c>
      <c r="E218" s="51">
        <v>26.41</v>
      </c>
      <c r="F218" s="51">
        <v>19.37</v>
      </c>
      <c r="G218" s="52">
        <v>49.14</v>
      </c>
      <c r="H218" s="37">
        <f t="shared" ref="H218:L218" si="1065">B218-B217</f>
        <v>-3.9999999999999147E-2</v>
      </c>
      <c r="I218" s="38">
        <f t="shared" si="1065"/>
        <v>3.9999999999999147E-2</v>
      </c>
      <c r="J218" s="38">
        <f t="shared" si="1065"/>
        <v>-0.13000000000000256</v>
      </c>
      <c r="K218" s="38">
        <f t="shared" si="1065"/>
        <v>-0.10999999999999943</v>
      </c>
      <c r="L218" s="39">
        <f t="shared" si="1065"/>
        <v>0</v>
      </c>
      <c r="M218" s="38"/>
      <c r="N218" s="40"/>
      <c r="O218" s="40"/>
      <c r="P218" s="40"/>
      <c r="Q218" s="40"/>
      <c r="R218" s="40"/>
      <c r="S218" s="40">
        <f t="shared" ref="S218:T218" si="1066">(B217+B218)/2</f>
        <v>57.44</v>
      </c>
      <c r="T218" s="40">
        <f t="shared" si="1066"/>
        <v>46.89</v>
      </c>
      <c r="U218" s="40">
        <f t="shared" si="6"/>
        <v>37.424999999999997</v>
      </c>
      <c r="V218" s="40">
        <f t="shared" ref="V218:W218" si="1067">(E217+E218)/2</f>
        <v>26.465</v>
      </c>
      <c r="W218" s="40">
        <f t="shared" si="1067"/>
        <v>19.37</v>
      </c>
      <c r="X218" s="41">
        <f t="shared" ref="X218:AB218" si="1068">(SUM(B215:B218))/4</f>
        <v>57.612499999999997</v>
      </c>
      <c r="Y218" s="40">
        <f t="shared" si="1068"/>
        <v>47.107500000000002</v>
      </c>
      <c r="Z218" s="40">
        <f t="shared" si="1068"/>
        <v>37.537499999999994</v>
      </c>
      <c r="AA218" s="40">
        <f t="shared" si="1068"/>
        <v>26.497499999999999</v>
      </c>
      <c r="AB218" s="47">
        <f t="shared" si="1068"/>
        <v>19.427500000000002</v>
      </c>
      <c r="AC218" s="42">
        <f t="shared" ref="AC218:AF218" si="1069">(B218+C218)/2</f>
        <v>52.164999999999999</v>
      </c>
      <c r="AD218" s="42">
        <f t="shared" si="1069"/>
        <v>42.134999999999998</v>
      </c>
      <c r="AE218" s="42">
        <f t="shared" si="1069"/>
        <v>31.884999999999998</v>
      </c>
      <c r="AF218" s="42">
        <f t="shared" si="1069"/>
        <v>22.89</v>
      </c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8"/>
      <c r="BK218" s="8"/>
      <c r="BL218" s="8"/>
      <c r="BM218" s="8"/>
    </row>
    <row r="219" spans="1:65" ht="15.75" hidden="1" customHeight="1" x14ac:dyDescent="0.45">
      <c r="A219" s="50">
        <f t="shared" si="3"/>
        <v>42412</v>
      </c>
      <c r="B219" s="51">
        <v>57.46</v>
      </c>
      <c r="C219" s="51">
        <v>46.69</v>
      </c>
      <c r="D219" s="51">
        <v>37.590000000000003</v>
      </c>
      <c r="E219" s="51">
        <v>26.35</v>
      </c>
      <c r="F219" s="51">
        <v>19.38</v>
      </c>
      <c r="G219" s="52">
        <v>50.1</v>
      </c>
      <c r="H219" s="37">
        <f t="shared" ref="H219:L219" si="1070">B219-B218</f>
        <v>3.9999999999999147E-2</v>
      </c>
      <c r="I219" s="38">
        <f t="shared" si="1070"/>
        <v>-0.21999999999999886</v>
      </c>
      <c r="J219" s="38">
        <f t="shared" si="1070"/>
        <v>0.23000000000000398</v>
      </c>
      <c r="K219" s="38">
        <f t="shared" si="1070"/>
        <v>-5.9999999999998721E-2</v>
      </c>
      <c r="L219" s="39">
        <f t="shared" si="1070"/>
        <v>9.9999999999980105E-3</v>
      </c>
      <c r="M219" s="38"/>
      <c r="N219" s="40"/>
      <c r="O219" s="40"/>
      <c r="P219" s="40"/>
      <c r="Q219" s="40"/>
      <c r="R219" s="40"/>
      <c r="S219" s="40">
        <f t="shared" ref="S219:T219" si="1071">(B218+B219)/2</f>
        <v>57.44</v>
      </c>
      <c r="T219" s="40">
        <f t="shared" si="1071"/>
        <v>46.8</v>
      </c>
      <c r="U219" s="40">
        <f t="shared" si="6"/>
        <v>37.475000000000001</v>
      </c>
      <c r="V219" s="40">
        <f t="shared" ref="V219:W219" si="1072">(E218+E219)/2</f>
        <v>26.380000000000003</v>
      </c>
      <c r="W219" s="40">
        <f t="shared" si="1072"/>
        <v>19.375</v>
      </c>
      <c r="X219" s="41">
        <f t="shared" ref="X219:AB219" si="1073">(SUM(B216:B219))/4</f>
        <v>57.52</v>
      </c>
      <c r="Y219" s="40">
        <f t="shared" si="1073"/>
        <v>46.912499999999994</v>
      </c>
      <c r="Z219" s="40">
        <f t="shared" si="1073"/>
        <v>37.477500000000006</v>
      </c>
      <c r="AA219" s="40">
        <f t="shared" si="1073"/>
        <v>26.427500000000002</v>
      </c>
      <c r="AB219" s="47">
        <f t="shared" si="1073"/>
        <v>19.395</v>
      </c>
      <c r="AC219" s="42">
        <f t="shared" ref="AC219:AF219" si="1074">(B219+C219)/2</f>
        <v>52.075000000000003</v>
      </c>
      <c r="AD219" s="42">
        <f t="shared" si="1074"/>
        <v>42.14</v>
      </c>
      <c r="AE219" s="42">
        <f t="shared" si="1074"/>
        <v>31.970000000000002</v>
      </c>
      <c r="AF219" s="42">
        <f t="shared" si="1074"/>
        <v>22.865000000000002</v>
      </c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8"/>
      <c r="BK219" s="8"/>
      <c r="BL219" s="8"/>
      <c r="BM219" s="8"/>
    </row>
    <row r="220" spans="1:65" ht="15.75" hidden="1" customHeight="1" x14ac:dyDescent="0.45">
      <c r="A220" s="50">
        <f t="shared" si="3"/>
        <v>42419</v>
      </c>
      <c r="B220" s="51">
        <v>57.22</v>
      </c>
      <c r="C220" s="51">
        <v>46.66</v>
      </c>
      <c r="D220" s="51">
        <v>37.79</v>
      </c>
      <c r="E220" s="51">
        <v>26.37</v>
      </c>
      <c r="F220" s="51">
        <v>19.350000000000001</v>
      </c>
      <c r="G220" s="52">
        <v>51</v>
      </c>
      <c r="H220" s="37">
        <f t="shared" ref="H220:L220" si="1075">B220-B219</f>
        <v>-0.24000000000000199</v>
      </c>
      <c r="I220" s="38">
        <f t="shared" si="1075"/>
        <v>-3.0000000000001137E-2</v>
      </c>
      <c r="J220" s="38">
        <f t="shared" si="1075"/>
        <v>0.19999999999999574</v>
      </c>
      <c r="K220" s="38">
        <f t="shared" si="1075"/>
        <v>1.9999999999999574E-2</v>
      </c>
      <c r="L220" s="39">
        <f t="shared" si="1075"/>
        <v>-2.9999999999997584E-2</v>
      </c>
      <c r="M220" s="38"/>
      <c r="N220" s="40"/>
      <c r="O220" s="40"/>
      <c r="P220" s="40"/>
      <c r="Q220" s="40"/>
      <c r="R220" s="40"/>
      <c r="S220" s="40">
        <f t="shared" ref="S220:T220" si="1076">(B219+B220)/2</f>
        <v>57.34</v>
      </c>
      <c r="T220" s="40">
        <f t="shared" si="1076"/>
        <v>46.674999999999997</v>
      </c>
      <c r="U220" s="40">
        <f t="shared" si="6"/>
        <v>37.69</v>
      </c>
      <c r="V220" s="40">
        <f t="shared" ref="V220:W220" si="1077">(E219+E220)/2</f>
        <v>26.36</v>
      </c>
      <c r="W220" s="40">
        <f t="shared" si="1077"/>
        <v>19.365000000000002</v>
      </c>
      <c r="X220" s="41">
        <f t="shared" ref="X220:AB220" si="1078">(SUM(B217:B220))/4</f>
        <v>57.39</v>
      </c>
      <c r="Y220" s="40">
        <f t="shared" si="1078"/>
        <v>46.782499999999999</v>
      </c>
      <c r="Z220" s="40">
        <f t="shared" si="1078"/>
        <v>37.557499999999997</v>
      </c>
      <c r="AA220" s="40">
        <f t="shared" si="1078"/>
        <v>26.412500000000001</v>
      </c>
      <c r="AB220" s="47">
        <f t="shared" si="1078"/>
        <v>19.3675</v>
      </c>
      <c r="AC220" s="42">
        <f t="shared" ref="AC220:AF220" si="1079">(B220+C220)/2</f>
        <v>51.94</v>
      </c>
      <c r="AD220" s="42">
        <f t="shared" si="1079"/>
        <v>42.224999999999994</v>
      </c>
      <c r="AE220" s="42">
        <f t="shared" si="1079"/>
        <v>32.08</v>
      </c>
      <c r="AF220" s="42">
        <f t="shared" si="1079"/>
        <v>22.86</v>
      </c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8"/>
      <c r="BK220" s="8"/>
      <c r="BL220" s="8"/>
      <c r="BM220" s="8"/>
    </row>
    <row r="221" spans="1:65" ht="15.75" hidden="1" customHeight="1" x14ac:dyDescent="0.45">
      <c r="A221" s="50">
        <f t="shared" si="3"/>
        <v>42426</v>
      </c>
      <c r="B221" s="51">
        <v>57.19</v>
      </c>
      <c r="C221" s="51">
        <v>46.46</v>
      </c>
      <c r="D221" s="51">
        <v>37.700000000000003</v>
      </c>
      <c r="E221" s="51">
        <v>26.57</v>
      </c>
      <c r="F221" s="51">
        <v>19.420000000000002</v>
      </c>
      <c r="G221" s="52">
        <v>51.29</v>
      </c>
      <c r="H221" s="37">
        <f t="shared" ref="H221:L221" si="1080">B221-B220</f>
        <v>-3.0000000000001137E-2</v>
      </c>
      <c r="I221" s="38">
        <f t="shared" si="1080"/>
        <v>-0.19999999999999574</v>
      </c>
      <c r="J221" s="38">
        <f t="shared" si="1080"/>
        <v>-8.9999999999996305E-2</v>
      </c>
      <c r="K221" s="38">
        <f t="shared" si="1080"/>
        <v>0.19999999999999929</v>
      </c>
      <c r="L221" s="39">
        <f t="shared" si="1080"/>
        <v>7.0000000000000284E-2</v>
      </c>
      <c r="M221" s="38"/>
      <c r="N221" s="40"/>
      <c r="O221" s="40"/>
      <c r="P221" s="40"/>
      <c r="Q221" s="40"/>
      <c r="R221" s="40"/>
      <c r="S221" s="40">
        <f t="shared" ref="S221:T221" si="1081">(B220+B221)/2</f>
        <v>57.204999999999998</v>
      </c>
      <c r="T221" s="40">
        <f t="shared" si="1081"/>
        <v>46.56</v>
      </c>
      <c r="U221" s="40">
        <f t="shared" si="6"/>
        <v>37.745000000000005</v>
      </c>
      <c r="V221" s="40">
        <f t="shared" ref="V221:W221" si="1082">(E220+E221)/2</f>
        <v>26.47</v>
      </c>
      <c r="W221" s="40">
        <f t="shared" si="1082"/>
        <v>19.385000000000002</v>
      </c>
      <c r="X221" s="41">
        <f t="shared" ref="X221:AB221" si="1083">(SUM(B218:B221))/4</f>
        <v>57.322499999999998</v>
      </c>
      <c r="Y221" s="40">
        <f t="shared" si="1083"/>
        <v>46.68</v>
      </c>
      <c r="Z221" s="40">
        <f t="shared" si="1083"/>
        <v>37.61</v>
      </c>
      <c r="AA221" s="40">
        <f t="shared" si="1083"/>
        <v>26.425000000000004</v>
      </c>
      <c r="AB221" s="47">
        <f t="shared" si="1083"/>
        <v>19.380000000000003</v>
      </c>
      <c r="AC221" s="42">
        <f t="shared" ref="AC221:AF221" si="1084">(B221+C221)/2</f>
        <v>51.825000000000003</v>
      </c>
      <c r="AD221" s="42">
        <f t="shared" si="1084"/>
        <v>42.08</v>
      </c>
      <c r="AE221" s="42">
        <f t="shared" si="1084"/>
        <v>32.135000000000005</v>
      </c>
      <c r="AF221" s="42">
        <f t="shared" si="1084"/>
        <v>22.995000000000001</v>
      </c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8"/>
      <c r="BK221" s="8"/>
      <c r="BL221" s="8"/>
      <c r="BM221" s="8"/>
    </row>
    <row r="222" spans="1:65" ht="15.75" hidden="1" customHeight="1" x14ac:dyDescent="0.45">
      <c r="A222" s="50">
        <f t="shared" si="3"/>
        <v>42433</v>
      </c>
      <c r="B222" s="51">
        <v>57.19</v>
      </c>
      <c r="C222" s="51">
        <v>46.71</v>
      </c>
      <c r="D222" s="51">
        <v>37.99</v>
      </c>
      <c r="E222" s="51">
        <v>26.65</v>
      </c>
      <c r="F222" s="51">
        <v>19.47</v>
      </c>
      <c r="G222" s="52">
        <v>50.21</v>
      </c>
      <c r="H222" s="37">
        <f t="shared" ref="H222:L222" si="1085">B222-B221</f>
        <v>0</v>
      </c>
      <c r="I222" s="38">
        <f t="shared" si="1085"/>
        <v>0.25</v>
      </c>
      <c r="J222" s="38">
        <f t="shared" si="1085"/>
        <v>0.28999999999999915</v>
      </c>
      <c r="K222" s="38">
        <f t="shared" si="1085"/>
        <v>7.9999999999998295E-2</v>
      </c>
      <c r="L222" s="39">
        <f t="shared" si="1085"/>
        <v>4.9999999999997158E-2</v>
      </c>
      <c r="M222" s="38"/>
      <c r="N222" s="40"/>
      <c r="O222" s="40"/>
      <c r="P222" s="40"/>
      <c r="Q222" s="40"/>
      <c r="R222" s="40"/>
      <c r="S222" s="40">
        <f t="shared" ref="S222:T222" si="1086">(B221+B222)/2</f>
        <v>57.19</v>
      </c>
      <c r="T222" s="40">
        <f t="shared" si="1086"/>
        <v>46.585000000000001</v>
      </c>
      <c r="U222" s="40">
        <f t="shared" si="6"/>
        <v>37.844999999999999</v>
      </c>
      <c r="V222" s="40">
        <f t="shared" ref="V222:W222" si="1087">(E221+E222)/2</f>
        <v>26.61</v>
      </c>
      <c r="W222" s="40">
        <f t="shared" si="1087"/>
        <v>19.445</v>
      </c>
      <c r="X222" s="41">
        <f t="shared" ref="X222:AB222" si="1088">(SUM(B219:B222))/4</f>
        <v>57.265000000000001</v>
      </c>
      <c r="Y222" s="40">
        <f t="shared" si="1088"/>
        <v>46.63</v>
      </c>
      <c r="Z222" s="40">
        <f t="shared" si="1088"/>
        <v>37.767499999999998</v>
      </c>
      <c r="AA222" s="40">
        <f t="shared" si="1088"/>
        <v>26.484999999999999</v>
      </c>
      <c r="AB222" s="47">
        <f t="shared" si="1088"/>
        <v>19.405000000000001</v>
      </c>
      <c r="AC222" s="42">
        <f t="shared" ref="AC222:AF222" si="1089">(B222+C222)/2</f>
        <v>51.95</v>
      </c>
      <c r="AD222" s="42">
        <f t="shared" si="1089"/>
        <v>42.35</v>
      </c>
      <c r="AE222" s="42">
        <f t="shared" si="1089"/>
        <v>32.32</v>
      </c>
      <c r="AF222" s="42">
        <f t="shared" si="1089"/>
        <v>23.06</v>
      </c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8"/>
      <c r="BK222" s="8"/>
      <c r="BL222" s="8"/>
      <c r="BM222" s="8"/>
    </row>
    <row r="223" spans="1:65" ht="15.75" hidden="1" customHeight="1" x14ac:dyDescent="0.45">
      <c r="A223" s="50">
        <f t="shared" si="3"/>
        <v>42440</v>
      </c>
      <c r="B223" s="51">
        <v>57.12</v>
      </c>
      <c r="C223" s="51">
        <v>46.79</v>
      </c>
      <c r="D223" s="51">
        <v>38.07</v>
      </c>
      <c r="E223" s="51">
        <v>26.61</v>
      </c>
      <c r="F223" s="51">
        <v>19.579999999999998</v>
      </c>
      <c r="G223" s="52">
        <v>52.59</v>
      </c>
      <c r="H223" s="37">
        <f t="shared" ref="H223:L223" si="1090">B223-B222</f>
        <v>-7.0000000000000284E-2</v>
      </c>
      <c r="I223" s="38">
        <f t="shared" si="1090"/>
        <v>7.9999999999998295E-2</v>
      </c>
      <c r="J223" s="38">
        <f t="shared" si="1090"/>
        <v>7.9999999999998295E-2</v>
      </c>
      <c r="K223" s="38">
        <f t="shared" si="1090"/>
        <v>-3.9999999999999147E-2</v>
      </c>
      <c r="L223" s="39">
        <f t="shared" si="1090"/>
        <v>0.10999999999999943</v>
      </c>
      <c r="M223" s="38"/>
      <c r="N223" s="40"/>
      <c r="O223" s="40"/>
      <c r="P223" s="40"/>
      <c r="Q223" s="40"/>
      <c r="R223" s="40"/>
      <c r="S223" s="40">
        <f t="shared" ref="S223:T223" si="1091">(B222+B223)/2</f>
        <v>57.155000000000001</v>
      </c>
      <c r="T223" s="40">
        <f t="shared" si="1091"/>
        <v>46.75</v>
      </c>
      <c r="U223" s="40">
        <f t="shared" si="6"/>
        <v>38.03</v>
      </c>
      <c r="V223" s="40">
        <f t="shared" ref="V223:W223" si="1092">(E222+E223)/2</f>
        <v>26.63</v>
      </c>
      <c r="W223" s="40">
        <f t="shared" si="1092"/>
        <v>19.524999999999999</v>
      </c>
      <c r="X223" s="41">
        <f t="shared" ref="X223:AB223" si="1093">(SUM(B220:B223))/4</f>
        <v>57.18</v>
      </c>
      <c r="Y223" s="40">
        <f t="shared" si="1093"/>
        <v>46.655000000000001</v>
      </c>
      <c r="Z223" s="40">
        <f t="shared" si="1093"/>
        <v>37.887500000000003</v>
      </c>
      <c r="AA223" s="40">
        <f t="shared" si="1093"/>
        <v>26.55</v>
      </c>
      <c r="AB223" s="47">
        <f t="shared" si="1093"/>
        <v>19.454999999999998</v>
      </c>
      <c r="AC223" s="42">
        <f t="shared" ref="AC223:AF223" si="1094">(B223+C223)/2</f>
        <v>51.954999999999998</v>
      </c>
      <c r="AD223" s="42">
        <f t="shared" si="1094"/>
        <v>42.43</v>
      </c>
      <c r="AE223" s="42">
        <f t="shared" si="1094"/>
        <v>32.340000000000003</v>
      </c>
      <c r="AF223" s="42">
        <f t="shared" si="1094"/>
        <v>23.094999999999999</v>
      </c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8"/>
      <c r="BK223" s="8"/>
      <c r="BL223" s="8"/>
      <c r="BM223" s="8"/>
    </row>
    <row r="224" spans="1:65" ht="15.75" hidden="1" customHeight="1" x14ac:dyDescent="0.45">
      <c r="A224" s="50">
        <f t="shared" si="3"/>
        <v>42447</v>
      </c>
      <c r="B224" s="51">
        <v>57.26</v>
      </c>
      <c r="C224" s="51">
        <v>46.92</v>
      </c>
      <c r="D224" s="51">
        <v>38.07</v>
      </c>
      <c r="E224" s="51">
        <v>26.59</v>
      </c>
      <c r="F224" s="51">
        <v>19.510000000000002</v>
      </c>
      <c r="G224" s="52">
        <v>52.49</v>
      </c>
      <c r="H224" s="37">
        <f t="shared" ref="H224:L224" si="1095">B224-B223</f>
        <v>0.14000000000000057</v>
      </c>
      <c r="I224" s="38">
        <f t="shared" si="1095"/>
        <v>0.13000000000000256</v>
      </c>
      <c r="J224" s="38">
        <f t="shared" si="1095"/>
        <v>0</v>
      </c>
      <c r="K224" s="38">
        <f t="shared" si="1095"/>
        <v>-1.9999999999999574E-2</v>
      </c>
      <c r="L224" s="39">
        <f t="shared" si="1095"/>
        <v>-6.9999999999996732E-2</v>
      </c>
      <c r="M224" s="38"/>
      <c r="N224" s="40"/>
      <c r="O224" s="40"/>
      <c r="P224" s="40"/>
      <c r="Q224" s="40"/>
      <c r="R224" s="40"/>
      <c r="S224" s="40">
        <f t="shared" ref="S224:T224" si="1096">(B223+B224)/2</f>
        <v>57.19</v>
      </c>
      <c r="T224" s="40">
        <f t="shared" si="1096"/>
        <v>46.855000000000004</v>
      </c>
      <c r="U224" s="40">
        <f t="shared" si="6"/>
        <v>38.07</v>
      </c>
      <c r="V224" s="40">
        <f t="shared" ref="V224:W224" si="1097">(E223+E224)/2</f>
        <v>26.6</v>
      </c>
      <c r="W224" s="40">
        <f t="shared" si="1097"/>
        <v>19.545000000000002</v>
      </c>
      <c r="X224" s="41">
        <f t="shared" ref="X224:AB224" si="1098">(SUM(B221:B224))/4</f>
        <v>57.19</v>
      </c>
      <c r="Y224" s="40">
        <f t="shared" si="1098"/>
        <v>46.72</v>
      </c>
      <c r="Z224" s="40">
        <f t="shared" si="1098"/>
        <v>37.957499999999996</v>
      </c>
      <c r="AA224" s="40">
        <f t="shared" si="1098"/>
        <v>26.605</v>
      </c>
      <c r="AB224" s="47">
        <f t="shared" si="1098"/>
        <v>19.495000000000001</v>
      </c>
      <c r="AC224" s="42">
        <f t="shared" ref="AC224:AF224" si="1099">(B224+C224)/2</f>
        <v>52.09</v>
      </c>
      <c r="AD224" s="42">
        <f t="shared" si="1099"/>
        <v>42.495000000000005</v>
      </c>
      <c r="AE224" s="42">
        <f t="shared" si="1099"/>
        <v>32.33</v>
      </c>
      <c r="AF224" s="42">
        <f t="shared" si="1099"/>
        <v>23.05</v>
      </c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8"/>
      <c r="BK224" s="8"/>
      <c r="BL224" s="8"/>
      <c r="BM224" s="8"/>
    </row>
    <row r="225" spans="1:65" ht="15.75" hidden="1" customHeight="1" x14ac:dyDescent="0.45">
      <c r="A225" s="50">
        <f t="shared" si="3"/>
        <v>42454</v>
      </c>
      <c r="B225" s="51">
        <v>57.28</v>
      </c>
      <c r="C225" s="51">
        <v>46.65</v>
      </c>
      <c r="D225" s="51">
        <v>37.86</v>
      </c>
      <c r="E225" s="51">
        <v>26.72</v>
      </c>
      <c r="F225" s="51">
        <v>19.39</v>
      </c>
      <c r="G225" s="52">
        <v>53.54</v>
      </c>
      <c r="H225" s="37">
        <f t="shared" ref="H225:L225" si="1100">B225-B224</f>
        <v>2.0000000000003126E-2</v>
      </c>
      <c r="I225" s="38">
        <f t="shared" si="1100"/>
        <v>-0.27000000000000313</v>
      </c>
      <c r="J225" s="38">
        <f t="shared" si="1100"/>
        <v>-0.21000000000000085</v>
      </c>
      <c r="K225" s="38">
        <f t="shared" si="1100"/>
        <v>0.12999999999999901</v>
      </c>
      <c r="L225" s="39">
        <f t="shared" si="1100"/>
        <v>-0.12000000000000099</v>
      </c>
      <c r="M225" s="38"/>
      <c r="N225" s="40"/>
      <c r="O225" s="40"/>
      <c r="P225" s="40"/>
      <c r="Q225" s="40"/>
      <c r="R225" s="40"/>
      <c r="S225" s="40">
        <f t="shared" ref="S225:T225" si="1101">(B224+B225)/2</f>
        <v>57.269999999999996</v>
      </c>
      <c r="T225" s="40">
        <f t="shared" si="1101"/>
        <v>46.784999999999997</v>
      </c>
      <c r="U225" s="40">
        <f t="shared" si="6"/>
        <v>37.965000000000003</v>
      </c>
      <c r="V225" s="40">
        <f t="shared" ref="V225:W225" si="1102">(E224+E225)/2</f>
        <v>26.655000000000001</v>
      </c>
      <c r="W225" s="40">
        <f t="shared" si="1102"/>
        <v>19.450000000000003</v>
      </c>
      <c r="X225" s="41">
        <f t="shared" ref="X225:AB225" si="1103">(SUM(B222:B225))/4</f>
        <v>57.212499999999999</v>
      </c>
      <c r="Y225" s="40">
        <f t="shared" si="1103"/>
        <v>46.767500000000005</v>
      </c>
      <c r="Z225" s="40">
        <f t="shared" si="1103"/>
        <v>37.997500000000002</v>
      </c>
      <c r="AA225" s="40">
        <f t="shared" si="1103"/>
        <v>26.642499999999998</v>
      </c>
      <c r="AB225" s="47">
        <f t="shared" si="1103"/>
        <v>19.487500000000001</v>
      </c>
      <c r="AC225" s="42">
        <f t="shared" ref="AC225:AF225" si="1104">(B225+C225)/2</f>
        <v>51.965000000000003</v>
      </c>
      <c r="AD225" s="42">
        <f t="shared" si="1104"/>
        <v>42.254999999999995</v>
      </c>
      <c r="AE225" s="42">
        <f t="shared" si="1104"/>
        <v>32.29</v>
      </c>
      <c r="AF225" s="42">
        <f t="shared" si="1104"/>
        <v>23.055</v>
      </c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8"/>
      <c r="BK225" s="8"/>
      <c r="BL225" s="8"/>
      <c r="BM225" s="8"/>
    </row>
    <row r="226" spans="1:65" ht="15.75" hidden="1" customHeight="1" x14ac:dyDescent="0.45">
      <c r="A226" s="50">
        <f t="shared" si="3"/>
        <v>42461</v>
      </c>
      <c r="B226" s="51">
        <v>57.32</v>
      </c>
      <c r="C226" s="51">
        <v>46.36</v>
      </c>
      <c r="D226" s="51">
        <v>37.92</v>
      </c>
      <c r="E226" s="51">
        <v>26.63</v>
      </c>
      <c r="F226" s="51">
        <v>19.28</v>
      </c>
      <c r="G226" s="52">
        <v>51.13</v>
      </c>
      <c r="H226" s="37">
        <f t="shared" ref="H226:L226" si="1105">B226-B225</f>
        <v>3.9999999999999147E-2</v>
      </c>
      <c r="I226" s="38">
        <f t="shared" si="1105"/>
        <v>-0.28999999999999915</v>
      </c>
      <c r="J226" s="38">
        <f t="shared" si="1105"/>
        <v>6.0000000000002274E-2</v>
      </c>
      <c r="K226" s="38">
        <f t="shared" si="1105"/>
        <v>-8.9999999999999858E-2</v>
      </c>
      <c r="L226" s="39">
        <f t="shared" si="1105"/>
        <v>-0.10999999999999943</v>
      </c>
      <c r="M226" s="38"/>
      <c r="N226" s="40"/>
      <c r="O226" s="40"/>
      <c r="P226" s="40"/>
      <c r="Q226" s="40"/>
      <c r="R226" s="40"/>
      <c r="S226" s="40">
        <f t="shared" ref="S226:T226" si="1106">(B225+B226)/2</f>
        <v>57.3</v>
      </c>
      <c r="T226" s="40">
        <f t="shared" si="1106"/>
        <v>46.504999999999995</v>
      </c>
      <c r="U226" s="40">
        <f t="shared" si="6"/>
        <v>37.89</v>
      </c>
      <c r="V226" s="40">
        <f t="shared" ref="V226:W226" si="1107">(E225+E226)/2</f>
        <v>26.674999999999997</v>
      </c>
      <c r="W226" s="40">
        <f t="shared" si="1107"/>
        <v>19.335000000000001</v>
      </c>
      <c r="X226" s="41">
        <f t="shared" ref="X226:AB226" si="1108">(SUM(B223:B226))/4</f>
        <v>57.244999999999997</v>
      </c>
      <c r="Y226" s="40">
        <f t="shared" si="1108"/>
        <v>46.680000000000007</v>
      </c>
      <c r="Z226" s="40">
        <f t="shared" si="1108"/>
        <v>37.980000000000004</v>
      </c>
      <c r="AA226" s="40">
        <f t="shared" si="1108"/>
        <v>26.637499999999999</v>
      </c>
      <c r="AB226" s="47">
        <f t="shared" si="1108"/>
        <v>19.440000000000001</v>
      </c>
      <c r="AC226" s="42">
        <f t="shared" ref="AC226:AF226" si="1109">(B226+C226)/2</f>
        <v>51.84</v>
      </c>
      <c r="AD226" s="42">
        <f t="shared" si="1109"/>
        <v>42.14</v>
      </c>
      <c r="AE226" s="42">
        <f t="shared" si="1109"/>
        <v>32.274999999999999</v>
      </c>
      <c r="AF226" s="42">
        <f t="shared" si="1109"/>
        <v>22.954999999999998</v>
      </c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8"/>
      <c r="BK226" s="8"/>
      <c r="BL226" s="8"/>
      <c r="BM226" s="8"/>
    </row>
    <row r="227" spans="1:65" ht="15.75" hidden="1" customHeight="1" x14ac:dyDescent="0.45">
      <c r="A227" s="50">
        <f t="shared" si="3"/>
        <v>42468</v>
      </c>
      <c r="B227" s="51">
        <v>56.57</v>
      </c>
      <c r="C227" s="51">
        <v>46.26</v>
      </c>
      <c r="D227" s="51">
        <v>37.89</v>
      </c>
      <c r="E227" s="51">
        <v>26.54</v>
      </c>
      <c r="F227" s="51">
        <v>19.38</v>
      </c>
      <c r="G227" s="52">
        <v>50.14</v>
      </c>
      <c r="H227" s="37">
        <f t="shared" ref="H227:L227" si="1110">B227-B226</f>
        <v>-0.75</v>
      </c>
      <c r="I227" s="38">
        <f t="shared" si="1110"/>
        <v>-0.10000000000000142</v>
      </c>
      <c r="J227" s="38">
        <f t="shared" si="1110"/>
        <v>-3.0000000000001137E-2</v>
      </c>
      <c r="K227" s="38">
        <f t="shared" si="1110"/>
        <v>-8.9999999999999858E-2</v>
      </c>
      <c r="L227" s="39">
        <f t="shared" si="1110"/>
        <v>9.9999999999997868E-2</v>
      </c>
      <c r="M227" s="38"/>
      <c r="N227" s="40"/>
      <c r="O227" s="40"/>
      <c r="P227" s="40"/>
      <c r="Q227" s="40"/>
      <c r="R227" s="40"/>
      <c r="S227" s="40">
        <f t="shared" ref="S227:T227" si="1111">(B226+B227)/2</f>
        <v>56.945</v>
      </c>
      <c r="T227" s="40">
        <f t="shared" si="1111"/>
        <v>46.31</v>
      </c>
      <c r="U227" s="40">
        <f t="shared" si="6"/>
        <v>37.905000000000001</v>
      </c>
      <c r="V227" s="40">
        <f t="shared" ref="V227:W227" si="1112">(E226+E227)/2</f>
        <v>26.585000000000001</v>
      </c>
      <c r="W227" s="40">
        <f t="shared" si="1112"/>
        <v>19.329999999999998</v>
      </c>
      <c r="X227" s="41">
        <f t="shared" ref="X227:AB227" si="1113">(SUM(B224:B227))/4</f>
        <v>57.107499999999995</v>
      </c>
      <c r="Y227" s="40">
        <f t="shared" si="1113"/>
        <v>46.547499999999999</v>
      </c>
      <c r="Z227" s="40">
        <f t="shared" si="1113"/>
        <v>37.935000000000002</v>
      </c>
      <c r="AA227" s="40">
        <f t="shared" si="1113"/>
        <v>26.619999999999997</v>
      </c>
      <c r="AB227" s="47">
        <f t="shared" si="1113"/>
        <v>19.39</v>
      </c>
      <c r="AC227" s="42">
        <f t="shared" ref="AC227:AF227" si="1114">(B227+C227)/2</f>
        <v>51.414999999999999</v>
      </c>
      <c r="AD227" s="42">
        <f t="shared" si="1114"/>
        <v>42.075000000000003</v>
      </c>
      <c r="AE227" s="42">
        <f t="shared" si="1114"/>
        <v>32.215000000000003</v>
      </c>
      <c r="AF227" s="42">
        <f t="shared" si="1114"/>
        <v>22.96</v>
      </c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8"/>
      <c r="BK227" s="8"/>
      <c r="BL227" s="8"/>
      <c r="BM227" s="8"/>
    </row>
    <row r="228" spans="1:65" ht="15.75" hidden="1" customHeight="1" x14ac:dyDescent="0.45">
      <c r="A228" s="50">
        <f t="shared" si="3"/>
        <v>42475</v>
      </c>
      <c r="B228" s="51">
        <v>56.41</v>
      </c>
      <c r="C228" s="51">
        <v>46.62</v>
      </c>
      <c r="D228" s="51">
        <v>38.03</v>
      </c>
      <c r="E228" s="51">
        <v>26.62</v>
      </c>
      <c r="F228" s="51">
        <v>19.260000000000002</v>
      </c>
      <c r="G228" s="52">
        <v>50.83</v>
      </c>
      <c r="H228" s="37">
        <f t="shared" ref="H228:L228" si="1115">B228-B227</f>
        <v>-0.16000000000000369</v>
      </c>
      <c r="I228" s="38">
        <f t="shared" si="1115"/>
        <v>0.35999999999999943</v>
      </c>
      <c r="J228" s="38">
        <f t="shared" si="1115"/>
        <v>0.14000000000000057</v>
      </c>
      <c r="K228" s="38">
        <f t="shared" si="1115"/>
        <v>8.0000000000001847E-2</v>
      </c>
      <c r="L228" s="39">
        <f t="shared" si="1115"/>
        <v>-0.11999999999999744</v>
      </c>
      <c r="M228" s="38"/>
      <c r="N228" s="40"/>
      <c r="O228" s="40"/>
      <c r="P228" s="40"/>
      <c r="Q228" s="40"/>
      <c r="R228" s="40"/>
      <c r="S228" s="40">
        <f t="shared" ref="S228:T228" si="1116">(B227+B228)/2</f>
        <v>56.489999999999995</v>
      </c>
      <c r="T228" s="40">
        <f t="shared" si="1116"/>
        <v>46.44</v>
      </c>
      <c r="U228" s="40">
        <f t="shared" si="6"/>
        <v>37.96</v>
      </c>
      <c r="V228" s="40">
        <f t="shared" ref="V228:W228" si="1117">(E227+E228)/2</f>
        <v>26.58</v>
      </c>
      <c r="W228" s="40">
        <f t="shared" si="1117"/>
        <v>19.32</v>
      </c>
      <c r="X228" s="41">
        <f t="shared" ref="X228:AB228" si="1118">(SUM(B225:B228))/4</f>
        <v>56.894999999999996</v>
      </c>
      <c r="Y228" s="40">
        <f t="shared" si="1118"/>
        <v>46.472499999999997</v>
      </c>
      <c r="Z228" s="40">
        <f t="shared" si="1118"/>
        <v>37.924999999999997</v>
      </c>
      <c r="AA228" s="40">
        <f t="shared" si="1118"/>
        <v>26.627499999999998</v>
      </c>
      <c r="AB228" s="47">
        <f t="shared" si="1118"/>
        <v>19.327500000000001</v>
      </c>
      <c r="AC228" s="42">
        <f t="shared" ref="AC228:AF228" si="1119">(B228+C228)/2</f>
        <v>51.515000000000001</v>
      </c>
      <c r="AD228" s="42">
        <f t="shared" si="1119"/>
        <v>42.325000000000003</v>
      </c>
      <c r="AE228" s="42">
        <f t="shared" si="1119"/>
        <v>32.325000000000003</v>
      </c>
      <c r="AF228" s="42">
        <f t="shared" si="1119"/>
        <v>22.94</v>
      </c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8"/>
      <c r="BK228" s="8"/>
      <c r="BL228" s="8"/>
      <c r="BM228" s="8"/>
    </row>
    <row r="229" spans="1:65" ht="15.75" hidden="1" customHeight="1" x14ac:dyDescent="0.45">
      <c r="A229" s="50">
        <f t="shared" si="3"/>
        <v>42482</v>
      </c>
      <c r="B229" s="51">
        <v>56.86</v>
      </c>
      <c r="C229" s="51">
        <v>46.71</v>
      </c>
      <c r="D229" s="51">
        <v>38.14</v>
      </c>
      <c r="E229" s="51">
        <v>26.73</v>
      </c>
      <c r="F229" s="51">
        <v>19.420000000000002</v>
      </c>
      <c r="G229" s="52">
        <v>51.36</v>
      </c>
      <c r="H229" s="37">
        <f t="shared" ref="H229:L229" si="1120">B229-B228</f>
        <v>0.45000000000000284</v>
      </c>
      <c r="I229" s="38">
        <f t="shared" si="1120"/>
        <v>9.0000000000003411E-2</v>
      </c>
      <c r="J229" s="38">
        <f t="shared" si="1120"/>
        <v>0.10999999999999943</v>
      </c>
      <c r="K229" s="38">
        <f t="shared" si="1120"/>
        <v>0.10999999999999943</v>
      </c>
      <c r="L229" s="39">
        <f t="shared" si="1120"/>
        <v>0.16000000000000014</v>
      </c>
      <c r="M229" s="38"/>
      <c r="N229" s="40"/>
      <c r="O229" s="40"/>
      <c r="P229" s="40"/>
      <c r="Q229" s="40"/>
      <c r="R229" s="40"/>
      <c r="S229" s="40">
        <f t="shared" ref="S229:T229" si="1121">(B228+B229)/2</f>
        <v>56.634999999999998</v>
      </c>
      <c r="T229" s="40">
        <f t="shared" si="1121"/>
        <v>46.664999999999999</v>
      </c>
      <c r="U229" s="40">
        <f t="shared" si="6"/>
        <v>38.085000000000001</v>
      </c>
      <c r="V229" s="40">
        <f t="shared" ref="V229:W229" si="1122">(E228+E229)/2</f>
        <v>26.675000000000001</v>
      </c>
      <c r="W229" s="40">
        <f t="shared" si="1122"/>
        <v>19.340000000000003</v>
      </c>
      <c r="X229" s="41">
        <f t="shared" ref="X229:AB229" si="1123">(SUM(B226:B229))/4</f>
        <v>56.790000000000006</v>
      </c>
      <c r="Y229" s="40">
        <f t="shared" si="1123"/>
        <v>46.487500000000004</v>
      </c>
      <c r="Z229" s="40">
        <f t="shared" si="1123"/>
        <v>37.995000000000005</v>
      </c>
      <c r="AA229" s="40">
        <f t="shared" si="1123"/>
        <v>26.630000000000003</v>
      </c>
      <c r="AB229" s="47">
        <f t="shared" si="1123"/>
        <v>19.335000000000001</v>
      </c>
      <c r="AC229" s="42">
        <f t="shared" ref="AC229:AF229" si="1124">(B229+C229)/2</f>
        <v>51.784999999999997</v>
      </c>
      <c r="AD229" s="42">
        <f t="shared" si="1124"/>
        <v>42.424999999999997</v>
      </c>
      <c r="AE229" s="42">
        <f t="shared" si="1124"/>
        <v>32.435000000000002</v>
      </c>
      <c r="AF229" s="42">
        <f t="shared" si="1124"/>
        <v>23.075000000000003</v>
      </c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8"/>
      <c r="BK229" s="8"/>
      <c r="BL229" s="8"/>
      <c r="BM229" s="8"/>
    </row>
    <row r="230" spans="1:65" ht="15.75" hidden="1" customHeight="1" x14ac:dyDescent="0.45">
      <c r="A230" s="50">
        <f t="shared" si="3"/>
        <v>42489</v>
      </c>
      <c r="B230" s="51">
        <v>56.78</v>
      </c>
      <c r="C230" s="51">
        <v>46.69</v>
      </c>
      <c r="D230" s="51">
        <v>38.39</v>
      </c>
      <c r="E230" s="51">
        <v>26.79</v>
      </c>
      <c r="F230" s="51">
        <v>19.66</v>
      </c>
      <c r="G230" s="52">
        <v>49.95</v>
      </c>
      <c r="H230" s="37">
        <f t="shared" ref="H230:L230" si="1125">B230-B229</f>
        <v>-7.9999999999998295E-2</v>
      </c>
      <c r="I230" s="38">
        <f t="shared" si="1125"/>
        <v>-2.0000000000003126E-2</v>
      </c>
      <c r="J230" s="38">
        <f t="shared" si="1125"/>
        <v>0.25</v>
      </c>
      <c r="K230" s="38">
        <f t="shared" si="1125"/>
        <v>5.9999999999998721E-2</v>
      </c>
      <c r="L230" s="39">
        <f t="shared" si="1125"/>
        <v>0.23999999999999844</v>
      </c>
      <c r="M230" s="38"/>
      <c r="N230" s="40"/>
      <c r="O230" s="40"/>
      <c r="P230" s="40"/>
      <c r="Q230" s="40"/>
      <c r="R230" s="40"/>
      <c r="S230" s="40">
        <f t="shared" ref="S230:T230" si="1126">(B229+B230)/2</f>
        <v>56.82</v>
      </c>
      <c r="T230" s="40">
        <f t="shared" si="1126"/>
        <v>46.7</v>
      </c>
      <c r="U230" s="40">
        <f t="shared" si="6"/>
        <v>38.265000000000001</v>
      </c>
      <c r="V230" s="40">
        <f t="shared" ref="V230:W230" si="1127">(E229+E230)/2</f>
        <v>26.759999999999998</v>
      </c>
      <c r="W230" s="40">
        <f t="shared" si="1127"/>
        <v>19.54</v>
      </c>
      <c r="X230" s="41">
        <f t="shared" ref="X230:AB230" si="1128">(SUM(B227:B230))/4</f>
        <v>56.654999999999994</v>
      </c>
      <c r="Y230" s="40">
        <f t="shared" si="1128"/>
        <v>46.57</v>
      </c>
      <c r="Z230" s="40">
        <f t="shared" si="1128"/>
        <v>38.112499999999997</v>
      </c>
      <c r="AA230" s="40">
        <f t="shared" si="1128"/>
        <v>26.67</v>
      </c>
      <c r="AB230" s="47">
        <f t="shared" si="1128"/>
        <v>19.43</v>
      </c>
      <c r="AC230" s="42">
        <f t="shared" ref="AC230:AF230" si="1129">(B230+C230)/2</f>
        <v>51.734999999999999</v>
      </c>
      <c r="AD230" s="42">
        <f t="shared" si="1129"/>
        <v>42.54</v>
      </c>
      <c r="AE230" s="42">
        <f t="shared" si="1129"/>
        <v>32.590000000000003</v>
      </c>
      <c r="AF230" s="42">
        <f t="shared" si="1129"/>
        <v>23.225000000000001</v>
      </c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8"/>
      <c r="BK230" s="8"/>
      <c r="BL230" s="8"/>
      <c r="BM230" s="8"/>
    </row>
    <row r="231" spans="1:65" ht="15.75" hidden="1" customHeight="1" x14ac:dyDescent="0.45">
      <c r="A231" s="50">
        <f t="shared" si="3"/>
        <v>42496</v>
      </c>
      <c r="B231" s="51">
        <v>56.79</v>
      </c>
      <c r="C231" s="51">
        <v>46.8</v>
      </c>
      <c r="D231" s="51">
        <v>38.42</v>
      </c>
      <c r="E231" s="51">
        <v>26.86</v>
      </c>
      <c r="F231" s="51">
        <v>19.54</v>
      </c>
      <c r="G231" s="52">
        <v>50.61</v>
      </c>
      <c r="H231" s="37">
        <f t="shared" ref="H231:L231" si="1130">B231-B230</f>
        <v>9.9999999999980105E-3</v>
      </c>
      <c r="I231" s="38">
        <f t="shared" si="1130"/>
        <v>0.10999999999999943</v>
      </c>
      <c r="J231" s="38">
        <f t="shared" si="1130"/>
        <v>3.0000000000001137E-2</v>
      </c>
      <c r="K231" s="38">
        <f t="shared" si="1130"/>
        <v>7.0000000000000284E-2</v>
      </c>
      <c r="L231" s="39">
        <f t="shared" si="1130"/>
        <v>-0.12000000000000099</v>
      </c>
      <c r="M231" s="38"/>
      <c r="N231" s="40"/>
      <c r="O231" s="40"/>
      <c r="P231" s="40"/>
      <c r="Q231" s="40"/>
      <c r="R231" s="40"/>
      <c r="S231" s="40">
        <f t="shared" ref="S231:T231" si="1131">(B230+B231)/2</f>
        <v>56.784999999999997</v>
      </c>
      <c r="T231" s="40">
        <f t="shared" si="1131"/>
        <v>46.744999999999997</v>
      </c>
      <c r="U231" s="40">
        <f t="shared" si="6"/>
        <v>38.405000000000001</v>
      </c>
      <c r="V231" s="40">
        <f t="shared" ref="V231:W231" si="1132">(E230+E231)/2</f>
        <v>26.824999999999999</v>
      </c>
      <c r="W231" s="40">
        <f t="shared" si="1132"/>
        <v>19.600000000000001</v>
      </c>
      <c r="X231" s="41">
        <f t="shared" ref="X231:AB231" si="1133">(SUM(B228:B231))/4</f>
        <v>56.71</v>
      </c>
      <c r="Y231" s="40">
        <f t="shared" si="1133"/>
        <v>46.704999999999998</v>
      </c>
      <c r="Z231" s="40">
        <f t="shared" si="1133"/>
        <v>38.245000000000005</v>
      </c>
      <c r="AA231" s="40">
        <f t="shared" si="1133"/>
        <v>26.75</v>
      </c>
      <c r="AB231" s="47">
        <f t="shared" si="1133"/>
        <v>19.47</v>
      </c>
      <c r="AC231" s="42">
        <f t="shared" ref="AC231:AF231" si="1134">(B231+C231)/2</f>
        <v>51.795000000000002</v>
      </c>
      <c r="AD231" s="42">
        <f t="shared" si="1134"/>
        <v>42.61</v>
      </c>
      <c r="AE231" s="42">
        <f t="shared" si="1134"/>
        <v>32.64</v>
      </c>
      <c r="AF231" s="42">
        <f t="shared" si="1134"/>
        <v>23.2</v>
      </c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8"/>
      <c r="BK231" s="8"/>
      <c r="BL231" s="8"/>
      <c r="BM231" s="8"/>
    </row>
    <row r="232" spans="1:65" ht="15.75" hidden="1" customHeight="1" x14ac:dyDescent="0.45">
      <c r="A232" s="50">
        <f t="shared" si="3"/>
        <v>42503</v>
      </c>
      <c r="B232" s="51">
        <v>56.78</v>
      </c>
      <c r="C232" s="51">
        <v>46.97</v>
      </c>
      <c r="D232" s="51">
        <v>38.26</v>
      </c>
      <c r="E232" s="51">
        <v>26.89</v>
      </c>
      <c r="F232" s="51">
        <v>19.149999999999999</v>
      </c>
      <c r="G232" s="52">
        <v>50.64</v>
      </c>
      <c r="H232" s="37">
        <f t="shared" ref="H232:L232" si="1135">B232-B231</f>
        <v>-9.9999999999980105E-3</v>
      </c>
      <c r="I232" s="38">
        <f t="shared" si="1135"/>
        <v>0.17000000000000171</v>
      </c>
      <c r="J232" s="38">
        <f t="shared" si="1135"/>
        <v>-0.16000000000000369</v>
      </c>
      <c r="K232" s="38">
        <f t="shared" si="1135"/>
        <v>3.0000000000001137E-2</v>
      </c>
      <c r="L232" s="39">
        <f t="shared" si="1135"/>
        <v>-0.39000000000000057</v>
      </c>
      <c r="M232" s="38"/>
      <c r="N232" s="40"/>
      <c r="O232" s="40"/>
      <c r="P232" s="40"/>
      <c r="Q232" s="40"/>
      <c r="R232" s="40"/>
      <c r="S232" s="40">
        <f t="shared" ref="S232:T232" si="1136">(B231+B232)/2</f>
        <v>56.784999999999997</v>
      </c>
      <c r="T232" s="40">
        <f t="shared" si="1136"/>
        <v>46.884999999999998</v>
      </c>
      <c r="U232" s="40">
        <f t="shared" si="6"/>
        <v>38.340000000000003</v>
      </c>
      <c r="V232" s="40">
        <f t="shared" ref="V232:W232" si="1137">(E231+E232)/2</f>
        <v>26.875</v>
      </c>
      <c r="W232" s="40">
        <f t="shared" si="1137"/>
        <v>19.344999999999999</v>
      </c>
      <c r="X232" s="41">
        <f t="shared" ref="X232:AB232" si="1138">(SUM(B229:B232))/4</f>
        <v>56.802500000000002</v>
      </c>
      <c r="Y232" s="40">
        <f t="shared" si="1138"/>
        <v>46.792499999999997</v>
      </c>
      <c r="Z232" s="40">
        <f t="shared" si="1138"/>
        <v>38.302500000000002</v>
      </c>
      <c r="AA232" s="40">
        <f t="shared" si="1138"/>
        <v>26.817499999999999</v>
      </c>
      <c r="AB232" s="47">
        <f t="shared" si="1138"/>
        <v>19.442499999999999</v>
      </c>
      <c r="AC232" s="42">
        <f t="shared" ref="AC232:AF232" si="1139">(B232+C232)/2</f>
        <v>51.875</v>
      </c>
      <c r="AD232" s="42">
        <f t="shared" si="1139"/>
        <v>42.614999999999995</v>
      </c>
      <c r="AE232" s="42">
        <f t="shared" si="1139"/>
        <v>32.575000000000003</v>
      </c>
      <c r="AF232" s="42">
        <f t="shared" si="1139"/>
        <v>23.02</v>
      </c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8"/>
      <c r="BK232" s="8"/>
      <c r="BL232" s="8"/>
      <c r="BM232" s="8"/>
    </row>
    <row r="233" spans="1:65" ht="15.75" hidden="1" customHeight="1" x14ac:dyDescent="0.45">
      <c r="A233" s="50">
        <f t="shared" si="3"/>
        <v>42510</v>
      </c>
      <c r="B233" s="51">
        <v>56.82</v>
      </c>
      <c r="C233" s="51">
        <v>47.19</v>
      </c>
      <c r="D233" s="51">
        <v>38.450000000000003</v>
      </c>
      <c r="E233" s="51">
        <v>27.21</v>
      </c>
      <c r="F233" s="51">
        <v>19.13</v>
      </c>
      <c r="G233" s="52">
        <v>51.41</v>
      </c>
      <c r="H233" s="37">
        <f t="shared" ref="H233:L233" si="1140">B233-B232</f>
        <v>3.9999999999999147E-2</v>
      </c>
      <c r="I233" s="38">
        <f t="shared" si="1140"/>
        <v>0.21999999999999886</v>
      </c>
      <c r="J233" s="38">
        <f t="shared" si="1140"/>
        <v>0.19000000000000483</v>
      </c>
      <c r="K233" s="38">
        <f t="shared" si="1140"/>
        <v>0.32000000000000028</v>
      </c>
      <c r="L233" s="39">
        <f t="shared" si="1140"/>
        <v>-1.9999999999999574E-2</v>
      </c>
      <c r="M233" s="38"/>
      <c r="N233" s="40"/>
      <c r="O233" s="40"/>
      <c r="P233" s="40"/>
      <c r="Q233" s="40"/>
      <c r="R233" s="40"/>
      <c r="S233" s="40">
        <f t="shared" ref="S233:T233" si="1141">(B232+B233)/2</f>
        <v>56.8</v>
      </c>
      <c r="T233" s="40">
        <f t="shared" si="1141"/>
        <v>47.08</v>
      </c>
      <c r="U233" s="40">
        <f t="shared" si="6"/>
        <v>38.355000000000004</v>
      </c>
      <c r="V233" s="40">
        <f t="shared" ref="V233:W233" si="1142">(E232+E233)/2</f>
        <v>27.05</v>
      </c>
      <c r="W233" s="40">
        <f t="shared" si="1142"/>
        <v>19.14</v>
      </c>
      <c r="X233" s="41">
        <f t="shared" ref="X233:AB233" si="1143">(SUM(B230:B233))/4</f>
        <v>56.792499999999997</v>
      </c>
      <c r="Y233" s="40">
        <f t="shared" si="1143"/>
        <v>46.912499999999994</v>
      </c>
      <c r="Z233" s="40">
        <f t="shared" si="1143"/>
        <v>38.379999999999995</v>
      </c>
      <c r="AA233" s="40">
        <f t="shared" si="1143"/>
        <v>26.9375</v>
      </c>
      <c r="AB233" s="47">
        <f t="shared" si="1143"/>
        <v>19.37</v>
      </c>
      <c r="AC233" s="42">
        <f t="shared" ref="AC233:AF233" si="1144">(B233+C233)/2</f>
        <v>52.004999999999995</v>
      </c>
      <c r="AD233" s="42">
        <f t="shared" si="1144"/>
        <v>42.82</v>
      </c>
      <c r="AE233" s="42">
        <f t="shared" si="1144"/>
        <v>32.83</v>
      </c>
      <c r="AF233" s="42">
        <f t="shared" si="1144"/>
        <v>23.17</v>
      </c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8"/>
      <c r="BK233" s="8"/>
      <c r="BL233" s="8"/>
      <c r="BM233" s="8"/>
    </row>
    <row r="234" spans="1:65" ht="15.75" hidden="1" customHeight="1" x14ac:dyDescent="0.45">
      <c r="A234" s="50">
        <f t="shared" si="3"/>
        <v>42517</v>
      </c>
      <c r="B234" s="51">
        <v>57.08</v>
      </c>
      <c r="C234" s="51">
        <v>47.37</v>
      </c>
      <c r="D234" s="51">
        <v>38.71</v>
      </c>
      <c r="E234" s="51">
        <v>27.48</v>
      </c>
      <c r="F234" s="51">
        <v>19.18</v>
      </c>
      <c r="G234" s="52">
        <v>52.59</v>
      </c>
      <c r="H234" s="37">
        <f t="shared" ref="H234:L234" si="1145">B234-B233</f>
        <v>0.25999999999999801</v>
      </c>
      <c r="I234" s="38">
        <f t="shared" si="1145"/>
        <v>0.17999999999999972</v>
      </c>
      <c r="J234" s="38">
        <f t="shared" si="1145"/>
        <v>0.25999999999999801</v>
      </c>
      <c r="K234" s="38">
        <f t="shared" si="1145"/>
        <v>0.26999999999999957</v>
      </c>
      <c r="L234" s="39">
        <f t="shared" si="1145"/>
        <v>5.0000000000000711E-2</v>
      </c>
      <c r="M234" s="38"/>
      <c r="N234" s="40"/>
      <c r="O234" s="40"/>
      <c r="P234" s="40"/>
      <c r="Q234" s="40"/>
      <c r="R234" s="40"/>
      <c r="S234" s="40">
        <f t="shared" ref="S234:T234" si="1146">(B233+B234)/2</f>
        <v>56.95</v>
      </c>
      <c r="T234" s="40">
        <f t="shared" si="1146"/>
        <v>47.28</v>
      </c>
      <c r="U234" s="40">
        <f t="shared" si="6"/>
        <v>38.58</v>
      </c>
      <c r="V234" s="40">
        <f t="shared" ref="V234:W234" si="1147">(E233+E234)/2</f>
        <v>27.344999999999999</v>
      </c>
      <c r="W234" s="40">
        <f t="shared" si="1147"/>
        <v>19.155000000000001</v>
      </c>
      <c r="X234" s="41">
        <f t="shared" ref="X234:AB234" si="1148">(SUM(B231:B234))/4</f>
        <v>56.867499999999993</v>
      </c>
      <c r="Y234" s="40">
        <f t="shared" si="1148"/>
        <v>47.082499999999996</v>
      </c>
      <c r="Z234" s="40">
        <f t="shared" si="1148"/>
        <v>38.46</v>
      </c>
      <c r="AA234" s="40">
        <f t="shared" si="1148"/>
        <v>27.110000000000003</v>
      </c>
      <c r="AB234" s="47">
        <f t="shared" si="1148"/>
        <v>19.25</v>
      </c>
      <c r="AC234" s="42">
        <f t="shared" ref="AC234:AF234" si="1149">(B234+C234)/2</f>
        <v>52.224999999999994</v>
      </c>
      <c r="AD234" s="42">
        <f t="shared" si="1149"/>
        <v>43.04</v>
      </c>
      <c r="AE234" s="42">
        <f t="shared" si="1149"/>
        <v>33.094999999999999</v>
      </c>
      <c r="AF234" s="42">
        <f t="shared" si="1149"/>
        <v>23.33</v>
      </c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8"/>
      <c r="BK234" s="8"/>
      <c r="BL234" s="8"/>
      <c r="BM234" s="8"/>
    </row>
    <row r="235" spans="1:65" ht="15.75" hidden="1" customHeight="1" x14ac:dyDescent="0.45">
      <c r="A235" s="50">
        <f t="shared" si="3"/>
        <v>42524</v>
      </c>
      <c r="B235" s="51">
        <v>57</v>
      </c>
      <c r="C235" s="51">
        <v>47.87</v>
      </c>
      <c r="D235" s="51">
        <v>39</v>
      </c>
      <c r="E235" s="51">
        <v>27.51</v>
      </c>
      <c r="F235" s="51">
        <v>18.78</v>
      </c>
      <c r="G235" s="52">
        <v>52.8</v>
      </c>
      <c r="H235" s="37">
        <f t="shared" ref="H235:L235" si="1150">B235-B234</f>
        <v>-7.9999999999998295E-2</v>
      </c>
      <c r="I235" s="38">
        <f t="shared" si="1150"/>
        <v>0.5</v>
      </c>
      <c r="J235" s="38">
        <f t="shared" si="1150"/>
        <v>0.28999999999999915</v>
      </c>
      <c r="K235" s="38">
        <f t="shared" si="1150"/>
        <v>3.0000000000001137E-2</v>
      </c>
      <c r="L235" s="39">
        <f t="shared" si="1150"/>
        <v>-0.39999999999999858</v>
      </c>
      <c r="M235" s="38"/>
      <c r="N235" s="40"/>
      <c r="O235" s="40"/>
      <c r="P235" s="40"/>
      <c r="Q235" s="40"/>
      <c r="R235" s="40"/>
      <c r="S235" s="40">
        <f t="shared" ref="S235:T235" si="1151">(B234+B235)/2</f>
        <v>57.04</v>
      </c>
      <c r="T235" s="40">
        <f t="shared" si="1151"/>
        <v>47.62</v>
      </c>
      <c r="U235" s="40">
        <f t="shared" si="6"/>
        <v>38.855000000000004</v>
      </c>
      <c r="V235" s="40">
        <f t="shared" ref="V235:W235" si="1152">(E234+E235)/2</f>
        <v>27.495000000000001</v>
      </c>
      <c r="W235" s="40">
        <f t="shared" si="1152"/>
        <v>18.98</v>
      </c>
      <c r="X235" s="41">
        <f t="shared" ref="X235:AB235" si="1153">(SUM(B232:B235))/4</f>
        <v>56.92</v>
      </c>
      <c r="Y235" s="40">
        <f t="shared" si="1153"/>
        <v>47.35</v>
      </c>
      <c r="Z235" s="40">
        <f t="shared" si="1153"/>
        <v>38.605000000000004</v>
      </c>
      <c r="AA235" s="40">
        <f t="shared" si="1153"/>
        <v>27.272500000000001</v>
      </c>
      <c r="AB235" s="47">
        <f t="shared" si="1153"/>
        <v>19.060000000000002</v>
      </c>
      <c r="AC235" s="42">
        <f t="shared" ref="AC235:AF235" si="1154">(B235+C235)/2</f>
        <v>52.435000000000002</v>
      </c>
      <c r="AD235" s="42">
        <f t="shared" si="1154"/>
        <v>43.435000000000002</v>
      </c>
      <c r="AE235" s="42">
        <f t="shared" si="1154"/>
        <v>33.255000000000003</v>
      </c>
      <c r="AF235" s="42">
        <f t="shared" si="1154"/>
        <v>23.145000000000003</v>
      </c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8"/>
      <c r="BK235" s="8"/>
      <c r="BL235" s="8"/>
      <c r="BM235" s="8"/>
    </row>
    <row r="236" spans="1:65" ht="15.75" hidden="1" customHeight="1" x14ac:dyDescent="0.45">
      <c r="A236" s="50">
        <f t="shared" si="3"/>
        <v>42531</v>
      </c>
      <c r="B236" s="51">
        <v>57.15</v>
      </c>
      <c r="C236" s="51">
        <v>48.12</v>
      </c>
      <c r="D236" s="51">
        <v>39.04</v>
      </c>
      <c r="E236" s="51">
        <v>27.86</v>
      </c>
      <c r="F236" s="51">
        <v>19.11</v>
      </c>
      <c r="G236" s="52">
        <v>53.59</v>
      </c>
      <c r="H236" s="37">
        <f t="shared" ref="H236:L236" si="1155">B236-B235</f>
        <v>0.14999999999999858</v>
      </c>
      <c r="I236" s="38">
        <f t="shared" si="1155"/>
        <v>0.25</v>
      </c>
      <c r="J236" s="38">
        <f t="shared" si="1155"/>
        <v>3.9999999999999147E-2</v>
      </c>
      <c r="K236" s="38">
        <f t="shared" si="1155"/>
        <v>0.34999999999999787</v>
      </c>
      <c r="L236" s="39">
        <f t="shared" si="1155"/>
        <v>0.32999999999999829</v>
      </c>
      <c r="M236" s="38"/>
      <c r="N236" s="40"/>
      <c r="O236" s="40"/>
      <c r="P236" s="40"/>
      <c r="Q236" s="40"/>
      <c r="R236" s="40"/>
      <c r="S236" s="40">
        <f t="shared" ref="S236:T236" si="1156">(B235+B236)/2</f>
        <v>57.075000000000003</v>
      </c>
      <c r="T236" s="40">
        <f t="shared" si="1156"/>
        <v>47.994999999999997</v>
      </c>
      <c r="U236" s="40">
        <f t="shared" si="6"/>
        <v>39.019999999999996</v>
      </c>
      <c r="V236" s="40">
        <f t="shared" ref="V236:W236" si="1157">(E235+E236)/2</f>
        <v>27.685000000000002</v>
      </c>
      <c r="W236" s="40">
        <f t="shared" si="1157"/>
        <v>18.945</v>
      </c>
      <c r="X236" s="41">
        <f t="shared" ref="X236:AB236" si="1158">(SUM(B233:B236))/4</f>
        <v>57.012500000000003</v>
      </c>
      <c r="Y236" s="40">
        <f t="shared" si="1158"/>
        <v>47.637500000000003</v>
      </c>
      <c r="Z236" s="40">
        <f t="shared" si="1158"/>
        <v>38.799999999999997</v>
      </c>
      <c r="AA236" s="40">
        <f t="shared" si="1158"/>
        <v>27.515000000000001</v>
      </c>
      <c r="AB236" s="47">
        <f t="shared" si="1158"/>
        <v>19.05</v>
      </c>
      <c r="AC236" s="42">
        <f t="shared" ref="AC236:AF236" si="1159">(B236+C236)/2</f>
        <v>52.634999999999998</v>
      </c>
      <c r="AD236" s="42">
        <f t="shared" si="1159"/>
        <v>43.58</v>
      </c>
      <c r="AE236" s="42">
        <f t="shared" si="1159"/>
        <v>33.450000000000003</v>
      </c>
      <c r="AF236" s="42">
        <f t="shared" si="1159"/>
        <v>23.484999999999999</v>
      </c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8"/>
      <c r="BK236" s="8"/>
      <c r="BL236" s="8"/>
      <c r="BM236" s="8"/>
    </row>
    <row r="237" spans="1:65" ht="15.75" hidden="1" customHeight="1" x14ac:dyDescent="0.45">
      <c r="A237" s="50">
        <f t="shared" si="3"/>
        <v>42538</v>
      </c>
      <c r="B237" s="51">
        <v>57.39</v>
      </c>
      <c r="C237" s="51">
        <v>47.93</v>
      </c>
      <c r="D237" s="51">
        <v>39.369999999999997</v>
      </c>
      <c r="E237" s="51">
        <v>28.07</v>
      </c>
      <c r="F237" s="51">
        <v>19.37</v>
      </c>
      <c r="G237" s="52">
        <v>51.09</v>
      </c>
      <c r="H237" s="37">
        <f t="shared" ref="H237:L237" si="1160">B237-B236</f>
        <v>0.24000000000000199</v>
      </c>
      <c r="I237" s="38">
        <f t="shared" si="1160"/>
        <v>-0.18999999999999773</v>
      </c>
      <c r="J237" s="38">
        <f t="shared" si="1160"/>
        <v>0.32999999999999829</v>
      </c>
      <c r="K237" s="38">
        <f t="shared" si="1160"/>
        <v>0.21000000000000085</v>
      </c>
      <c r="L237" s="39">
        <f t="shared" si="1160"/>
        <v>0.26000000000000156</v>
      </c>
      <c r="M237" s="38"/>
      <c r="N237" s="40"/>
      <c r="O237" s="40"/>
      <c r="P237" s="40"/>
      <c r="Q237" s="40"/>
      <c r="R237" s="40"/>
      <c r="S237" s="40">
        <f t="shared" ref="S237:T237" si="1161">(B236+B237)/2</f>
        <v>57.269999999999996</v>
      </c>
      <c r="T237" s="40">
        <f t="shared" si="1161"/>
        <v>48.024999999999999</v>
      </c>
      <c r="U237" s="40">
        <f t="shared" si="6"/>
        <v>39.204999999999998</v>
      </c>
      <c r="V237" s="40">
        <f t="shared" ref="V237:W237" si="1162">(E236+E237)/2</f>
        <v>27.965</v>
      </c>
      <c r="W237" s="40">
        <f t="shared" si="1162"/>
        <v>19.240000000000002</v>
      </c>
      <c r="X237" s="41">
        <f t="shared" ref="X237:AB237" si="1163">(SUM(B234:B237))/4</f>
        <v>57.155000000000001</v>
      </c>
      <c r="Y237" s="40">
        <f t="shared" si="1163"/>
        <v>47.822499999999998</v>
      </c>
      <c r="Z237" s="40">
        <f t="shared" si="1163"/>
        <v>39.03</v>
      </c>
      <c r="AA237" s="40">
        <f t="shared" si="1163"/>
        <v>27.729999999999997</v>
      </c>
      <c r="AB237" s="47">
        <f t="shared" si="1163"/>
        <v>19.11</v>
      </c>
      <c r="AC237" s="42">
        <f t="shared" ref="AC237:AF237" si="1164">(B237+C237)/2</f>
        <v>52.66</v>
      </c>
      <c r="AD237" s="42">
        <f t="shared" si="1164"/>
        <v>43.65</v>
      </c>
      <c r="AE237" s="42">
        <f t="shared" si="1164"/>
        <v>33.72</v>
      </c>
      <c r="AF237" s="42">
        <f t="shared" si="1164"/>
        <v>23.72</v>
      </c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8"/>
      <c r="BK237" s="8"/>
      <c r="BL237" s="8"/>
      <c r="BM237" s="8"/>
    </row>
    <row r="238" spans="1:65" ht="15.75" hidden="1" customHeight="1" x14ac:dyDescent="0.45">
      <c r="A238" s="50">
        <f t="shared" si="3"/>
        <v>42545</v>
      </c>
      <c r="B238" s="51">
        <v>57.38</v>
      </c>
      <c r="C238" s="51">
        <v>47.99</v>
      </c>
      <c r="D238" s="51">
        <v>39.6</v>
      </c>
      <c r="E238" s="51">
        <v>28.38</v>
      </c>
      <c r="F238" s="51">
        <v>19.54</v>
      </c>
      <c r="G238" s="52">
        <v>53.92</v>
      </c>
      <c r="H238" s="37">
        <f t="shared" ref="H238:L238" si="1165">B238-B237</f>
        <v>-9.9999999999980105E-3</v>
      </c>
      <c r="I238" s="38">
        <f t="shared" si="1165"/>
        <v>6.0000000000002274E-2</v>
      </c>
      <c r="J238" s="38">
        <f t="shared" si="1165"/>
        <v>0.23000000000000398</v>
      </c>
      <c r="K238" s="38">
        <f t="shared" si="1165"/>
        <v>0.30999999999999872</v>
      </c>
      <c r="L238" s="39">
        <f t="shared" si="1165"/>
        <v>0.16999999999999815</v>
      </c>
      <c r="M238" s="38"/>
      <c r="N238" s="40"/>
      <c r="O238" s="40"/>
      <c r="P238" s="40"/>
      <c r="Q238" s="40"/>
      <c r="R238" s="40"/>
      <c r="S238" s="40">
        <f t="shared" ref="S238:T238" si="1166">(B237+B238)/2</f>
        <v>57.385000000000005</v>
      </c>
      <c r="T238" s="40">
        <f t="shared" si="1166"/>
        <v>47.96</v>
      </c>
      <c r="U238" s="40">
        <f t="shared" si="6"/>
        <v>39.484999999999999</v>
      </c>
      <c r="V238" s="40">
        <f t="shared" ref="V238:W238" si="1167">(E237+E238)/2</f>
        <v>28.225000000000001</v>
      </c>
      <c r="W238" s="40">
        <f t="shared" si="1167"/>
        <v>19.454999999999998</v>
      </c>
      <c r="X238" s="41">
        <f t="shared" ref="X238:AB238" si="1168">(SUM(B235:B238))/4</f>
        <v>57.230000000000004</v>
      </c>
      <c r="Y238" s="40">
        <f t="shared" si="1168"/>
        <v>47.977499999999999</v>
      </c>
      <c r="Z238" s="40">
        <f t="shared" si="1168"/>
        <v>39.252499999999998</v>
      </c>
      <c r="AA238" s="40">
        <f t="shared" si="1168"/>
        <v>27.954999999999998</v>
      </c>
      <c r="AB238" s="47">
        <f t="shared" si="1168"/>
        <v>19.200000000000003</v>
      </c>
      <c r="AC238" s="42">
        <f t="shared" ref="AC238:AF238" si="1169">(B238+C238)/2</f>
        <v>52.685000000000002</v>
      </c>
      <c r="AD238" s="42">
        <f t="shared" si="1169"/>
        <v>43.795000000000002</v>
      </c>
      <c r="AE238" s="42">
        <f t="shared" si="1169"/>
        <v>33.99</v>
      </c>
      <c r="AF238" s="42">
        <f t="shared" si="1169"/>
        <v>23.96</v>
      </c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8"/>
      <c r="BK238" s="8"/>
      <c r="BL238" s="8"/>
      <c r="BM238" s="8"/>
    </row>
    <row r="239" spans="1:65" ht="15.75" hidden="1" customHeight="1" x14ac:dyDescent="0.45">
      <c r="A239" s="50">
        <f t="shared" si="3"/>
        <v>42552</v>
      </c>
      <c r="B239" s="51">
        <v>57.9</v>
      </c>
      <c r="C239" s="51">
        <v>48.18</v>
      </c>
      <c r="D239" s="51">
        <v>39.9</v>
      </c>
      <c r="E239" s="51">
        <v>28.68</v>
      </c>
      <c r="F239" s="51">
        <v>19.78</v>
      </c>
      <c r="G239" s="52">
        <v>56.49</v>
      </c>
      <c r="H239" s="37">
        <f t="shared" ref="H239:L239" si="1170">B239-B238</f>
        <v>0.51999999999999602</v>
      </c>
      <c r="I239" s="38">
        <f t="shared" si="1170"/>
        <v>0.18999999999999773</v>
      </c>
      <c r="J239" s="38">
        <f t="shared" si="1170"/>
        <v>0.29999999999999716</v>
      </c>
      <c r="K239" s="38">
        <f t="shared" si="1170"/>
        <v>0.30000000000000071</v>
      </c>
      <c r="L239" s="39">
        <f t="shared" si="1170"/>
        <v>0.24000000000000199</v>
      </c>
      <c r="M239" s="38"/>
      <c r="N239" s="40"/>
      <c r="O239" s="40"/>
      <c r="P239" s="40"/>
      <c r="Q239" s="40"/>
      <c r="R239" s="40"/>
      <c r="S239" s="40">
        <f t="shared" ref="S239:T239" si="1171">(B238+B239)/2</f>
        <v>57.64</v>
      </c>
      <c r="T239" s="40">
        <f t="shared" si="1171"/>
        <v>48.085000000000001</v>
      </c>
      <c r="U239" s="40">
        <f t="shared" si="6"/>
        <v>39.75</v>
      </c>
      <c r="V239" s="40">
        <f t="shared" ref="V239:W239" si="1172">(E238+E239)/2</f>
        <v>28.53</v>
      </c>
      <c r="W239" s="40">
        <f t="shared" si="1172"/>
        <v>19.66</v>
      </c>
      <c r="X239" s="41">
        <f t="shared" ref="X239:AB239" si="1173">(SUM(B236:B239))/4</f>
        <v>57.454999999999998</v>
      </c>
      <c r="Y239" s="40">
        <f t="shared" si="1173"/>
        <v>48.055</v>
      </c>
      <c r="Z239" s="40">
        <f t="shared" si="1173"/>
        <v>39.477499999999999</v>
      </c>
      <c r="AA239" s="40">
        <f t="shared" si="1173"/>
        <v>28.247500000000002</v>
      </c>
      <c r="AB239" s="47">
        <f t="shared" si="1173"/>
        <v>19.450000000000003</v>
      </c>
      <c r="AC239" s="42">
        <f t="shared" ref="AC239:AF239" si="1174">(B239+C239)/2</f>
        <v>53.04</v>
      </c>
      <c r="AD239" s="42">
        <f t="shared" si="1174"/>
        <v>44.04</v>
      </c>
      <c r="AE239" s="42">
        <f t="shared" si="1174"/>
        <v>34.29</v>
      </c>
      <c r="AF239" s="42">
        <f t="shared" si="1174"/>
        <v>24.23</v>
      </c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8"/>
      <c r="BK239" s="8"/>
      <c r="BL239" s="8"/>
      <c r="BM239" s="8"/>
    </row>
    <row r="240" spans="1:65" ht="15.75" hidden="1" customHeight="1" x14ac:dyDescent="0.45">
      <c r="A240" s="50">
        <f t="shared" si="3"/>
        <v>42559</v>
      </c>
      <c r="B240" s="51">
        <v>58.18</v>
      </c>
      <c r="C240" s="51">
        <v>48.47</v>
      </c>
      <c r="D240" s="51">
        <v>40.380000000000003</v>
      </c>
      <c r="E240" s="51">
        <v>28.85</v>
      </c>
      <c r="F240" s="51">
        <v>20.28</v>
      </c>
      <c r="G240" s="52">
        <v>60.11</v>
      </c>
      <c r="H240" s="37">
        <f t="shared" ref="H240:L240" si="1175">B240-B239</f>
        <v>0.28000000000000114</v>
      </c>
      <c r="I240" s="38">
        <f t="shared" si="1175"/>
        <v>0.28999999999999915</v>
      </c>
      <c r="J240" s="38">
        <f t="shared" si="1175"/>
        <v>0.48000000000000398</v>
      </c>
      <c r="K240" s="38">
        <f t="shared" si="1175"/>
        <v>0.17000000000000171</v>
      </c>
      <c r="L240" s="39">
        <f t="shared" si="1175"/>
        <v>0.5</v>
      </c>
      <c r="M240" s="38"/>
      <c r="N240" s="40"/>
      <c r="O240" s="40"/>
      <c r="P240" s="40"/>
      <c r="Q240" s="40"/>
      <c r="R240" s="40"/>
      <c r="S240" s="40">
        <f t="shared" ref="S240:T240" si="1176">(B239+B240)/2</f>
        <v>58.04</v>
      </c>
      <c r="T240" s="40">
        <f t="shared" si="1176"/>
        <v>48.325000000000003</v>
      </c>
      <c r="U240" s="40">
        <f t="shared" si="6"/>
        <v>40.14</v>
      </c>
      <c r="V240" s="40">
        <f t="shared" ref="V240:W240" si="1177">(E239+E240)/2</f>
        <v>28.765000000000001</v>
      </c>
      <c r="W240" s="40">
        <f t="shared" si="1177"/>
        <v>20.03</v>
      </c>
      <c r="X240" s="41">
        <f t="shared" ref="X240:AB240" si="1178">(SUM(B237:B240))/4</f>
        <v>57.712500000000006</v>
      </c>
      <c r="Y240" s="40">
        <f t="shared" si="1178"/>
        <v>48.142499999999998</v>
      </c>
      <c r="Z240" s="40">
        <f t="shared" si="1178"/>
        <v>39.8125</v>
      </c>
      <c r="AA240" s="40">
        <f t="shared" si="1178"/>
        <v>28.494999999999997</v>
      </c>
      <c r="AB240" s="47">
        <f t="shared" si="1178"/>
        <v>19.7425</v>
      </c>
      <c r="AC240" s="42">
        <f t="shared" ref="AC240:AF240" si="1179">(B240+C240)/2</f>
        <v>53.325000000000003</v>
      </c>
      <c r="AD240" s="42">
        <f t="shared" si="1179"/>
        <v>44.424999999999997</v>
      </c>
      <c r="AE240" s="42">
        <f t="shared" si="1179"/>
        <v>34.615000000000002</v>
      </c>
      <c r="AF240" s="42">
        <f t="shared" si="1179"/>
        <v>24.565000000000001</v>
      </c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8"/>
      <c r="BK240" s="8"/>
      <c r="BL240" s="8"/>
      <c r="BM240" s="8"/>
    </row>
    <row r="241" spans="1:65" ht="15.75" hidden="1" customHeight="1" x14ac:dyDescent="0.45">
      <c r="A241" s="50">
        <f t="shared" si="3"/>
        <v>42566</v>
      </c>
      <c r="B241" s="51">
        <v>58.67</v>
      </c>
      <c r="C241" s="51">
        <v>48.92</v>
      </c>
      <c r="D241" s="51">
        <v>41.38</v>
      </c>
      <c r="E241" s="51">
        <v>29.13</v>
      </c>
      <c r="F241" s="51">
        <v>20.350000000000001</v>
      </c>
      <c r="G241" s="52">
        <v>62.25</v>
      </c>
      <c r="H241" s="37">
        <f t="shared" ref="H241:L241" si="1180">B241-B240</f>
        <v>0.49000000000000199</v>
      </c>
      <c r="I241" s="38">
        <f t="shared" si="1180"/>
        <v>0.45000000000000284</v>
      </c>
      <c r="J241" s="38">
        <f t="shared" si="1180"/>
        <v>1</v>
      </c>
      <c r="K241" s="38">
        <f t="shared" si="1180"/>
        <v>0.27999999999999758</v>
      </c>
      <c r="L241" s="39">
        <f t="shared" si="1180"/>
        <v>7.0000000000000284E-2</v>
      </c>
      <c r="M241" s="38"/>
      <c r="N241" s="40"/>
      <c r="O241" s="40"/>
      <c r="P241" s="40"/>
      <c r="Q241" s="40"/>
      <c r="R241" s="40"/>
      <c r="S241" s="40">
        <f t="shared" ref="S241:T241" si="1181">(B240+B241)/2</f>
        <v>58.424999999999997</v>
      </c>
      <c r="T241" s="40">
        <f t="shared" si="1181"/>
        <v>48.695</v>
      </c>
      <c r="U241" s="40">
        <f t="shared" si="6"/>
        <v>40.880000000000003</v>
      </c>
      <c r="V241" s="40">
        <f t="shared" ref="V241:W241" si="1182">(E240+E241)/2</f>
        <v>28.990000000000002</v>
      </c>
      <c r="W241" s="40">
        <f t="shared" si="1182"/>
        <v>20.315000000000001</v>
      </c>
      <c r="X241" s="41">
        <f t="shared" ref="X241:AB241" si="1183">(SUM(B238:B241))/4</f>
        <v>58.032499999999999</v>
      </c>
      <c r="Y241" s="40">
        <f t="shared" si="1183"/>
        <v>48.39</v>
      </c>
      <c r="Z241" s="40">
        <f t="shared" si="1183"/>
        <v>40.314999999999998</v>
      </c>
      <c r="AA241" s="40">
        <f t="shared" si="1183"/>
        <v>28.759999999999998</v>
      </c>
      <c r="AB241" s="47">
        <f t="shared" si="1183"/>
        <v>19.987500000000001</v>
      </c>
      <c r="AC241" s="42">
        <f t="shared" ref="AC241:AF241" si="1184">(B241+C241)/2</f>
        <v>53.795000000000002</v>
      </c>
      <c r="AD241" s="42">
        <f t="shared" si="1184"/>
        <v>45.150000000000006</v>
      </c>
      <c r="AE241" s="42">
        <f t="shared" si="1184"/>
        <v>35.255000000000003</v>
      </c>
      <c r="AF241" s="42">
        <f t="shared" si="1184"/>
        <v>24.740000000000002</v>
      </c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8"/>
      <c r="BK241" s="8"/>
      <c r="BL241" s="8"/>
      <c r="BM241" s="8"/>
    </row>
    <row r="242" spans="1:65" ht="15.75" hidden="1" customHeight="1" x14ac:dyDescent="0.45">
      <c r="A242" s="50">
        <f t="shared" si="3"/>
        <v>42573</v>
      </c>
      <c r="B242" s="51">
        <v>58.87</v>
      </c>
      <c r="C242" s="51">
        <v>49.69</v>
      </c>
      <c r="D242" s="51">
        <v>42.14</v>
      </c>
      <c r="E242" s="51">
        <v>29.58</v>
      </c>
      <c r="F242" s="51">
        <v>20.37</v>
      </c>
      <c r="G242" s="52">
        <v>62.89</v>
      </c>
      <c r="H242" s="37">
        <f t="shared" ref="H242:L242" si="1185">B242-B241</f>
        <v>0.19999999999999574</v>
      </c>
      <c r="I242" s="38">
        <f t="shared" si="1185"/>
        <v>0.76999999999999602</v>
      </c>
      <c r="J242" s="38">
        <f t="shared" si="1185"/>
        <v>0.75999999999999801</v>
      </c>
      <c r="K242" s="38">
        <f t="shared" si="1185"/>
        <v>0.44999999999999929</v>
      </c>
      <c r="L242" s="39">
        <f t="shared" si="1185"/>
        <v>1.9999999999999574E-2</v>
      </c>
      <c r="M242" s="38"/>
      <c r="N242" s="40"/>
      <c r="O242" s="40"/>
      <c r="P242" s="40"/>
      <c r="Q242" s="40"/>
      <c r="R242" s="40"/>
      <c r="S242" s="40">
        <f t="shared" ref="S242:T242" si="1186">(B241+B242)/2</f>
        <v>58.769999999999996</v>
      </c>
      <c r="T242" s="40">
        <f t="shared" si="1186"/>
        <v>49.305</v>
      </c>
      <c r="U242" s="40">
        <f t="shared" si="6"/>
        <v>41.760000000000005</v>
      </c>
      <c r="V242" s="40">
        <f t="shared" ref="V242:W242" si="1187">(E241+E242)/2</f>
        <v>29.354999999999997</v>
      </c>
      <c r="W242" s="40">
        <f t="shared" si="1187"/>
        <v>20.36</v>
      </c>
      <c r="X242" s="41">
        <f t="shared" ref="X242:AB242" si="1188">(SUM(B239:B242))/4</f>
        <v>58.405000000000001</v>
      </c>
      <c r="Y242" s="40">
        <f t="shared" si="1188"/>
        <v>48.814999999999998</v>
      </c>
      <c r="Z242" s="40">
        <f t="shared" si="1188"/>
        <v>40.950000000000003</v>
      </c>
      <c r="AA242" s="40">
        <f t="shared" si="1188"/>
        <v>29.06</v>
      </c>
      <c r="AB242" s="47">
        <f t="shared" si="1188"/>
        <v>20.195</v>
      </c>
      <c r="AC242" s="42">
        <f t="shared" ref="AC242:AF242" si="1189">(B242+C242)/2</f>
        <v>54.28</v>
      </c>
      <c r="AD242" s="42">
        <f t="shared" si="1189"/>
        <v>45.914999999999999</v>
      </c>
      <c r="AE242" s="42">
        <f t="shared" si="1189"/>
        <v>35.86</v>
      </c>
      <c r="AF242" s="42">
        <f t="shared" si="1189"/>
        <v>24.975000000000001</v>
      </c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8"/>
      <c r="BK242" s="8"/>
      <c r="BL242" s="8"/>
      <c r="BM242" s="8"/>
    </row>
    <row r="243" spans="1:65" ht="15.75" hidden="1" customHeight="1" x14ac:dyDescent="0.45">
      <c r="A243" s="50">
        <f t="shared" si="3"/>
        <v>42580</v>
      </c>
      <c r="B243" s="51">
        <v>59.64</v>
      </c>
      <c r="C243" s="51">
        <v>50.33</v>
      </c>
      <c r="D243" s="51">
        <v>42.92</v>
      </c>
      <c r="E243" s="51">
        <v>30.14</v>
      </c>
      <c r="F243" s="51">
        <v>20.51</v>
      </c>
      <c r="G243" s="52">
        <v>64.459999999999994</v>
      </c>
      <c r="H243" s="37">
        <f t="shared" ref="H243:L243" si="1190">B243-B242</f>
        <v>0.77000000000000313</v>
      </c>
      <c r="I243" s="38">
        <f t="shared" si="1190"/>
        <v>0.64000000000000057</v>
      </c>
      <c r="J243" s="38">
        <f t="shared" si="1190"/>
        <v>0.78000000000000114</v>
      </c>
      <c r="K243" s="38">
        <f t="shared" si="1190"/>
        <v>0.56000000000000227</v>
      </c>
      <c r="L243" s="39">
        <f t="shared" si="1190"/>
        <v>0.14000000000000057</v>
      </c>
      <c r="M243" s="38"/>
      <c r="N243" s="40"/>
      <c r="O243" s="40"/>
      <c r="P243" s="40"/>
      <c r="Q243" s="40"/>
      <c r="R243" s="40"/>
      <c r="S243" s="40">
        <f t="shared" ref="S243:T243" si="1191">(B242+B243)/2</f>
        <v>59.254999999999995</v>
      </c>
      <c r="T243" s="40">
        <f t="shared" si="1191"/>
        <v>50.01</v>
      </c>
      <c r="U243" s="40">
        <f t="shared" si="6"/>
        <v>42.53</v>
      </c>
      <c r="V243" s="40">
        <f t="shared" ref="V243:W243" si="1192">(E242+E243)/2</f>
        <v>29.86</v>
      </c>
      <c r="W243" s="40">
        <f t="shared" si="1192"/>
        <v>20.440000000000001</v>
      </c>
      <c r="X243" s="41">
        <f t="shared" ref="X243:AB243" si="1193">(SUM(B240:B243))/4</f>
        <v>58.84</v>
      </c>
      <c r="Y243" s="40">
        <f t="shared" si="1193"/>
        <v>49.352499999999992</v>
      </c>
      <c r="Z243" s="40">
        <f t="shared" si="1193"/>
        <v>41.704999999999998</v>
      </c>
      <c r="AA243" s="40">
        <f t="shared" si="1193"/>
        <v>29.425000000000001</v>
      </c>
      <c r="AB243" s="47">
        <f t="shared" si="1193"/>
        <v>20.377500000000001</v>
      </c>
      <c r="AC243" s="42">
        <f t="shared" ref="AC243:AF243" si="1194">(B243+C243)/2</f>
        <v>54.984999999999999</v>
      </c>
      <c r="AD243" s="42">
        <f t="shared" si="1194"/>
        <v>46.625</v>
      </c>
      <c r="AE243" s="42">
        <f t="shared" si="1194"/>
        <v>36.53</v>
      </c>
      <c r="AF243" s="42">
        <f t="shared" si="1194"/>
        <v>25.325000000000003</v>
      </c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8"/>
      <c r="BK243" s="8"/>
      <c r="BL243" s="8"/>
      <c r="BM243" s="8"/>
    </row>
    <row r="244" spans="1:65" ht="15.75" hidden="1" customHeight="1" x14ac:dyDescent="0.45">
      <c r="A244" s="50">
        <f t="shared" si="3"/>
        <v>42587</v>
      </c>
      <c r="B244" s="51">
        <v>60.89</v>
      </c>
      <c r="C244" s="51">
        <v>51.02</v>
      </c>
      <c r="D244" s="51">
        <v>43.36</v>
      </c>
      <c r="E244" s="51">
        <v>30.71</v>
      </c>
      <c r="F244" s="51">
        <v>20.58</v>
      </c>
      <c r="G244" s="52">
        <v>67.069999999999993</v>
      </c>
      <c r="H244" s="37">
        <f t="shared" ref="H244:L244" si="1195">B244-B243</f>
        <v>1.25</v>
      </c>
      <c r="I244" s="38">
        <f t="shared" si="1195"/>
        <v>0.69000000000000483</v>
      </c>
      <c r="J244" s="38">
        <f t="shared" si="1195"/>
        <v>0.43999999999999773</v>
      </c>
      <c r="K244" s="38">
        <f t="shared" si="1195"/>
        <v>0.57000000000000028</v>
      </c>
      <c r="L244" s="39">
        <f t="shared" si="1195"/>
        <v>6.9999999999996732E-2</v>
      </c>
      <c r="M244" s="38"/>
      <c r="N244" s="40"/>
      <c r="O244" s="40"/>
      <c r="P244" s="40"/>
      <c r="Q244" s="40"/>
      <c r="R244" s="40"/>
      <c r="S244" s="40">
        <f t="shared" ref="S244:T244" si="1196">(B243+B244)/2</f>
        <v>60.265000000000001</v>
      </c>
      <c r="T244" s="40">
        <f t="shared" si="1196"/>
        <v>50.674999999999997</v>
      </c>
      <c r="U244" s="40">
        <f t="shared" si="6"/>
        <v>43.14</v>
      </c>
      <c r="V244" s="40">
        <f t="shared" ref="V244:W244" si="1197">(E243+E244)/2</f>
        <v>30.425000000000001</v>
      </c>
      <c r="W244" s="40">
        <f t="shared" si="1197"/>
        <v>20.545000000000002</v>
      </c>
      <c r="X244" s="41">
        <f t="shared" ref="X244:AB244" si="1198">(SUM(B241:B244))/4</f>
        <v>59.517499999999998</v>
      </c>
      <c r="Y244" s="40">
        <f t="shared" si="1198"/>
        <v>49.99</v>
      </c>
      <c r="Z244" s="40">
        <f t="shared" si="1198"/>
        <v>42.45</v>
      </c>
      <c r="AA244" s="40">
        <f t="shared" si="1198"/>
        <v>29.89</v>
      </c>
      <c r="AB244" s="47">
        <f t="shared" si="1198"/>
        <v>20.452500000000001</v>
      </c>
      <c r="AC244" s="42">
        <f t="shared" ref="AC244:AF244" si="1199">(B244+C244)/2</f>
        <v>55.954999999999998</v>
      </c>
      <c r="AD244" s="42">
        <f t="shared" si="1199"/>
        <v>47.19</v>
      </c>
      <c r="AE244" s="42">
        <f t="shared" si="1199"/>
        <v>37.034999999999997</v>
      </c>
      <c r="AF244" s="42">
        <f t="shared" si="1199"/>
        <v>25.645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8"/>
      <c r="BK244" s="8"/>
      <c r="BL244" s="8"/>
      <c r="BM244" s="8"/>
    </row>
    <row r="245" spans="1:65" ht="15.75" hidden="1" customHeight="1" x14ac:dyDescent="0.45">
      <c r="A245" s="50">
        <f t="shared" si="3"/>
        <v>42594</v>
      </c>
      <c r="B245" s="51">
        <v>61.39</v>
      </c>
      <c r="C245" s="51">
        <v>52.77</v>
      </c>
      <c r="D245" s="51">
        <v>44.27</v>
      </c>
      <c r="E245" s="51">
        <v>31.44</v>
      </c>
      <c r="F245" s="51">
        <v>20.67</v>
      </c>
      <c r="G245" s="52">
        <v>67.13</v>
      </c>
      <c r="H245" s="37">
        <f t="shared" ref="H245:L245" si="1200">B245-B244</f>
        <v>0.5</v>
      </c>
      <c r="I245" s="38">
        <f t="shared" si="1200"/>
        <v>1.75</v>
      </c>
      <c r="J245" s="38">
        <f t="shared" si="1200"/>
        <v>0.91000000000000369</v>
      </c>
      <c r="K245" s="38">
        <f t="shared" si="1200"/>
        <v>0.73000000000000043</v>
      </c>
      <c r="L245" s="39">
        <f t="shared" si="1200"/>
        <v>9.0000000000003411E-2</v>
      </c>
      <c r="M245" s="38"/>
      <c r="N245" s="40"/>
      <c r="O245" s="40"/>
      <c r="P245" s="40"/>
      <c r="Q245" s="40"/>
      <c r="R245" s="40"/>
      <c r="S245" s="40">
        <f t="shared" ref="S245:T245" si="1201">(B244+B245)/2</f>
        <v>61.14</v>
      </c>
      <c r="T245" s="40">
        <f t="shared" si="1201"/>
        <v>51.895000000000003</v>
      </c>
      <c r="U245" s="40">
        <f t="shared" si="6"/>
        <v>43.814999999999998</v>
      </c>
      <c r="V245" s="40">
        <f t="shared" ref="V245:W245" si="1202">(E244+E245)/2</f>
        <v>31.075000000000003</v>
      </c>
      <c r="W245" s="40">
        <f t="shared" si="1202"/>
        <v>20.625</v>
      </c>
      <c r="X245" s="41">
        <f t="shared" ref="X245:AB245" si="1203">(SUM(B242:B245))/4</f>
        <v>60.197499999999991</v>
      </c>
      <c r="Y245" s="40">
        <f t="shared" si="1203"/>
        <v>50.952500000000001</v>
      </c>
      <c r="Z245" s="40">
        <f t="shared" si="1203"/>
        <v>43.172500000000007</v>
      </c>
      <c r="AA245" s="40">
        <f t="shared" si="1203"/>
        <v>30.467500000000001</v>
      </c>
      <c r="AB245" s="47">
        <f t="shared" si="1203"/>
        <v>20.532499999999999</v>
      </c>
      <c r="AC245" s="42">
        <f t="shared" ref="AC245:AF245" si="1204">(B245+C245)/2</f>
        <v>57.08</v>
      </c>
      <c r="AD245" s="42">
        <f t="shared" si="1204"/>
        <v>48.52</v>
      </c>
      <c r="AE245" s="42">
        <f t="shared" si="1204"/>
        <v>37.855000000000004</v>
      </c>
      <c r="AF245" s="42">
        <f t="shared" si="1204"/>
        <v>26.055</v>
      </c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8"/>
      <c r="BK245" s="8"/>
      <c r="BL245" s="8"/>
      <c r="BM245" s="8"/>
    </row>
    <row r="246" spans="1:65" ht="15.75" hidden="1" customHeight="1" x14ac:dyDescent="0.45">
      <c r="A246" s="50">
        <f t="shared" si="3"/>
        <v>42601</v>
      </c>
      <c r="B246" s="51">
        <v>61.98</v>
      </c>
      <c r="C246" s="51">
        <v>53.5</v>
      </c>
      <c r="D246" s="51">
        <v>46.16</v>
      </c>
      <c r="E246" s="51">
        <v>32.200000000000003</v>
      </c>
      <c r="F246" s="51">
        <v>20.74</v>
      </c>
      <c r="G246" s="52">
        <v>68.709999999999994</v>
      </c>
      <c r="H246" s="37">
        <f t="shared" ref="H246:L246" si="1205">B246-B245</f>
        <v>0.58999999999999631</v>
      </c>
      <c r="I246" s="38">
        <f t="shared" si="1205"/>
        <v>0.72999999999999687</v>
      </c>
      <c r="J246" s="38">
        <f t="shared" si="1205"/>
        <v>1.8899999999999935</v>
      </c>
      <c r="K246" s="38">
        <f t="shared" si="1205"/>
        <v>0.76000000000000156</v>
      </c>
      <c r="L246" s="39">
        <f t="shared" si="1205"/>
        <v>6.9999999999996732E-2</v>
      </c>
      <c r="M246" s="38"/>
      <c r="N246" s="40"/>
      <c r="O246" s="40"/>
      <c r="P246" s="40"/>
      <c r="Q246" s="40"/>
      <c r="R246" s="40"/>
      <c r="S246" s="40">
        <f t="shared" ref="S246:T246" si="1206">(B245+B246)/2</f>
        <v>61.685000000000002</v>
      </c>
      <c r="T246" s="40">
        <f t="shared" si="1206"/>
        <v>53.135000000000005</v>
      </c>
      <c r="U246" s="40">
        <f t="shared" si="6"/>
        <v>45.215000000000003</v>
      </c>
      <c r="V246" s="40">
        <f t="shared" ref="V246:W246" si="1207">(E245+E246)/2</f>
        <v>31.82</v>
      </c>
      <c r="W246" s="40">
        <f t="shared" si="1207"/>
        <v>20.704999999999998</v>
      </c>
      <c r="X246" s="41">
        <f t="shared" ref="X246:AB246" si="1208">(SUM(B243:B246))/4</f>
        <v>60.975000000000001</v>
      </c>
      <c r="Y246" s="40">
        <f t="shared" si="1208"/>
        <v>51.905000000000001</v>
      </c>
      <c r="Z246" s="40">
        <f t="shared" si="1208"/>
        <v>44.177500000000002</v>
      </c>
      <c r="AA246" s="40">
        <f t="shared" si="1208"/>
        <v>31.122500000000002</v>
      </c>
      <c r="AB246" s="47">
        <f t="shared" si="1208"/>
        <v>20.625</v>
      </c>
      <c r="AC246" s="42">
        <f t="shared" ref="AC246:AF246" si="1209">(B246+C246)/2</f>
        <v>57.739999999999995</v>
      </c>
      <c r="AD246" s="42">
        <f t="shared" si="1209"/>
        <v>49.83</v>
      </c>
      <c r="AE246" s="42">
        <f t="shared" si="1209"/>
        <v>39.18</v>
      </c>
      <c r="AF246" s="42">
        <f t="shared" si="1209"/>
        <v>26.47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8"/>
      <c r="BK246" s="8"/>
      <c r="BL246" s="8"/>
      <c r="BM246" s="8"/>
    </row>
    <row r="247" spans="1:65" ht="15.75" hidden="1" customHeight="1" x14ac:dyDescent="0.45">
      <c r="A247" s="50">
        <f t="shared" si="3"/>
        <v>42608</v>
      </c>
      <c r="B247" s="51">
        <v>63.2</v>
      </c>
      <c r="C247" s="51">
        <v>54.34</v>
      </c>
      <c r="D247" s="51">
        <v>47.84</v>
      </c>
      <c r="E247" s="51">
        <v>32.770000000000003</v>
      </c>
      <c r="F247" s="51">
        <v>21.35</v>
      </c>
      <c r="G247" s="52">
        <v>66.739999999999995</v>
      </c>
      <c r="H247" s="37">
        <f t="shared" ref="H247:L247" si="1210">B247-B246</f>
        <v>1.220000000000006</v>
      </c>
      <c r="I247" s="38">
        <f t="shared" si="1210"/>
        <v>0.84000000000000341</v>
      </c>
      <c r="J247" s="38">
        <f t="shared" si="1210"/>
        <v>1.6800000000000068</v>
      </c>
      <c r="K247" s="38">
        <f t="shared" si="1210"/>
        <v>0.57000000000000028</v>
      </c>
      <c r="L247" s="39">
        <f t="shared" si="1210"/>
        <v>0.61000000000000298</v>
      </c>
      <c r="M247" s="38"/>
      <c r="N247" s="40"/>
      <c r="O247" s="40"/>
      <c r="P247" s="40"/>
      <c r="Q247" s="40"/>
      <c r="R247" s="40"/>
      <c r="S247" s="40">
        <f t="shared" ref="S247:T247" si="1211">(B246+B247)/2</f>
        <v>62.59</v>
      </c>
      <c r="T247" s="40">
        <f t="shared" si="1211"/>
        <v>53.92</v>
      </c>
      <c r="U247" s="40">
        <f t="shared" si="6"/>
        <v>47</v>
      </c>
      <c r="V247" s="40">
        <f t="shared" ref="V247:W247" si="1212">(E246+E247)/2</f>
        <v>32.484999999999999</v>
      </c>
      <c r="W247" s="40">
        <f t="shared" si="1212"/>
        <v>21.045000000000002</v>
      </c>
      <c r="X247" s="41">
        <f t="shared" ref="X247:AB247" si="1213">(SUM(B244:B247))/4</f>
        <v>61.864999999999995</v>
      </c>
      <c r="Y247" s="40">
        <f t="shared" si="1213"/>
        <v>52.907500000000006</v>
      </c>
      <c r="Z247" s="40">
        <f t="shared" si="1213"/>
        <v>45.407499999999999</v>
      </c>
      <c r="AA247" s="40">
        <f t="shared" si="1213"/>
        <v>31.78</v>
      </c>
      <c r="AB247" s="47">
        <f t="shared" si="1213"/>
        <v>20.835000000000001</v>
      </c>
      <c r="AC247" s="42">
        <f t="shared" ref="AC247:AF247" si="1214">(B247+C247)/2</f>
        <v>58.77</v>
      </c>
      <c r="AD247" s="42">
        <f t="shared" si="1214"/>
        <v>51.09</v>
      </c>
      <c r="AE247" s="42">
        <f t="shared" si="1214"/>
        <v>40.305000000000007</v>
      </c>
      <c r="AF247" s="42">
        <f t="shared" si="1214"/>
        <v>27.060000000000002</v>
      </c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8"/>
      <c r="BK247" s="8"/>
      <c r="BL247" s="8"/>
      <c r="BM247" s="8"/>
    </row>
    <row r="248" spans="1:65" ht="15.75" hidden="1" customHeight="1" x14ac:dyDescent="0.45">
      <c r="A248" s="50">
        <f t="shared" si="3"/>
        <v>42615</v>
      </c>
      <c r="B248" s="51">
        <v>63.79</v>
      </c>
      <c r="C248" s="51">
        <v>55.24</v>
      </c>
      <c r="D248" s="51">
        <v>49.09</v>
      </c>
      <c r="E248" s="51">
        <v>33.590000000000003</v>
      </c>
      <c r="F248" s="51">
        <v>21.65</v>
      </c>
      <c r="G248" s="52">
        <v>68.900000000000006</v>
      </c>
      <c r="H248" s="37">
        <f t="shared" ref="H248:L248" si="1215">B248-B247</f>
        <v>0.58999999999999631</v>
      </c>
      <c r="I248" s="38">
        <f t="shared" si="1215"/>
        <v>0.89999999999999858</v>
      </c>
      <c r="J248" s="38">
        <f t="shared" si="1215"/>
        <v>1.25</v>
      </c>
      <c r="K248" s="38">
        <f t="shared" si="1215"/>
        <v>0.82000000000000028</v>
      </c>
      <c r="L248" s="39">
        <f t="shared" si="1215"/>
        <v>0.29999999999999716</v>
      </c>
      <c r="M248" s="38"/>
      <c r="N248" s="40"/>
      <c r="O248" s="40"/>
      <c r="P248" s="40"/>
      <c r="Q248" s="40"/>
      <c r="R248" s="40"/>
      <c r="S248" s="40">
        <f t="shared" ref="S248:T248" si="1216">(B247+B248)/2</f>
        <v>63.495000000000005</v>
      </c>
      <c r="T248" s="40">
        <f t="shared" si="1216"/>
        <v>54.790000000000006</v>
      </c>
      <c r="U248" s="40">
        <f t="shared" si="6"/>
        <v>48.465000000000003</v>
      </c>
      <c r="V248" s="40">
        <f t="shared" ref="V248:W248" si="1217">(E247+E248)/2</f>
        <v>33.180000000000007</v>
      </c>
      <c r="W248" s="40">
        <f t="shared" si="1217"/>
        <v>21.5</v>
      </c>
      <c r="X248" s="41">
        <f t="shared" ref="X248:AB248" si="1218">(SUM(B245:B248))/4</f>
        <v>62.589999999999996</v>
      </c>
      <c r="Y248" s="40">
        <f t="shared" si="1218"/>
        <v>53.962500000000006</v>
      </c>
      <c r="Z248" s="40">
        <f t="shared" si="1218"/>
        <v>46.84</v>
      </c>
      <c r="AA248" s="40">
        <f t="shared" si="1218"/>
        <v>32.5</v>
      </c>
      <c r="AB248" s="47">
        <f t="shared" si="1218"/>
        <v>21.102499999999999</v>
      </c>
      <c r="AC248" s="42">
        <f t="shared" ref="AC248:AF248" si="1219">(B248+C248)/2</f>
        <v>59.515000000000001</v>
      </c>
      <c r="AD248" s="42">
        <f t="shared" si="1219"/>
        <v>52.165000000000006</v>
      </c>
      <c r="AE248" s="42">
        <f t="shared" si="1219"/>
        <v>41.34</v>
      </c>
      <c r="AF248" s="42">
        <f t="shared" si="1219"/>
        <v>27.62</v>
      </c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8"/>
      <c r="BK248" s="8"/>
      <c r="BL248" s="8"/>
      <c r="BM248" s="8"/>
    </row>
    <row r="249" spans="1:65" ht="15.75" hidden="1" customHeight="1" x14ac:dyDescent="0.45">
      <c r="A249" s="50">
        <f t="shared" si="3"/>
        <v>42622</v>
      </c>
      <c r="B249" s="51">
        <v>64.319999999999993</v>
      </c>
      <c r="C249" s="51">
        <v>55.9</v>
      </c>
      <c r="D249" s="51">
        <v>49.84</v>
      </c>
      <c r="E249" s="51">
        <v>34.56</v>
      </c>
      <c r="F249" s="51">
        <v>21.99</v>
      </c>
      <c r="G249" s="52">
        <v>70.61</v>
      </c>
      <c r="H249" s="37">
        <f t="shared" ref="H249:L249" si="1220">B249-B248</f>
        <v>0.52999999999999403</v>
      </c>
      <c r="I249" s="38">
        <f t="shared" si="1220"/>
        <v>0.65999999999999659</v>
      </c>
      <c r="J249" s="38">
        <f t="shared" si="1220"/>
        <v>0.75</v>
      </c>
      <c r="K249" s="38">
        <f t="shared" si="1220"/>
        <v>0.96999999999999886</v>
      </c>
      <c r="L249" s="39">
        <f t="shared" si="1220"/>
        <v>0.33999999999999986</v>
      </c>
      <c r="M249" s="38"/>
      <c r="N249" s="40"/>
      <c r="O249" s="40"/>
      <c r="P249" s="40"/>
      <c r="Q249" s="40"/>
      <c r="R249" s="40"/>
      <c r="S249" s="40">
        <f t="shared" ref="S249:T249" si="1221">(B248+B249)/2</f>
        <v>64.054999999999993</v>
      </c>
      <c r="T249" s="40">
        <f t="shared" si="1221"/>
        <v>55.57</v>
      </c>
      <c r="U249" s="40">
        <f t="shared" si="6"/>
        <v>49.465000000000003</v>
      </c>
      <c r="V249" s="40">
        <f t="shared" ref="V249:W249" si="1222">(E248+E249)/2</f>
        <v>34.075000000000003</v>
      </c>
      <c r="W249" s="40">
        <f t="shared" si="1222"/>
        <v>21.82</v>
      </c>
      <c r="X249" s="41">
        <f t="shared" ref="X249:AB249" si="1223">(SUM(B246:B249))/4</f>
        <v>63.322499999999998</v>
      </c>
      <c r="Y249" s="40">
        <f t="shared" si="1223"/>
        <v>54.745000000000005</v>
      </c>
      <c r="Z249" s="40">
        <f t="shared" si="1223"/>
        <v>48.232500000000002</v>
      </c>
      <c r="AA249" s="40">
        <f t="shared" si="1223"/>
        <v>33.28</v>
      </c>
      <c r="AB249" s="47">
        <f t="shared" si="1223"/>
        <v>21.432500000000001</v>
      </c>
      <c r="AC249" s="42">
        <f t="shared" ref="AC249:AF249" si="1224">(B249+C249)/2</f>
        <v>60.11</v>
      </c>
      <c r="AD249" s="42">
        <f t="shared" si="1224"/>
        <v>52.870000000000005</v>
      </c>
      <c r="AE249" s="42">
        <f t="shared" si="1224"/>
        <v>42.2</v>
      </c>
      <c r="AF249" s="42">
        <f t="shared" si="1224"/>
        <v>28.274999999999999</v>
      </c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8"/>
      <c r="BK249" s="8"/>
      <c r="BL249" s="8"/>
      <c r="BM249" s="8"/>
    </row>
    <row r="250" spans="1:65" ht="15.75" hidden="1" customHeight="1" x14ac:dyDescent="0.45">
      <c r="A250" s="50">
        <f t="shared" si="3"/>
        <v>42629</v>
      </c>
      <c r="B250" s="51">
        <v>66.599999999999994</v>
      </c>
      <c r="C250" s="51">
        <v>57.77</v>
      </c>
      <c r="D250" s="51">
        <v>50.61</v>
      </c>
      <c r="E250" s="51">
        <v>35.25</v>
      </c>
      <c r="F250" s="51">
        <v>22.26</v>
      </c>
      <c r="G250" s="52">
        <v>70.760000000000005</v>
      </c>
      <c r="H250" s="37">
        <f t="shared" ref="H250:L250" si="1225">B250-B249</f>
        <v>2.2800000000000011</v>
      </c>
      <c r="I250" s="38">
        <f t="shared" si="1225"/>
        <v>1.8700000000000045</v>
      </c>
      <c r="J250" s="38">
        <f t="shared" si="1225"/>
        <v>0.76999999999999602</v>
      </c>
      <c r="K250" s="38">
        <f t="shared" si="1225"/>
        <v>0.68999999999999773</v>
      </c>
      <c r="L250" s="39">
        <f t="shared" si="1225"/>
        <v>0.27000000000000313</v>
      </c>
      <c r="M250" s="38"/>
      <c r="N250" s="40"/>
      <c r="O250" s="40"/>
      <c r="P250" s="40"/>
      <c r="Q250" s="40"/>
      <c r="R250" s="40"/>
      <c r="S250" s="40">
        <f t="shared" ref="S250:T250" si="1226">(B249+B250)/2</f>
        <v>65.459999999999994</v>
      </c>
      <c r="T250" s="40">
        <f t="shared" si="1226"/>
        <v>56.835000000000001</v>
      </c>
      <c r="U250" s="40">
        <f t="shared" si="6"/>
        <v>50.225000000000001</v>
      </c>
      <c r="V250" s="40">
        <f t="shared" ref="V250:W250" si="1227">(E249+E250)/2</f>
        <v>34.905000000000001</v>
      </c>
      <c r="W250" s="40">
        <f t="shared" si="1227"/>
        <v>22.125</v>
      </c>
      <c r="X250" s="41">
        <f t="shared" ref="X250:AB250" si="1228">(SUM(B247:B250))/4</f>
        <v>64.477499999999992</v>
      </c>
      <c r="Y250" s="40">
        <f t="shared" si="1228"/>
        <v>55.812500000000007</v>
      </c>
      <c r="Z250" s="40">
        <f t="shared" si="1228"/>
        <v>49.344999999999999</v>
      </c>
      <c r="AA250" s="40">
        <f t="shared" si="1228"/>
        <v>34.042500000000004</v>
      </c>
      <c r="AB250" s="47">
        <f t="shared" si="1228"/>
        <v>21.8125</v>
      </c>
      <c r="AC250" s="42">
        <f t="shared" ref="AC250:AF250" si="1229">(B250+C250)/2</f>
        <v>62.185000000000002</v>
      </c>
      <c r="AD250" s="42">
        <f t="shared" si="1229"/>
        <v>54.19</v>
      </c>
      <c r="AE250" s="42">
        <f t="shared" si="1229"/>
        <v>42.93</v>
      </c>
      <c r="AF250" s="42">
        <f t="shared" si="1229"/>
        <v>28.755000000000003</v>
      </c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8"/>
      <c r="BK250" s="8"/>
      <c r="BL250" s="8"/>
      <c r="BM250" s="8"/>
    </row>
    <row r="251" spans="1:65" ht="15.75" hidden="1" customHeight="1" x14ac:dyDescent="0.45">
      <c r="A251" s="50">
        <f t="shared" si="3"/>
        <v>42636</v>
      </c>
      <c r="B251" s="51">
        <v>69.180000000000007</v>
      </c>
      <c r="C251" s="51">
        <v>58.76</v>
      </c>
      <c r="D251" s="51">
        <v>51.66</v>
      </c>
      <c r="E251" s="51">
        <v>36.270000000000003</v>
      </c>
      <c r="F251" s="51">
        <v>23.03</v>
      </c>
      <c r="G251" s="52">
        <v>74.3</v>
      </c>
      <c r="H251" s="37">
        <f t="shared" ref="H251:L251" si="1230">B251-B250</f>
        <v>2.5800000000000125</v>
      </c>
      <c r="I251" s="38">
        <f t="shared" si="1230"/>
        <v>0.98999999999999488</v>
      </c>
      <c r="J251" s="38">
        <f t="shared" si="1230"/>
        <v>1.0499999999999972</v>
      </c>
      <c r="K251" s="38">
        <f t="shared" si="1230"/>
        <v>1.0200000000000031</v>
      </c>
      <c r="L251" s="39">
        <f t="shared" si="1230"/>
        <v>0.76999999999999957</v>
      </c>
      <c r="M251" s="38"/>
      <c r="N251" s="40"/>
      <c r="O251" s="40"/>
      <c r="P251" s="40"/>
      <c r="Q251" s="40"/>
      <c r="R251" s="40"/>
      <c r="S251" s="40">
        <f t="shared" ref="S251:T251" si="1231">(B250+B251)/2</f>
        <v>67.89</v>
      </c>
      <c r="T251" s="40">
        <f t="shared" si="1231"/>
        <v>58.265000000000001</v>
      </c>
      <c r="U251" s="40">
        <f t="shared" si="6"/>
        <v>51.134999999999998</v>
      </c>
      <c r="V251" s="40">
        <f t="shared" ref="V251:W251" si="1232">(E250+E251)/2</f>
        <v>35.760000000000005</v>
      </c>
      <c r="W251" s="40">
        <f t="shared" si="1232"/>
        <v>22.645000000000003</v>
      </c>
      <c r="X251" s="41">
        <f t="shared" ref="X251:AB251" si="1233">(SUM(B248:B251))/4</f>
        <v>65.972499999999997</v>
      </c>
      <c r="Y251" s="40">
        <f t="shared" si="1233"/>
        <v>56.917499999999997</v>
      </c>
      <c r="Z251" s="40">
        <f t="shared" si="1233"/>
        <v>50.300000000000004</v>
      </c>
      <c r="AA251" s="40">
        <f t="shared" si="1233"/>
        <v>34.917500000000004</v>
      </c>
      <c r="AB251" s="47">
        <f t="shared" si="1233"/>
        <v>22.232500000000002</v>
      </c>
      <c r="AC251" s="42">
        <f t="shared" ref="AC251:AF251" si="1234">(B251+C251)/2</f>
        <v>63.97</v>
      </c>
      <c r="AD251" s="42">
        <f t="shared" si="1234"/>
        <v>55.209999999999994</v>
      </c>
      <c r="AE251" s="42">
        <f t="shared" si="1234"/>
        <v>43.965000000000003</v>
      </c>
      <c r="AF251" s="42">
        <f t="shared" si="1234"/>
        <v>29.650000000000002</v>
      </c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8"/>
      <c r="BK251" s="8"/>
      <c r="BL251" s="8"/>
      <c r="BM251" s="8"/>
    </row>
    <row r="252" spans="1:65" ht="15.75" hidden="1" customHeight="1" x14ac:dyDescent="0.45">
      <c r="A252" s="50">
        <f t="shared" si="3"/>
        <v>42643</v>
      </c>
      <c r="B252" s="51">
        <v>70.790000000000006</v>
      </c>
      <c r="C252" s="51">
        <v>59.77</v>
      </c>
      <c r="D252" s="51">
        <v>53.01</v>
      </c>
      <c r="E252" s="51">
        <v>36.89</v>
      </c>
      <c r="F252" s="51">
        <v>23.35</v>
      </c>
      <c r="G252" s="52">
        <v>78.95</v>
      </c>
      <c r="H252" s="37">
        <f t="shared" ref="H252:L252" si="1235">B252-B251</f>
        <v>1.6099999999999994</v>
      </c>
      <c r="I252" s="38">
        <f t="shared" si="1235"/>
        <v>1.0100000000000051</v>
      </c>
      <c r="J252" s="38">
        <f t="shared" si="1235"/>
        <v>1.3500000000000014</v>
      </c>
      <c r="K252" s="38">
        <f t="shared" si="1235"/>
        <v>0.61999999999999744</v>
      </c>
      <c r="L252" s="39">
        <f t="shared" si="1235"/>
        <v>0.32000000000000028</v>
      </c>
      <c r="M252" s="38"/>
      <c r="N252" s="40"/>
      <c r="O252" s="40"/>
      <c r="P252" s="40"/>
      <c r="Q252" s="40"/>
      <c r="R252" s="40"/>
      <c r="S252" s="40">
        <f t="shared" ref="S252:T252" si="1236">(B251+B252)/2</f>
        <v>69.985000000000014</v>
      </c>
      <c r="T252" s="40">
        <f t="shared" si="1236"/>
        <v>59.265000000000001</v>
      </c>
      <c r="U252" s="40">
        <f t="shared" si="6"/>
        <v>52.334999999999994</v>
      </c>
      <c r="V252" s="40">
        <f t="shared" ref="V252:W252" si="1237">(E251+E252)/2</f>
        <v>36.58</v>
      </c>
      <c r="W252" s="40">
        <f t="shared" si="1237"/>
        <v>23.19</v>
      </c>
      <c r="X252" s="41">
        <f t="shared" ref="X252:AB252" si="1238">(SUM(B249:B252))/4</f>
        <v>67.722499999999997</v>
      </c>
      <c r="Y252" s="40">
        <f t="shared" si="1238"/>
        <v>58.050000000000004</v>
      </c>
      <c r="Z252" s="40">
        <f t="shared" si="1238"/>
        <v>51.28</v>
      </c>
      <c r="AA252" s="40">
        <f t="shared" si="1238"/>
        <v>35.742500000000007</v>
      </c>
      <c r="AB252" s="47">
        <f t="shared" si="1238"/>
        <v>22.657499999999999</v>
      </c>
      <c r="AC252" s="42">
        <f t="shared" ref="AC252:AF252" si="1239">(B252+C252)/2</f>
        <v>65.28</v>
      </c>
      <c r="AD252" s="42">
        <f t="shared" si="1239"/>
        <v>56.39</v>
      </c>
      <c r="AE252" s="42">
        <f t="shared" si="1239"/>
        <v>44.95</v>
      </c>
      <c r="AF252" s="42">
        <f t="shared" si="1239"/>
        <v>30.12</v>
      </c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8"/>
      <c r="BK252" s="8"/>
      <c r="BL252" s="8"/>
      <c r="BM252" s="8"/>
    </row>
    <row r="253" spans="1:65" ht="15.75" hidden="1" customHeight="1" x14ac:dyDescent="0.45">
      <c r="A253" s="50">
        <f t="shared" si="3"/>
        <v>42650</v>
      </c>
      <c r="B253" s="51">
        <v>72.08</v>
      </c>
      <c r="C253" s="51">
        <v>61.85</v>
      </c>
      <c r="D253" s="51">
        <v>54.5</v>
      </c>
      <c r="E253" s="51">
        <v>37.46</v>
      </c>
      <c r="F253" s="51">
        <v>23.7</v>
      </c>
      <c r="G253" s="52">
        <v>83.69</v>
      </c>
      <c r="H253" s="37">
        <f t="shared" ref="H253:L253" si="1240">B253-B252</f>
        <v>1.289999999999992</v>
      </c>
      <c r="I253" s="38">
        <f t="shared" si="1240"/>
        <v>2.0799999999999983</v>
      </c>
      <c r="J253" s="38">
        <f t="shared" si="1240"/>
        <v>1.490000000000002</v>
      </c>
      <c r="K253" s="38">
        <f t="shared" si="1240"/>
        <v>0.57000000000000028</v>
      </c>
      <c r="L253" s="39">
        <f t="shared" si="1240"/>
        <v>0.34999999999999787</v>
      </c>
      <c r="M253" s="38"/>
      <c r="N253" s="40"/>
      <c r="O253" s="40"/>
      <c r="P253" s="40"/>
      <c r="Q253" s="40"/>
      <c r="R253" s="40"/>
      <c r="S253" s="40">
        <f t="shared" ref="S253:T253" si="1241">(B252+B253)/2</f>
        <v>71.435000000000002</v>
      </c>
      <c r="T253" s="40">
        <f t="shared" si="1241"/>
        <v>60.81</v>
      </c>
      <c r="U253" s="40">
        <f t="shared" si="6"/>
        <v>53.754999999999995</v>
      </c>
      <c r="V253" s="40">
        <f t="shared" ref="V253:W253" si="1242">(E252+E253)/2</f>
        <v>37.174999999999997</v>
      </c>
      <c r="W253" s="40">
        <f t="shared" si="1242"/>
        <v>23.524999999999999</v>
      </c>
      <c r="X253" s="41">
        <f t="shared" ref="X253:AB253" si="1243">(SUM(B250:B253))/4</f>
        <v>69.662499999999994</v>
      </c>
      <c r="Y253" s="40">
        <f t="shared" si="1243"/>
        <v>59.537500000000001</v>
      </c>
      <c r="Z253" s="40">
        <f t="shared" si="1243"/>
        <v>52.445</v>
      </c>
      <c r="AA253" s="40">
        <f t="shared" si="1243"/>
        <v>36.467500000000001</v>
      </c>
      <c r="AB253" s="47">
        <f t="shared" si="1243"/>
        <v>23.085000000000004</v>
      </c>
      <c r="AC253" s="42">
        <f t="shared" ref="AC253:AF253" si="1244">(B253+C253)/2</f>
        <v>66.965000000000003</v>
      </c>
      <c r="AD253" s="42">
        <f t="shared" si="1244"/>
        <v>58.174999999999997</v>
      </c>
      <c r="AE253" s="42">
        <f t="shared" si="1244"/>
        <v>45.980000000000004</v>
      </c>
      <c r="AF253" s="42">
        <f t="shared" si="1244"/>
        <v>30.58</v>
      </c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8"/>
      <c r="BK253" s="8"/>
      <c r="BL253" s="8"/>
      <c r="BM253" s="8"/>
    </row>
    <row r="254" spans="1:65" ht="15.75" hidden="1" customHeight="1" x14ac:dyDescent="0.45">
      <c r="A254" s="50">
        <f t="shared" si="3"/>
        <v>42657</v>
      </c>
      <c r="B254" s="51">
        <v>73.94</v>
      </c>
      <c r="C254" s="51">
        <v>63.34</v>
      </c>
      <c r="D254" s="51">
        <v>56.25</v>
      </c>
      <c r="E254" s="51">
        <v>38.43</v>
      </c>
      <c r="F254" s="51">
        <v>24.34</v>
      </c>
      <c r="G254" s="52">
        <v>88.35</v>
      </c>
      <c r="H254" s="37">
        <f t="shared" ref="H254:L254" si="1245">B254-B253</f>
        <v>1.8599999999999994</v>
      </c>
      <c r="I254" s="38">
        <f t="shared" si="1245"/>
        <v>1.490000000000002</v>
      </c>
      <c r="J254" s="38">
        <f t="shared" si="1245"/>
        <v>1.75</v>
      </c>
      <c r="K254" s="38">
        <f t="shared" si="1245"/>
        <v>0.96999999999999886</v>
      </c>
      <c r="L254" s="39">
        <f t="shared" si="1245"/>
        <v>0.64000000000000057</v>
      </c>
      <c r="M254" s="38"/>
      <c r="N254" s="40"/>
      <c r="O254" s="40"/>
      <c r="P254" s="40"/>
      <c r="Q254" s="40"/>
      <c r="R254" s="40"/>
      <c r="S254" s="40">
        <f t="shared" ref="S254:T254" si="1246">(B253+B254)/2</f>
        <v>73.009999999999991</v>
      </c>
      <c r="T254" s="40">
        <f t="shared" si="1246"/>
        <v>62.594999999999999</v>
      </c>
      <c r="U254" s="40">
        <f t="shared" si="6"/>
        <v>55.375</v>
      </c>
      <c r="V254" s="40">
        <f t="shared" ref="V254:W254" si="1247">(E253+E254)/2</f>
        <v>37.945</v>
      </c>
      <c r="W254" s="40">
        <f t="shared" si="1247"/>
        <v>24.02</v>
      </c>
      <c r="X254" s="41">
        <f t="shared" ref="X254:AB254" si="1248">(SUM(B251:B254))/4</f>
        <v>71.497500000000002</v>
      </c>
      <c r="Y254" s="40">
        <f t="shared" si="1248"/>
        <v>60.93</v>
      </c>
      <c r="Z254" s="40">
        <f t="shared" si="1248"/>
        <v>53.854999999999997</v>
      </c>
      <c r="AA254" s="40">
        <f t="shared" si="1248"/>
        <v>37.262500000000003</v>
      </c>
      <c r="AB254" s="47">
        <f t="shared" si="1248"/>
        <v>23.605</v>
      </c>
      <c r="AC254" s="42">
        <f t="shared" ref="AC254:AF254" si="1249">(B254+C254)/2</f>
        <v>68.64</v>
      </c>
      <c r="AD254" s="42">
        <f t="shared" si="1249"/>
        <v>59.795000000000002</v>
      </c>
      <c r="AE254" s="42">
        <f t="shared" si="1249"/>
        <v>47.34</v>
      </c>
      <c r="AF254" s="42">
        <f t="shared" si="1249"/>
        <v>31.384999999999998</v>
      </c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8"/>
      <c r="BK254" s="8"/>
      <c r="BL254" s="8"/>
      <c r="BM254" s="8"/>
    </row>
    <row r="255" spans="1:65" ht="15.75" hidden="1" customHeight="1" x14ac:dyDescent="0.45">
      <c r="A255" s="50">
        <f t="shared" si="3"/>
        <v>42664</v>
      </c>
      <c r="B255" s="51">
        <v>76.87</v>
      </c>
      <c r="C255" s="51">
        <v>65.23</v>
      </c>
      <c r="D255" s="51">
        <v>59.33</v>
      </c>
      <c r="E255" s="51">
        <v>39.86</v>
      </c>
      <c r="F255" s="51">
        <v>26.02</v>
      </c>
      <c r="G255" s="52">
        <v>98.89</v>
      </c>
      <c r="H255" s="37">
        <f t="shared" ref="H255:L255" si="1250">B255-B254</f>
        <v>2.9300000000000068</v>
      </c>
      <c r="I255" s="38">
        <f t="shared" si="1250"/>
        <v>1.8900000000000006</v>
      </c>
      <c r="J255" s="38">
        <f t="shared" si="1250"/>
        <v>3.0799999999999983</v>
      </c>
      <c r="K255" s="38">
        <f t="shared" si="1250"/>
        <v>1.4299999999999997</v>
      </c>
      <c r="L255" s="39">
        <f t="shared" si="1250"/>
        <v>1.6799999999999997</v>
      </c>
      <c r="M255" s="38"/>
      <c r="N255" s="40"/>
      <c r="O255" s="40"/>
      <c r="P255" s="40"/>
      <c r="Q255" s="40"/>
      <c r="R255" s="40"/>
      <c r="S255" s="40">
        <f t="shared" ref="S255:T255" si="1251">(B254+B255)/2</f>
        <v>75.405000000000001</v>
      </c>
      <c r="T255" s="40">
        <f t="shared" si="1251"/>
        <v>64.284999999999997</v>
      </c>
      <c r="U255" s="40">
        <f t="shared" si="6"/>
        <v>57.79</v>
      </c>
      <c r="V255" s="40">
        <f t="shared" ref="V255:W255" si="1252">(E254+E255)/2</f>
        <v>39.144999999999996</v>
      </c>
      <c r="W255" s="40">
        <f t="shared" si="1252"/>
        <v>25.18</v>
      </c>
      <c r="X255" s="41">
        <f t="shared" ref="X255:AB255" si="1253">(SUM(B252:B255))/4</f>
        <v>73.42</v>
      </c>
      <c r="Y255" s="40">
        <f t="shared" si="1253"/>
        <v>62.547499999999999</v>
      </c>
      <c r="Z255" s="40">
        <f t="shared" si="1253"/>
        <v>55.772499999999994</v>
      </c>
      <c r="AA255" s="40">
        <f t="shared" si="1253"/>
        <v>38.159999999999997</v>
      </c>
      <c r="AB255" s="47">
        <f t="shared" si="1253"/>
        <v>24.352499999999999</v>
      </c>
      <c r="AC255" s="42">
        <f t="shared" ref="AC255:AF255" si="1254">(B255+C255)/2</f>
        <v>71.050000000000011</v>
      </c>
      <c r="AD255" s="42">
        <f t="shared" si="1254"/>
        <v>62.28</v>
      </c>
      <c r="AE255" s="42">
        <f t="shared" si="1254"/>
        <v>49.594999999999999</v>
      </c>
      <c r="AF255" s="42">
        <f t="shared" si="1254"/>
        <v>32.94</v>
      </c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8"/>
      <c r="BK255" s="8"/>
      <c r="BL255" s="8"/>
      <c r="BM255" s="8"/>
    </row>
    <row r="256" spans="1:65" ht="15.75" hidden="1" customHeight="1" x14ac:dyDescent="0.45">
      <c r="A256" s="50">
        <f t="shared" si="3"/>
        <v>42671</v>
      </c>
      <c r="B256" s="51">
        <v>96.37</v>
      </c>
      <c r="C256" s="51">
        <v>84.34</v>
      </c>
      <c r="D256" s="51">
        <v>67.55</v>
      </c>
      <c r="E256" s="51">
        <v>43.82</v>
      </c>
      <c r="F256" s="51">
        <v>28.8</v>
      </c>
      <c r="G256" s="52">
        <v>105.81</v>
      </c>
      <c r="H256" s="37">
        <f t="shared" ref="H256:L256" si="1255">B256-B255</f>
        <v>19.5</v>
      </c>
      <c r="I256" s="38">
        <f t="shared" si="1255"/>
        <v>19.11</v>
      </c>
      <c r="J256" s="38">
        <f t="shared" si="1255"/>
        <v>8.2199999999999989</v>
      </c>
      <c r="K256" s="38">
        <f t="shared" si="1255"/>
        <v>3.9600000000000009</v>
      </c>
      <c r="L256" s="39">
        <f t="shared" si="1255"/>
        <v>2.7800000000000011</v>
      </c>
      <c r="M256" s="38"/>
      <c r="N256" s="40"/>
      <c r="O256" s="40"/>
      <c r="P256" s="40"/>
      <c r="Q256" s="40"/>
      <c r="R256" s="40"/>
      <c r="S256" s="40">
        <f t="shared" ref="S256:T256" si="1256">(B255+B256)/2</f>
        <v>86.62</v>
      </c>
      <c r="T256" s="40">
        <f t="shared" si="1256"/>
        <v>74.784999999999997</v>
      </c>
      <c r="U256" s="40">
        <f t="shared" si="6"/>
        <v>63.44</v>
      </c>
      <c r="V256" s="40">
        <f t="shared" ref="V256:W256" si="1257">(E255+E256)/2</f>
        <v>41.84</v>
      </c>
      <c r="W256" s="40">
        <f t="shared" si="1257"/>
        <v>27.41</v>
      </c>
      <c r="X256" s="41">
        <f t="shared" ref="X256:AB256" si="1258">(SUM(B253:B256))/4</f>
        <v>79.814999999999998</v>
      </c>
      <c r="Y256" s="40">
        <f t="shared" si="1258"/>
        <v>68.69</v>
      </c>
      <c r="Z256" s="40">
        <f t="shared" si="1258"/>
        <v>59.407499999999999</v>
      </c>
      <c r="AA256" s="40">
        <f t="shared" si="1258"/>
        <v>39.892499999999998</v>
      </c>
      <c r="AB256" s="47">
        <f t="shared" si="1258"/>
        <v>25.715</v>
      </c>
      <c r="AC256" s="42">
        <f t="shared" ref="AC256:AF256" si="1259">(B256+C256)/2</f>
        <v>90.355000000000004</v>
      </c>
      <c r="AD256" s="42">
        <f t="shared" si="1259"/>
        <v>75.944999999999993</v>
      </c>
      <c r="AE256" s="42">
        <f t="shared" si="1259"/>
        <v>55.685000000000002</v>
      </c>
      <c r="AF256" s="42">
        <f t="shared" si="1259"/>
        <v>36.31</v>
      </c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8"/>
      <c r="BK256" s="8"/>
      <c r="BL256" s="8"/>
      <c r="BM256" s="8"/>
    </row>
    <row r="257" spans="1:65" ht="15.75" hidden="1" customHeight="1" x14ac:dyDescent="0.45">
      <c r="A257" s="50">
        <f t="shared" si="3"/>
        <v>42678</v>
      </c>
      <c r="B257" s="51">
        <v>105.77</v>
      </c>
      <c r="C257" s="51">
        <v>89.67</v>
      </c>
      <c r="D257" s="51">
        <v>72.78</v>
      </c>
      <c r="E257" s="51">
        <v>47.2</v>
      </c>
      <c r="F257" s="51">
        <v>32.01</v>
      </c>
      <c r="G257" s="52">
        <v>109.64</v>
      </c>
      <c r="H257" s="37">
        <f t="shared" ref="H257:L257" si="1260">B257-B256</f>
        <v>9.3999999999999915</v>
      </c>
      <c r="I257" s="38">
        <f t="shared" si="1260"/>
        <v>5.3299999999999983</v>
      </c>
      <c r="J257" s="38">
        <f t="shared" si="1260"/>
        <v>5.230000000000004</v>
      </c>
      <c r="K257" s="38">
        <f t="shared" si="1260"/>
        <v>3.3800000000000026</v>
      </c>
      <c r="L257" s="39">
        <f t="shared" si="1260"/>
        <v>3.2099999999999973</v>
      </c>
      <c r="M257" s="38"/>
      <c r="N257" s="40"/>
      <c r="O257" s="40"/>
      <c r="P257" s="40"/>
      <c r="Q257" s="40"/>
      <c r="R257" s="40"/>
      <c r="S257" s="40">
        <f t="shared" ref="S257:T257" si="1261">(B256+B257)/2</f>
        <v>101.07</v>
      </c>
      <c r="T257" s="40">
        <f t="shared" si="1261"/>
        <v>87.004999999999995</v>
      </c>
      <c r="U257" s="40">
        <f t="shared" si="6"/>
        <v>70.164999999999992</v>
      </c>
      <c r="V257" s="40">
        <f t="shared" ref="V257:W257" si="1262">(E256+E257)/2</f>
        <v>45.510000000000005</v>
      </c>
      <c r="W257" s="40">
        <f t="shared" si="1262"/>
        <v>30.405000000000001</v>
      </c>
      <c r="X257" s="41">
        <f t="shared" ref="X257:AB257" si="1263">(SUM(B254:B257))/4</f>
        <v>88.237499999999997</v>
      </c>
      <c r="Y257" s="40">
        <f t="shared" si="1263"/>
        <v>75.644999999999996</v>
      </c>
      <c r="Z257" s="40">
        <f t="shared" si="1263"/>
        <v>63.977499999999999</v>
      </c>
      <c r="AA257" s="40">
        <f t="shared" si="1263"/>
        <v>42.327500000000001</v>
      </c>
      <c r="AB257" s="47">
        <f t="shared" si="1263"/>
        <v>27.792499999999997</v>
      </c>
      <c r="AC257" s="42">
        <f t="shared" ref="AC257:AF257" si="1264">(B257+C257)/2</f>
        <v>97.72</v>
      </c>
      <c r="AD257" s="42">
        <f t="shared" si="1264"/>
        <v>81.224999999999994</v>
      </c>
      <c r="AE257" s="42">
        <f t="shared" si="1264"/>
        <v>59.99</v>
      </c>
      <c r="AF257" s="42">
        <f t="shared" si="1264"/>
        <v>39.605000000000004</v>
      </c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8"/>
      <c r="BK257" s="8"/>
      <c r="BL257" s="8"/>
      <c r="BM257" s="8"/>
    </row>
    <row r="258" spans="1:65" ht="15.75" hidden="1" customHeight="1" x14ac:dyDescent="0.45">
      <c r="A258" s="50">
        <f t="shared" si="3"/>
        <v>42685</v>
      </c>
      <c r="B258" s="51">
        <v>110.23</v>
      </c>
      <c r="C258" s="51">
        <v>93.93</v>
      </c>
      <c r="D258" s="51">
        <v>75.84</v>
      </c>
      <c r="E258" s="51">
        <v>49.66</v>
      </c>
      <c r="F258" s="51">
        <v>35.03</v>
      </c>
      <c r="G258" s="52">
        <v>109.69</v>
      </c>
      <c r="H258" s="37">
        <f t="shared" ref="H258:L258" si="1265">B258-B257</f>
        <v>4.460000000000008</v>
      </c>
      <c r="I258" s="38">
        <f t="shared" si="1265"/>
        <v>4.2600000000000051</v>
      </c>
      <c r="J258" s="38">
        <f t="shared" si="1265"/>
        <v>3.0600000000000023</v>
      </c>
      <c r="K258" s="38">
        <f t="shared" si="1265"/>
        <v>2.4599999999999937</v>
      </c>
      <c r="L258" s="39">
        <f t="shared" si="1265"/>
        <v>3.0200000000000031</v>
      </c>
      <c r="M258" s="38"/>
      <c r="N258" s="40"/>
      <c r="O258" s="40"/>
      <c r="P258" s="40"/>
      <c r="Q258" s="40"/>
      <c r="R258" s="40"/>
      <c r="S258" s="40">
        <f t="shared" ref="S258:T258" si="1266">(B257+B258)/2</f>
        <v>108</v>
      </c>
      <c r="T258" s="40">
        <f t="shared" si="1266"/>
        <v>91.800000000000011</v>
      </c>
      <c r="U258" s="40">
        <f t="shared" si="6"/>
        <v>74.31</v>
      </c>
      <c r="V258" s="40">
        <f t="shared" ref="V258:W258" si="1267">(E257+E258)/2</f>
        <v>48.43</v>
      </c>
      <c r="W258" s="40">
        <f t="shared" si="1267"/>
        <v>33.519999999999996</v>
      </c>
      <c r="X258" s="41">
        <f t="shared" ref="X258:AB258" si="1268">(SUM(B255:B258))/4</f>
        <v>97.31</v>
      </c>
      <c r="Y258" s="40">
        <f t="shared" si="1268"/>
        <v>83.292500000000004</v>
      </c>
      <c r="Z258" s="40">
        <f t="shared" si="1268"/>
        <v>68.875</v>
      </c>
      <c r="AA258" s="40">
        <f t="shared" si="1268"/>
        <v>45.134999999999998</v>
      </c>
      <c r="AB258" s="47">
        <f t="shared" si="1268"/>
        <v>30.465</v>
      </c>
      <c r="AC258" s="42">
        <f t="shared" ref="AC258:AF258" si="1269">(B258+C258)/2</f>
        <v>102.08000000000001</v>
      </c>
      <c r="AD258" s="42">
        <f t="shared" si="1269"/>
        <v>84.885000000000005</v>
      </c>
      <c r="AE258" s="42">
        <f t="shared" si="1269"/>
        <v>62.75</v>
      </c>
      <c r="AF258" s="42">
        <f t="shared" si="1269"/>
        <v>42.344999999999999</v>
      </c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8"/>
      <c r="BK258" s="8"/>
      <c r="BL258" s="8"/>
      <c r="BM258" s="8"/>
    </row>
    <row r="259" spans="1:65" ht="15.75" hidden="1" customHeight="1" x14ac:dyDescent="0.45">
      <c r="A259" s="50">
        <f t="shared" si="3"/>
        <v>42692</v>
      </c>
      <c r="B259" s="51">
        <v>102.04</v>
      </c>
      <c r="C259" s="51">
        <v>87.71</v>
      </c>
      <c r="D259" s="51">
        <v>73.3</v>
      </c>
      <c r="E259" s="51">
        <v>48.62</v>
      </c>
      <c r="F259" s="51">
        <v>33.200000000000003</v>
      </c>
      <c r="G259" s="52">
        <v>100.52</v>
      </c>
      <c r="H259" s="37">
        <f t="shared" ref="H259:L259" si="1270">B259-B258</f>
        <v>-8.1899999999999977</v>
      </c>
      <c r="I259" s="38">
        <f t="shared" si="1270"/>
        <v>-6.2200000000000131</v>
      </c>
      <c r="J259" s="38">
        <f t="shared" si="1270"/>
        <v>-2.5400000000000063</v>
      </c>
      <c r="K259" s="38">
        <f t="shared" si="1270"/>
        <v>-1.0399999999999991</v>
      </c>
      <c r="L259" s="39">
        <f t="shared" si="1270"/>
        <v>-1.8299999999999983</v>
      </c>
      <c r="M259" s="38"/>
      <c r="N259" s="40"/>
      <c r="O259" s="40"/>
      <c r="P259" s="40"/>
      <c r="Q259" s="40"/>
      <c r="R259" s="40"/>
      <c r="S259" s="40">
        <f t="shared" ref="S259:T259" si="1271">(B258+B259)/2</f>
        <v>106.13500000000001</v>
      </c>
      <c r="T259" s="40">
        <f t="shared" si="1271"/>
        <v>90.82</v>
      </c>
      <c r="U259" s="40">
        <f t="shared" si="6"/>
        <v>74.569999999999993</v>
      </c>
      <c r="V259" s="40">
        <f t="shared" ref="V259:W259" si="1272">(E258+E259)/2</f>
        <v>49.14</v>
      </c>
      <c r="W259" s="40">
        <f t="shared" si="1272"/>
        <v>34.115000000000002</v>
      </c>
      <c r="X259" s="41">
        <f t="shared" ref="X259:AB259" si="1273">(SUM(B256:B259))/4</f>
        <v>103.60250000000001</v>
      </c>
      <c r="Y259" s="40">
        <f t="shared" si="1273"/>
        <v>88.912499999999994</v>
      </c>
      <c r="Z259" s="40">
        <f t="shared" si="1273"/>
        <v>72.367499999999993</v>
      </c>
      <c r="AA259" s="40">
        <f t="shared" si="1273"/>
        <v>47.325000000000003</v>
      </c>
      <c r="AB259" s="47">
        <f t="shared" si="1273"/>
        <v>32.260000000000005</v>
      </c>
      <c r="AC259" s="42">
        <f t="shared" ref="AC259:AF259" si="1274">(B259+C259)/2</f>
        <v>94.875</v>
      </c>
      <c r="AD259" s="42">
        <f t="shared" si="1274"/>
        <v>80.504999999999995</v>
      </c>
      <c r="AE259" s="42">
        <f t="shared" si="1274"/>
        <v>60.959999999999994</v>
      </c>
      <c r="AF259" s="42">
        <f t="shared" si="1274"/>
        <v>40.909999999999997</v>
      </c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8"/>
      <c r="BK259" s="8"/>
      <c r="BL259" s="8"/>
      <c r="BM259" s="8"/>
    </row>
    <row r="260" spans="1:65" ht="15.75" hidden="1" customHeight="1" x14ac:dyDescent="0.45">
      <c r="A260" s="50">
        <f t="shared" si="3"/>
        <v>42699</v>
      </c>
      <c r="B260" s="51">
        <v>96.8</v>
      </c>
      <c r="C260" s="51">
        <v>85.92</v>
      </c>
      <c r="D260" s="51">
        <v>68.540000000000006</v>
      </c>
      <c r="E260" s="51">
        <v>44.19</v>
      </c>
      <c r="F260" s="51">
        <v>29.87</v>
      </c>
      <c r="G260" s="52">
        <v>93.9</v>
      </c>
      <c r="H260" s="37">
        <f t="shared" ref="H260:L260" si="1275">B260-B259</f>
        <v>-5.2400000000000091</v>
      </c>
      <c r="I260" s="38">
        <f t="shared" si="1275"/>
        <v>-1.789999999999992</v>
      </c>
      <c r="J260" s="38">
        <f t="shared" si="1275"/>
        <v>-4.7599999999999909</v>
      </c>
      <c r="K260" s="38">
        <f t="shared" si="1275"/>
        <v>-4.43</v>
      </c>
      <c r="L260" s="39">
        <f t="shared" si="1275"/>
        <v>-3.3300000000000018</v>
      </c>
      <c r="M260" s="38"/>
      <c r="N260" s="40"/>
      <c r="O260" s="40"/>
      <c r="P260" s="40"/>
      <c r="Q260" s="40"/>
      <c r="R260" s="40"/>
      <c r="S260" s="40">
        <f t="shared" ref="S260:T260" si="1276">(B259+B260)/2</f>
        <v>99.42</v>
      </c>
      <c r="T260" s="40">
        <f t="shared" si="1276"/>
        <v>86.814999999999998</v>
      </c>
      <c r="U260" s="40">
        <f t="shared" si="6"/>
        <v>70.92</v>
      </c>
      <c r="V260" s="40">
        <f t="shared" ref="V260:W260" si="1277">(E259+E260)/2</f>
        <v>46.405000000000001</v>
      </c>
      <c r="W260" s="40">
        <f t="shared" si="1277"/>
        <v>31.535000000000004</v>
      </c>
      <c r="X260" s="41">
        <f t="shared" ref="X260:AB260" si="1278">(SUM(B257:B260))/4</f>
        <v>103.71000000000001</v>
      </c>
      <c r="Y260" s="40">
        <f t="shared" si="1278"/>
        <v>89.307500000000005</v>
      </c>
      <c r="Z260" s="40">
        <f t="shared" si="1278"/>
        <v>72.615000000000009</v>
      </c>
      <c r="AA260" s="40">
        <f t="shared" si="1278"/>
        <v>47.417499999999997</v>
      </c>
      <c r="AB260" s="47">
        <f t="shared" si="1278"/>
        <v>32.527499999999996</v>
      </c>
      <c r="AC260" s="42">
        <f t="shared" ref="AC260:AF260" si="1279">(B260+C260)/2</f>
        <v>91.36</v>
      </c>
      <c r="AD260" s="42">
        <f t="shared" si="1279"/>
        <v>77.23</v>
      </c>
      <c r="AE260" s="42">
        <f t="shared" si="1279"/>
        <v>56.365000000000002</v>
      </c>
      <c r="AF260" s="42">
        <f t="shared" si="1279"/>
        <v>37.03</v>
      </c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8"/>
      <c r="BK260" s="8"/>
      <c r="BL260" s="8"/>
      <c r="BM260" s="8"/>
    </row>
    <row r="261" spans="1:65" ht="15.75" hidden="1" customHeight="1" x14ac:dyDescent="0.45">
      <c r="A261" s="50">
        <f t="shared" ref="A261:A472" si="1280">A260+7</f>
        <v>42706</v>
      </c>
      <c r="B261" s="51">
        <v>94.5</v>
      </c>
      <c r="C261" s="51">
        <v>84.43</v>
      </c>
      <c r="D261" s="51">
        <v>63.17</v>
      </c>
      <c r="E261" s="51">
        <v>42.4</v>
      </c>
      <c r="F261" s="51">
        <v>29.61</v>
      </c>
      <c r="G261" s="52">
        <v>88.97</v>
      </c>
      <c r="H261" s="37">
        <f t="shared" ref="H261:L261" si="1281">B261-B260</f>
        <v>-2.2999999999999972</v>
      </c>
      <c r="I261" s="38">
        <f t="shared" si="1281"/>
        <v>-1.4899999999999949</v>
      </c>
      <c r="J261" s="38">
        <f t="shared" si="1281"/>
        <v>-5.3700000000000045</v>
      </c>
      <c r="K261" s="38">
        <f t="shared" si="1281"/>
        <v>-1.7899999999999991</v>
      </c>
      <c r="L261" s="39">
        <f t="shared" si="1281"/>
        <v>-0.26000000000000156</v>
      </c>
      <c r="M261" s="38"/>
      <c r="N261" s="40"/>
      <c r="O261" s="40"/>
      <c r="P261" s="40"/>
      <c r="Q261" s="40"/>
      <c r="R261" s="40"/>
      <c r="S261" s="40">
        <f t="shared" ref="S261:T261" si="1282">(B260+B261)/2</f>
        <v>95.65</v>
      </c>
      <c r="T261" s="40">
        <f t="shared" si="1282"/>
        <v>85.175000000000011</v>
      </c>
      <c r="U261" s="40">
        <f t="shared" ref="U261:U515" si="1283">(D261+D260)/2</f>
        <v>65.855000000000004</v>
      </c>
      <c r="V261" s="40">
        <f t="shared" ref="V261:W261" si="1284">(E260+E261)/2</f>
        <v>43.295000000000002</v>
      </c>
      <c r="W261" s="40">
        <f t="shared" si="1284"/>
        <v>29.740000000000002</v>
      </c>
      <c r="X261" s="41">
        <f t="shared" ref="X261:AB261" si="1285">(SUM(B258:B261))/4</f>
        <v>100.8925</v>
      </c>
      <c r="Y261" s="40">
        <f t="shared" si="1285"/>
        <v>87.997500000000002</v>
      </c>
      <c r="Z261" s="40">
        <f t="shared" si="1285"/>
        <v>70.212500000000006</v>
      </c>
      <c r="AA261" s="40">
        <f t="shared" si="1285"/>
        <v>46.217500000000001</v>
      </c>
      <c r="AB261" s="47">
        <f t="shared" si="1285"/>
        <v>31.927500000000002</v>
      </c>
      <c r="AC261" s="42">
        <f t="shared" ref="AC261:AF261" si="1286">(B261+C261)/2</f>
        <v>89.465000000000003</v>
      </c>
      <c r="AD261" s="42">
        <f t="shared" si="1286"/>
        <v>73.800000000000011</v>
      </c>
      <c r="AE261" s="42">
        <f t="shared" si="1286"/>
        <v>52.784999999999997</v>
      </c>
      <c r="AF261" s="42">
        <f t="shared" si="1286"/>
        <v>36.004999999999995</v>
      </c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8"/>
      <c r="BK261" s="8"/>
      <c r="BL261" s="8"/>
      <c r="BM261" s="8"/>
    </row>
    <row r="262" spans="1:65" ht="15.75" hidden="1" customHeight="1" x14ac:dyDescent="0.45">
      <c r="A262" s="50">
        <f t="shared" si="1280"/>
        <v>42713</v>
      </c>
      <c r="B262" s="51">
        <v>89.05</v>
      </c>
      <c r="C262" s="51">
        <v>73.3</v>
      </c>
      <c r="D262" s="51">
        <v>59.35</v>
      </c>
      <c r="E262" s="51">
        <v>40.04</v>
      </c>
      <c r="F262" s="51">
        <v>29.05</v>
      </c>
      <c r="G262" s="52">
        <v>83.41</v>
      </c>
      <c r="H262" s="37">
        <f t="shared" ref="H262:L262" si="1287">B262-B261</f>
        <v>-5.4500000000000028</v>
      </c>
      <c r="I262" s="38">
        <f t="shared" si="1287"/>
        <v>-11.13000000000001</v>
      </c>
      <c r="J262" s="38">
        <f t="shared" si="1287"/>
        <v>-3.8200000000000003</v>
      </c>
      <c r="K262" s="38">
        <f t="shared" si="1287"/>
        <v>-2.3599999999999994</v>
      </c>
      <c r="L262" s="39">
        <f t="shared" si="1287"/>
        <v>-0.55999999999999872</v>
      </c>
      <c r="M262" s="38"/>
      <c r="N262" s="40"/>
      <c r="O262" s="40"/>
      <c r="P262" s="40"/>
      <c r="Q262" s="40"/>
      <c r="R262" s="40"/>
      <c r="S262" s="40">
        <f t="shared" ref="S262:T262" si="1288">(B261+B262)/2</f>
        <v>91.775000000000006</v>
      </c>
      <c r="T262" s="40">
        <f t="shared" si="1288"/>
        <v>78.865000000000009</v>
      </c>
      <c r="U262" s="40">
        <f t="shared" si="1283"/>
        <v>61.260000000000005</v>
      </c>
      <c r="V262" s="40">
        <f t="shared" ref="V262:W262" si="1289">(E261+E262)/2</f>
        <v>41.22</v>
      </c>
      <c r="W262" s="40">
        <f t="shared" si="1289"/>
        <v>29.33</v>
      </c>
      <c r="X262" s="41">
        <f t="shared" ref="X262:AB262" si="1290">(SUM(B259:B262))/4</f>
        <v>95.597500000000011</v>
      </c>
      <c r="Y262" s="40">
        <f t="shared" si="1290"/>
        <v>82.84</v>
      </c>
      <c r="Z262" s="40">
        <f t="shared" si="1290"/>
        <v>66.09</v>
      </c>
      <c r="AA262" s="40">
        <f t="shared" si="1290"/>
        <v>43.8125</v>
      </c>
      <c r="AB262" s="47">
        <f t="shared" si="1290"/>
        <v>30.432500000000001</v>
      </c>
      <c r="AC262" s="42">
        <f t="shared" ref="AC262:AF262" si="1291">(B262+C262)/2</f>
        <v>81.174999999999997</v>
      </c>
      <c r="AD262" s="42">
        <f t="shared" si="1291"/>
        <v>66.325000000000003</v>
      </c>
      <c r="AE262" s="42">
        <f t="shared" si="1291"/>
        <v>49.695</v>
      </c>
      <c r="AF262" s="42">
        <f t="shared" si="1291"/>
        <v>34.545000000000002</v>
      </c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8"/>
      <c r="BK262" s="8"/>
      <c r="BL262" s="8"/>
      <c r="BM262" s="8"/>
    </row>
    <row r="263" spans="1:65" ht="15.75" hidden="1" customHeight="1" x14ac:dyDescent="0.45">
      <c r="A263" s="50">
        <f t="shared" si="1280"/>
        <v>42720</v>
      </c>
      <c r="B263" s="51">
        <v>87.35</v>
      </c>
      <c r="C263" s="51">
        <v>72.5</v>
      </c>
      <c r="D263" s="51">
        <v>58.88</v>
      </c>
      <c r="E263" s="51">
        <v>39.119999999999997</v>
      </c>
      <c r="F263" s="51">
        <v>28.54</v>
      </c>
      <c r="G263" s="52">
        <v>84.08</v>
      </c>
      <c r="H263" s="37">
        <f t="shared" ref="H263:L263" si="1292">B263-B262</f>
        <v>-1.7000000000000028</v>
      </c>
      <c r="I263" s="38">
        <f t="shared" si="1292"/>
        <v>-0.79999999999999716</v>
      </c>
      <c r="J263" s="38">
        <f t="shared" si="1292"/>
        <v>-0.46999999999999886</v>
      </c>
      <c r="K263" s="38">
        <f t="shared" si="1292"/>
        <v>-0.92000000000000171</v>
      </c>
      <c r="L263" s="39">
        <f t="shared" si="1292"/>
        <v>-0.51000000000000156</v>
      </c>
      <c r="M263" s="38"/>
      <c r="N263" s="40"/>
      <c r="O263" s="40"/>
      <c r="P263" s="40"/>
      <c r="Q263" s="40"/>
      <c r="R263" s="40"/>
      <c r="S263" s="40">
        <f t="shared" ref="S263:T263" si="1293">(B262+B263)/2</f>
        <v>88.199999999999989</v>
      </c>
      <c r="T263" s="40">
        <f t="shared" si="1293"/>
        <v>72.900000000000006</v>
      </c>
      <c r="U263" s="40">
        <f t="shared" si="1283"/>
        <v>59.115000000000002</v>
      </c>
      <c r="V263" s="40">
        <f t="shared" ref="V263:W263" si="1294">(E262+E263)/2</f>
        <v>39.58</v>
      </c>
      <c r="W263" s="40">
        <f t="shared" si="1294"/>
        <v>28.795000000000002</v>
      </c>
      <c r="X263" s="41">
        <f t="shared" ref="X263:AB263" si="1295">(SUM(B260:B263))/4</f>
        <v>91.925000000000011</v>
      </c>
      <c r="Y263" s="40">
        <f t="shared" si="1295"/>
        <v>79.037500000000009</v>
      </c>
      <c r="Z263" s="40">
        <f t="shared" si="1295"/>
        <v>62.484999999999999</v>
      </c>
      <c r="AA263" s="40">
        <f t="shared" si="1295"/>
        <v>41.4375</v>
      </c>
      <c r="AB263" s="47">
        <f t="shared" si="1295"/>
        <v>29.267499999999998</v>
      </c>
      <c r="AC263" s="42">
        <f t="shared" ref="AC263:AF263" si="1296">(B263+C263)/2</f>
        <v>79.924999999999997</v>
      </c>
      <c r="AD263" s="42">
        <f t="shared" si="1296"/>
        <v>65.69</v>
      </c>
      <c r="AE263" s="42">
        <f t="shared" si="1296"/>
        <v>49</v>
      </c>
      <c r="AF263" s="42">
        <f t="shared" si="1296"/>
        <v>33.83</v>
      </c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8"/>
      <c r="BK263" s="8"/>
      <c r="BL263" s="8"/>
      <c r="BM263" s="8"/>
    </row>
    <row r="264" spans="1:65" ht="15.75" hidden="1" customHeight="1" x14ac:dyDescent="0.45">
      <c r="A264" s="50">
        <f t="shared" si="1280"/>
        <v>42727</v>
      </c>
      <c r="B264" s="51">
        <v>87.51</v>
      </c>
      <c r="C264" s="51">
        <v>72</v>
      </c>
      <c r="D264" s="51">
        <v>56.88</v>
      </c>
      <c r="E264" s="51">
        <v>37.549999999999997</v>
      </c>
      <c r="F264" s="51">
        <v>26.82</v>
      </c>
      <c r="G264" s="52">
        <v>89.81</v>
      </c>
      <c r="H264" s="37">
        <f t="shared" ref="H264:L264" si="1297">B264-B263</f>
        <v>0.1600000000000108</v>
      </c>
      <c r="I264" s="38">
        <f t="shared" si="1297"/>
        <v>-0.5</v>
      </c>
      <c r="J264" s="38">
        <f t="shared" si="1297"/>
        <v>-2</v>
      </c>
      <c r="K264" s="38">
        <f t="shared" si="1297"/>
        <v>-1.5700000000000003</v>
      </c>
      <c r="L264" s="39">
        <f t="shared" si="1297"/>
        <v>-1.7199999999999989</v>
      </c>
      <c r="M264" s="38"/>
      <c r="N264" s="40"/>
      <c r="O264" s="40"/>
      <c r="P264" s="40"/>
      <c r="Q264" s="40"/>
      <c r="R264" s="40"/>
      <c r="S264" s="40">
        <f t="shared" ref="S264:T264" si="1298">(B263+B264)/2</f>
        <v>87.43</v>
      </c>
      <c r="T264" s="40">
        <f t="shared" si="1298"/>
        <v>72.25</v>
      </c>
      <c r="U264" s="40">
        <f t="shared" si="1283"/>
        <v>57.88</v>
      </c>
      <c r="V264" s="40">
        <f t="shared" ref="V264:W264" si="1299">(E263+E264)/2</f>
        <v>38.334999999999994</v>
      </c>
      <c r="W264" s="40">
        <f t="shared" si="1299"/>
        <v>27.68</v>
      </c>
      <c r="X264" s="41">
        <f t="shared" ref="X264:AB264" si="1300">(SUM(B261:B264))/4</f>
        <v>89.602499999999992</v>
      </c>
      <c r="Y264" s="40">
        <f t="shared" si="1300"/>
        <v>75.557500000000005</v>
      </c>
      <c r="Z264" s="40">
        <f t="shared" si="1300"/>
        <v>59.57</v>
      </c>
      <c r="AA264" s="40">
        <f t="shared" si="1300"/>
        <v>39.777500000000003</v>
      </c>
      <c r="AB264" s="47">
        <f t="shared" si="1300"/>
        <v>28.504999999999995</v>
      </c>
      <c r="AC264" s="42">
        <f t="shared" ref="AC264:AF264" si="1301">(B264+C264)/2</f>
        <v>79.754999999999995</v>
      </c>
      <c r="AD264" s="42">
        <f t="shared" si="1301"/>
        <v>64.44</v>
      </c>
      <c r="AE264" s="42">
        <f t="shared" si="1301"/>
        <v>47.215000000000003</v>
      </c>
      <c r="AF264" s="42">
        <f t="shared" si="1301"/>
        <v>32.185000000000002</v>
      </c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8"/>
      <c r="BK264" s="8"/>
      <c r="BL264" s="8"/>
      <c r="BM264" s="8"/>
    </row>
    <row r="265" spans="1:65" ht="15.75" hidden="1" customHeight="1" x14ac:dyDescent="0.45">
      <c r="A265" s="50">
        <f t="shared" si="1280"/>
        <v>42734</v>
      </c>
      <c r="B265" s="51">
        <v>87.83</v>
      </c>
      <c r="C265" s="51">
        <v>72.87</v>
      </c>
      <c r="D265" s="51">
        <v>56.28</v>
      </c>
      <c r="E265" s="51">
        <v>37.03</v>
      </c>
      <c r="F265" s="51">
        <v>27.83</v>
      </c>
      <c r="G265" s="52">
        <v>94.44</v>
      </c>
      <c r="H265" s="37">
        <f t="shared" ref="H265:L265" si="1302">B265-B264</f>
        <v>0.31999999999999318</v>
      </c>
      <c r="I265" s="38">
        <f t="shared" si="1302"/>
        <v>0.87000000000000455</v>
      </c>
      <c r="J265" s="38">
        <f t="shared" si="1302"/>
        <v>-0.60000000000000142</v>
      </c>
      <c r="K265" s="38">
        <f t="shared" si="1302"/>
        <v>-0.51999999999999602</v>
      </c>
      <c r="L265" s="39">
        <f t="shared" si="1302"/>
        <v>1.009999999999998</v>
      </c>
      <c r="M265" s="38"/>
      <c r="N265" s="40"/>
      <c r="O265" s="40"/>
      <c r="P265" s="40"/>
      <c r="Q265" s="40"/>
      <c r="R265" s="40"/>
      <c r="S265" s="40">
        <f t="shared" ref="S265:T265" si="1303">(B264+B265)/2</f>
        <v>87.67</v>
      </c>
      <c r="T265" s="40">
        <f t="shared" si="1303"/>
        <v>72.435000000000002</v>
      </c>
      <c r="U265" s="40">
        <f t="shared" si="1283"/>
        <v>56.58</v>
      </c>
      <c r="V265" s="40">
        <f t="shared" ref="V265:W265" si="1304">(E264+E265)/2</f>
        <v>37.29</v>
      </c>
      <c r="W265" s="40">
        <f t="shared" si="1304"/>
        <v>27.324999999999999</v>
      </c>
      <c r="X265" s="41">
        <f t="shared" ref="X265:AB265" si="1305">(SUM(B262:B265))/4</f>
        <v>87.934999999999988</v>
      </c>
      <c r="Y265" s="40">
        <f t="shared" si="1305"/>
        <v>72.667500000000004</v>
      </c>
      <c r="Z265" s="40">
        <f t="shared" si="1305"/>
        <v>57.847500000000004</v>
      </c>
      <c r="AA265" s="40">
        <f t="shared" si="1305"/>
        <v>38.435000000000002</v>
      </c>
      <c r="AB265" s="47">
        <f t="shared" si="1305"/>
        <v>28.06</v>
      </c>
      <c r="AC265" s="42">
        <f t="shared" ref="AC265:AF265" si="1306">(B265+C265)/2</f>
        <v>80.349999999999994</v>
      </c>
      <c r="AD265" s="42">
        <f t="shared" si="1306"/>
        <v>64.575000000000003</v>
      </c>
      <c r="AE265" s="42">
        <f t="shared" si="1306"/>
        <v>46.655000000000001</v>
      </c>
      <c r="AF265" s="42">
        <f t="shared" si="1306"/>
        <v>32.43</v>
      </c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8"/>
      <c r="BK265" s="8"/>
      <c r="BL265" s="8"/>
      <c r="BM265" s="8"/>
    </row>
    <row r="266" spans="1:65" ht="15.75" hidden="1" customHeight="1" x14ac:dyDescent="0.45">
      <c r="A266" s="50">
        <f t="shared" si="1280"/>
        <v>42741</v>
      </c>
      <c r="B266" s="51">
        <v>88.66</v>
      </c>
      <c r="C266" s="51">
        <v>72.400000000000006</v>
      </c>
      <c r="D266" s="51">
        <v>56.16</v>
      </c>
      <c r="E266" s="51">
        <v>37.25</v>
      </c>
      <c r="F266" s="51">
        <v>28.19</v>
      </c>
      <c r="G266" s="52">
        <v>86.68</v>
      </c>
      <c r="H266" s="37">
        <f t="shared" ref="H266:L266" si="1307">B266-B265</f>
        <v>0.82999999999999829</v>
      </c>
      <c r="I266" s="38">
        <f t="shared" si="1307"/>
        <v>-0.46999999999999886</v>
      </c>
      <c r="J266" s="38">
        <f t="shared" si="1307"/>
        <v>-0.12000000000000455</v>
      </c>
      <c r="K266" s="38">
        <f t="shared" si="1307"/>
        <v>0.21999999999999886</v>
      </c>
      <c r="L266" s="39">
        <f t="shared" si="1307"/>
        <v>0.36000000000000298</v>
      </c>
      <c r="M266" s="38"/>
      <c r="N266" s="40"/>
      <c r="O266" s="40"/>
      <c r="P266" s="40"/>
      <c r="Q266" s="40"/>
      <c r="R266" s="40"/>
      <c r="S266" s="40">
        <f t="shared" ref="S266:T266" si="1308">(B265+B266)/2</f>
        <v>88.245000000000005</v>
      </c>
      <c r="T266" s="40">
        <f t="shared" si="1308"/>
        <v>72.635000000000005</v>
      </c>
      <c r="U266" s="40">
        <f t="shared" si="1283"/>
        <v>56.22</v>
      </c>
      <c r="V266" s="40">
        <f t="shared" ref="V266:W266" si="1309">(E265+E266)/2</f>
        <v>37.14</v>
      </c>
      <c r="W266" s="40">
        <f t="shared" si="1309"/>
        <v>28.009999999999998</v>
      </c>
      <c r="X266" s="41">
        <f t="shared" ref="X266:AB266" si="1310">(SUM(B263:B266))/4</f>
        <v>87.837500000000006</v>
      </c>
      <c r="Y266" s="40">
        <f t="shared" si="1310"/>
        <v>72.442499999999995</v>
      </c>
      <c r="Z266" s="40">
        <f t="shared" si="1310"/>
        <v>57.050000000000004</v>
      </c>
      <c r="AA266" s="40">
        <f t="shared" si="1310"/>
        <v>37.737499999999997</v>
      </c>
      <c r="AB266" s="47">
        <f t="shared" si="1310"/>
        <v>27.844999999999999</v>
      </c>
      <c r="AC266" s="42">
        <f t="shared" ref="AC266:AF266" si="1311">(B266+C266)/2</f>
        <v>80.53</v>
      </c>
      <c r="AD266" s="42">
        <f t="shared" si="1311"/>
        <v>64.28</v>
      </c>
      <c r="AE266" s="42">
        <f t="shared" si="1311"/>
        <v>46.704999999999998</v>
      </c>
      <c r="AF266" s="42">
        <f t="shared" si="1311"/>
        <v>32.72</v>
      </c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8"/>
      <c r="BK266" s="8"/>
      <c r="BL266" s="8"/>
      <c r="BM266" s="8"/>
    </row>
    <row r="267" spans="1:65" ht="15.75" hidden="1" customHeight="1" x14ac:dyDescent="0.45">
      <c r="A267" s="50">
        <f t="shared" si="1280"/>
        <v>42748</v>
      </c>
      <c r="B267" s="51">
        <v>88.29</v>
      </c>
      <c r="C267" s="51">
        <v>72.069999999999993</v>
      </c>
      <c r="D267" s="51">
        <v>56.4</v>
      </c>
      <c r="E267" s="51">
        <v>37.450000000000003</v>
      </c>
      <c r="F267" s="51">
        <v>28.37</v>
      </c>
      <c r="G267" s="52">
        <v>81.52</v>
      </c>
      <c r="H267" s="37">
        <f t="shared" ref="H267:L267" si="1312">B267-B266</f>
        <v>-0.36999999999999034</v>
      </c>
      <c r="I267" s="38">
        <f t="shared" si="1312"/>
        <v>-0.33000000000001251</v>
      </c>
      <c r="J267" s="38">
        <f t="shared" si="1312"/>
        <v>0.24000000000000199</v>
      </c>
      <c r="K267" s="38">
        <f t="shared" si="1312"/>
        <v>0.20000000000000284</v>
      </c>
      <c r="L267" s="39">
        <f t="shared" si="1312"/>
        <v>0.17999999999999972</v>
      </c>
      <c r="M267" s="38"/>
      <c r="N267" s="40"/>
      <c r="O267" s="40"/>
      <c r="P267" s="40"/>
      <c r="Q267" s="40"/>
      <c r="R267" s="40"/>
      <c r="S267" s="40">
        <f t="shared" ref="S267:T267" si="1313">(B266+B267)/2</f>
        <v>88.474999999999994</v>
      </c>
      <c r="T267" s="40">
        <f t="shared" si="1313"/>
        <v>72.234999999999999</v>
      </c>
      <c r="U267" s="40">
        <f t="shared" si="1283"/>
        <v>56.28</v>
      </c>
      <c r="V267" s="40">
        <f t="shared" ref="V267:W267" si="1314">(E266+E267)/2</f>
        <v>37.35</v>
      </c>
      <c r="W267" s="40">
        <f t="shared" si="1314"/>
        <v>28.28</v>
      </c>
      <c r="X267" s="41">
        <f t="shared" ref="X267:AB267" si="1315">(SUM(B264:B267))/4</f>
        <v>88.072500000000005</v>
      </c>
      <c r="Y267" s="40">
        <f t="shared" si="1315"/>
        <v>72.335000000000008</v>
      </c>
      <c r="Z267" s="40">
        <f t="shared" si="1315"/>
        <v>56.43</v>
      </c>
      <c r="AA267" s="40">
        <f t="shared" si="1315"/>
        <v>37.32</v>
      </c>
      <c r="AB267" s="47">
        <f t="shared" si="1315"/>
        <v>27.802500000000002</v>
      </c>
      <c r="AC267" s="42">
        <f t="shared" ref="AC267:AF267" si="1316">(B267+C267)/2</f>
        <v>80.180000000000007</v>
      </c>
      <c r="AD267" s="42">
        <f t="shared" si="1316"/>
        <v>64.234999999999999</v>
      </c>
      <c r="AE267" s="42">
        <f t="shared" si="1316"/>
        <v>46.924999999999997</v>
      </c>
      <c r="AF267" s="42">
        <f t="shared" si="1316"/>
        <v>32.910000000000004</v>
      </c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8"/>
      <c r="BK267" s="8"/>
      <c r="BL267" s="8"/>
      <c r="BM267" s="8"/>
    </row>
    <row r="268" spans="1:65" ht="15.75" hidden="1" customHeight="1" x14ac:dyDescent="0.45">
      <c r="A268" s="50">
        <f t="shared" si="1280"/>
        <v>42755</v>
      </c>
      <c r="B268" s="51">
        <v>88.79</v>
      </c>
      <c r="C268" s="51">
        <v>73.92</v>
      </c>
      <c r="D268" s="51">
        <v>58.75</v>
      </c>
      <c r="E268" s="51">
        <v>39.130000000000003</v>
      </c>
      <c r="F268" s="51">
        <v>28.82</v>
      </c>
      <c r="G268" s="52">
        <v>82.52</v>
      </c>
      <c r="H268" s="37">
        <f t="shared" ref="H268:L268" si="1317">B268-B267</f>
        <v>0.5</v>
      </c>
      <c r="I268" s="38">
        <f t="shared" si="1317"/>
        <v>1.8500000000000085</v>
      </c>
      <c r="J268" s="38">
        <f t="shared" si="1317"/>
        <v>2.3500000000000014</v>
      </c>
      <c r="K268" s="38">
        <f t="shared" si="1317"/>
        <v>1.6799999999999997</v>
      </c>
      <c r="L268" s="39">
        <f t="shared" si="1317"/>
        <v>0.44999999999999929</v>
      </c>
      <c r="M268" s="38"/>
      <c r="N268" s="40"/>
      <c r="O268" s="40"/>
      <c r="P268" s="40"/>
      <c r="Q268" s="40"/>
      <c r="R268" s="40"/>
      <c r="S268" s="40">
        <f t="shared" ref="S268:T268" si="1318">(B267+B268)/2</f>
        <v>88.54</v>
      </c>
      <c r="T268" s="40">
        <f t="shared" si="1318"/>
        <v>72.995000000000005</v>
      </c>
      <c r="U268" s="40">
        <f t="shared" si="1283"/>
        <v>57.575000000000003</v>
      </c>
      <c r="V268" s="40">
        <f t="shared" ref="V268:W268" si="1319">(E267+E268)/2</f>
        <v>38.290000000000006</v>
      </c>
      <c r="W268" s="40">
        <f t="shared" si="1319"/>
        <v>28.594999999999999</v>
      </c>
      <c r="X268" s="41">
        <f t="shared" ref="X268:AB268" si="1320">(SUM(B265:B268))/4</f>
        <v>88.392500000000013</v>
      </c>
      <c r="Y268" s="40">
        <f t="shared" si="1320"/>
        <v>72.814999999999998</v>
      </c>
      <c r="Z268" s="40">
        <f t="shared" si="1320"/>
        <v>56.897500000000001</v>
      </c>
      <c r="AA268" s="40">
        <f t="shared" si="1320"/>
        <v>37.715000000000003</v>
      </c>
      <c r="AB268" s="47">
        <f t="shared" si="1320"/>
        <v>28.302500000000002</v>
      </c>
      <c r="AC268" s="42">
        <f t="shared" ref="AC268:AF268" si="1321">(B268+C268)/2</f>
        <v>81.355000000000004</v>
      </c>
      <c r="AD268" s="42">
        <f t="shared" si="1321"/>
        <v>66.335000000000008</v>
      </c>
      <c r="AE268" s="42">
        <f t="shared" si="1321"/>
        <v>48.94</v>
      </c>
      <c r="AF268" s="42">
        <f t="shared" si="1321"/>
        <v>33.975000000000001</v>
      </c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8"/>
      <c r="BK268" s="8"/>
      <c r="BL268" s="8"/>
      <c r="BM268" s="8"/>
    </row>
    <row r="269" spans="1:65" ht="15.75" hidden="1" customHeight="1" x14ac:dyDescent="0.45">
      <c r="A269" s="50">
        <f t="shared" si="1280"/>
        <v>42762</v>
      </c>
      <c r="B269" s="51">
        <v>89.22</v>
      </c>
      <c r="C269" s="51">
        <v>73.7</v>
      </c>
      <c r="D269" s="51">
        <v>59.71</v>
      </c>
      <c r="E269" s="51">
        <v>41</v>
      </c>
      <c r="F269" s="51">
        <v>29.69</v>
      </c>
      <c r="G269" s="52">
        <v>84.17</v>
      </c>
      <c r="H269" s="37">
        <f t="shared" ref="H269:L269" si="1322">B269-B268</f>
        <v>0.42999999999999261</v>
      </c>
      <c r="I269" s="38">
        <f t="shared" si="1322"/>
        <v>-0.21999999999999886</v>
      </c>
      <c r="J269" s="38">
        <f t="shared" si="1322"/>
        <v>0.96000000000000085</v>
      </c>
      <c r="K269" s="38">
        <f t="shared" si="1322"/>
        <v>1.8699999999999974</v>
      </c>
      <c r="L269" s="39">
        <f t="shared" si="1322"/>
        <v>0.87000000000000099</v>
      </c>
      <c r="M269" s="38"/>
      <c r="N269" s="40"/>
      <c r="O269" s="40"/>
      <c r="P269" s="40"/>
      <c r="Q269" s="40"/>
      <c r="R269" s="40"/>
      <c r="S269" s="40">
        <f t="shared" ref="S269:T269" si="1323">(B268+B269)/2</f>
        <v>89.004999999999995</v>
      </c>
      <c r="T269" s="40">
        <f t="shared" si="1323"/>
        <v>73.81</v>
      </c>
      <c r="U269" s="40">
        <f t="shared" si="1283"/>
        <v>59.230000000000004</v>
      </c>
      <c r="V269" s="40">
        <f t="shared" ref="V269:W269" si="1324">(E268+E269)/2</f>
        <v>40.064999999999998</v>
      </c>
      <c r="W269" s="40">
        <f t="shared" si="1324"/>
        <v>29.255000000000003</v>
      </c>
      <c r="X269" s="41">
        <f t="shared" ref="X269:AB269" si="1325">(SUM(B266:B269))/4</f>
        <v>88.740000000000009</v>
      </c>
      <c r="Y269" s="40">
        <f t="shared" si="1325"/>
        <v>73.022499999999994</v>
      </c>
      <c r="Z269" s="40">
        <f t="shared" si="1325"/>
        <v>57.755000000000003</v>
      </c>
      <c r="AA269" s="40">
        <f t="shared" si="1325"/>
        <v>38.707500000000003</v>
      </c>
      <c r="AB269" s="47">
        <f t="shared" si="1325"/>
        <v>28.767499999999998</v>
      </c>
      <c r="AC269" s="42">
        <f t="shared" ref="AC269:AF269" si="1326">(B269+C269)/2</f>
        <v>81.460000000000008</v>
      </c>
      <c r="AD269" s="42">
        <f t="shared" si="1326"/>
        <v>66.704999999999998</v>
      </c>
      <c r="AE269" s="42">
        <f t="shared" si="1326"/>
        <v>50.355000000000004</v>
      </c>
      <c r="AF269" s="42">
        <f t="shared" si="1326"/>
        <v>35.344999999999999</v>
      </c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8"/>
      <c r="BK269" s="8"/>
      <c r="BL269" s="8"/>
      <c r="BM269" s="8"/>
    </row>
    <row r="270" spans="1:65" ht="15.75" hidden="1" customHeight="1" x14ac:dyDescent="0.45">
      <c r="A270" s="50">
        <f t="shared" si="1280"/>
        <v>42769</v>
      </c>
      <c r="B270" s="51">
        <v>89.59</v>
      </c>
      <c r="C270" s="51">
        <v>74.02</v>
      </c>
      <c r="D270" s="51">
        <v>60.28</v>
      </c>
      <c r="E270" s="51">
        <v>42.69</v>
      </c>
      <c r="F270" s="51">
        <v>30.5</v>
      </c>
      <c r="G270" s="52">
        <v>82.52</v>
      </c>
      <c r="H270" s="37">
        <f t="shared" ref="H270:L270" si="1327">B270-B269</f>
        <v>0.37000000000000455</v>
      </c>
      <c r="I270" s="38">
        <f t="shared" si="1327"/>
        <v>0.31999999999999318</v>
      </c>
      <c r="J270" s="38">
        <f t="shared" si="1327"/>
        <v>0.57000000000000028</v>
      </c>
      <c r="K270" s="38">
        <f t="shared" si="1327"/>
        <v>1.6899999999999977</v>
      </c>
      <c r="L270" s="39">
        <f t="shared" si="1327"/>
        <v>0.80999999999999872</v>
      </c>
      <c r="M270" s="38"/>
      <c r="N270" s="40"/>
      <c r="O270" s="40"/>
      <c r="P270" s="40"/>
      <c r="Q270" s="40"/>
      <c r="R270" s="40"/>
      <c r="S270" s="40">
        <f t="shared" ref="S270:T270" si="1328">(B269+B270)/2</f>
        <v>89.405000000000001</v>
      </c>
      <c r="T270" s="40">
        <f t="shared" si="1328"/>
        <v>73.86</v>
      </c>
      <c r="U270" s="40">
        <f t="shared" si="1283"/>
        <v>59.995000000000005</v>
      </c>
      <c r="V270" s="40">
        <f t="shared" ref="V270:W270" si="1329">(E269+E270)/2</f>
        <v>41.844999999999999</v>
      </c>
      <c r="W270" s="40">
        <f t="shared" si="1329"/>
        <v>30.094999999999999</v>
      </c>
      <c r="X270" s="41">
        <f t="shared" ref="X270:AB270" si="1330">(SUM(B267:B270))/4</f>
        <v>88.972499999999997</v>
      </c>
      <c r="Y270" s="40">
        <f t="shared" si="1330"/>
        <v>73.427499999999995</v>
      </c>
      <c r="Z270" s="40">
        <f t="shared" si="1330"/>
        <v>58.785000000000004</v>
      </c>
      <c r="AA270" s="40">
        <f t="shared" si="1330"/>
        <v>40.067500000000003</v>
      </c>
      <c r="AB270" s="47">
        <f t="shared" si="1330"/>
        <v>29.344999999999999</v>
      </c>
      <c r="AC270" s="42">
        <f t="shared" ref="AC270:AF270" si="1331">(B270+C270)/2</f>
        <v>81.805000000000007</v>
      </c>
      <c r="AD270" s="42">
        <f t="shared" si="1331"/>
        <v>67.150000000000006</v>
      </c>
      <c r="AE270" s="42">
        <f t="shared" si="1331"/>
        <v>51.484999999999999</v>
      </c>
      <c r="AF270" s="42">
        <f t="shared" si="1331"/>
        <v>36.594999999999999</v>
      </c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8"/>
      <c r="BK270" s="8"/>
      <c r="BL270" s="8"/>
      <c r="BM270" s="8"/>
    </row>
    <row r="271" spans="1:65" ht="15.75" hidden="1" customHeight="1" x14ac:dyDescent="0.45">
      <c r="A271" s="50">
        <f t="shared" si="1280"/>
        <v>42776</v>
      </c>
      <c r="B271" s="51">
        <v>89.33</v>
      </c>
      <c r="C271" s="51">
        <v>73.94</v>
      </c>
      <c r="D271" s="51">
        <v>60.64</v>
      </c>
      <c r="E271" s="51">
        <v>43.31</v>
      </c>
      <c r="F271" s="51">
        <v>31.29</v>
      </c>
      <c r="G271" s="52">
        <v>79.11</v>
      </c>
      <c r="H271" s="37">
        <f t="shared" ref="H271:L271" si="1332">B271-B270</f>
        <v>-0.26000000000000512</v>
      </c>
      <c r="I271" s="38">
        <f t="shared" si="1332"/>
        <v>-7.9999999999998295E-2</v>
      </c>
      <c r="J271" s="38">
        <f t="shared" si="1332"/>
        <v>0.35999999999999943</v>
      </c>
      <c r="K271" s="38">
        <f t="shared" si="1332"/>
        <v>0.62000000000000455</v>
      </c>
      <c r="L271" s="39">
        <f t="shared" si="1332"/>
        <v>0.78999999999999915</v>
      </c>
      <c r="M271" s="38"/>
      <c r="N271" s="40"/>
      <c r="O271" s="40"/>
      <c r="P271" s="40"/>
      <c r="Q271" s="40"/>
      <c r="R271" s="40"/>
      <c r="S271" s="40">
        <f t="shared" ref="S271:T271" si="1333">(B270+B271)/2</f>
        <v>89.460000000000008</v>
      </c>
      <c r="T271" s="40">
        <f t="shared" si="1333"/>
        <v>73.97999999999999</v>
      </c>
      <c r="U271" s="40">
        <f t="shared" si="1283"/>
        <v>60.46</v>
      </c>
      <c r="V271" s="40">
        <f t="shared" ref="V271:W271" si="1334">(E270+E271)/2</f>
        <v>43</v>
      </c>
      <c r="W271" s="40">
        <f t="shared" si="1334"/>
        <v>30.895</v>
      </c>
      <c r="X271" s="41">
        <f t="shared" ref="X271:AB271" si="1335">(SUM(B268:B271))/4</f>
        <v>89.232500000000002</v>
      </c>
      <c r="Y271" s="40">
        <f t="shared" si="1335"/>
        <v>73.894999999999996</v>
      </c>
      <c r="Z271" s="40">
        <f t="shared" si="1335"/>
        <v>59.844999999999999</v>
      </c>
      <c r="AA271" s="40">
        <f t="shared" si="1335"/>
        <v>41.532499999999999</v>
      </c>
      <c r="AB271" s="47">
        <f t="shared" si="1335"/>
        <v>30.075000000000003</v>
      </c>
      <c r="AC271" s="42">
        <f t="shared" ref="AC271:AF271" si="1336">(B271+C271)/2</f>
        <v>81.634999999999991</v>
      </c>
      <c r="AD271" s="42">
        <f t="shared" si="1336"/>
        <v>67.289999999999992</v>
      </c>
      <c r="AE271" s="42">
        <f t="shared" si="1336"/>
        <v>51.975000000000001</v>
      </c>
      <c r="AF271" s="42">
        <f t="shared" si="1336"/>
        <v>37.299999999999997</v>
      </c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8"/>
      <c r="BK271" s="8"/>
      <c r="BL271" s="8"/>
      <c r="BM271" s="8"/>
    </row>
    <row r="272" spans="1:65" ht="15.75" hidden="1" customHeight="1" x14ac:dyDescent="0.45">
      <c r="A272" s="50">
        <f t="shared" si="1280"/>
        <v>42783</v>
      </c>
      <c r="B272" s="51">
        <v>88.72</v>
      </c>
      <c r="C272" s="51">
        <v>73.33</v>
      </c>
      <c r="D272" s="51">
        <v>60.99</v>
      </c>
      <c r="E272" s="51">
        <v>43.86</v>
      </c>
      <c r="F272" s="51">
        <v>31.73</v>
      </c>
      <c r="G272" s="52">
        <v>77.2</v>
      </c>
      <c r="H272" s="37">
        <f t="shared" ref="H272:L272" si="1337">B272-B271</f>
        <v>-0.60999999999999943</v>
      </c>
      <c r="I272" s="38">
        <f t="shared" si="1337"/>
        <v>-0.60999999999999943</v>
      </c>
      <c r="J272" s="38">
        <f t="shared" si="1337"/>
        <v>0.35000000000000142</v>
      </c>
      <c r="K272" s="38">
        <f t="shared" si="1337"/>
        <v>0.54999999999999716</v>
      </c>
      <c r="L272" s="39">
        <f t="shared" si="1337"/>
        <v>0.44000000000000128</v>
      </c>
      <c r="M272" s="38"/>
      <c r="N272" s="40"/>
      <c r="O272" s="40"/>
      <c r="P272" s="40"/>
      <c r="Q272" s="40"/>
      <c r="R272" s="40"/>
      <c r="S272" s="40">
        <f t="shared" ref="S272:T272" si="1338">(B271+B272)/2</f>
        <v>89.025000000000006</v>
      </c>
      <c r="T272" s="40">
        <f t="shared" si="1338"/>
        <v>73.634999999999991</v>
      </c>
      <c r="U272" s="40">
        <f t="shared" si="1283"/>
        <v>60.814999999999998</v>
      </c>
      <c r="V272" s="40">
        <f t="shared" ref="V272:W272" si="1339">(E271+E272)/2</f>
        <v>43.585000000000001</v>
      </c>
      <c r="W272" s="40">
        <f t="shared" si="1339"/>
        <v>31.509999999999998</v>
      </c>
      <c r="X272" s="41">
        <f t="shared" ref="X272:AB272" si="1340">(SUM(B269:B272))/4</f>
        <v>89.215000000000003</v>
      </c>
      <c r="Y272" s="40">
        <f t="shared" si="1340"/>
        <v>73.747500000000002</v>
      </c>
      <c r="Z272" s="40">
        <f t="shared" si="1340"/>
        <v>60.405000000000001</v>
      </c>
      <c r="AA272" s="40">
        <f t="shared" si="1340"/>
        <v>42.715000000000003</v>
      </c>
      <c r="AB272" s="47">
        <f t="shared" si="1340"/>
        <v>30.802499999999998</v>
      </c>
      <c r="AC272" s="42">
        <f t="shared" ref="AC272:AF272" si="1341">(B272+C272)/2</f>
        <v>81.025000000000006</v>
      </c>
      <c r="AD272" s="42">
        <f t="shared" si="1341"/>
        <v>67.16</v>
      </c>
      <c r="AE272" s="42">
        <f t="shared" si="1341"/>
        <v>52.424999999999997</v>
      </c>
      <c r="AF272" s="42">
        <f t="shared" si="1341"/>
        <v>37.795000000000002</v>
      </c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8"/>
      <c r="BK272" s="8"/>
      <c r="BL272" s="8"/>
      <c r="BM272" s="8"/>
    </row>
    <row r="273" spans="1:65" ht="15.75" hidden="1" customHeight="1" x14ac:dyDescent="0.45">
      <c r="A273" s="50">
        <f t="shared" si="1280"/>
        <v>42790</v>
      </c>
      <c r="B273" s="51">
        <v>88.73</v>
      </c>
      <c r="C273" s="51">
        <v>73.72</v>
      </c>
      <c r="D273" s="51">
        <v>61.38</v>
      </c>
      <c r="E273" s="51">
        <v>43.97</v>
      </c>
      <c r="F273" s="51">
        <v>32.1</v>
      </c>
      <c r="G273" s="52">
        <v>81.13</v>
      </c>
      <c r="H273" s="37">
        <f t="shared" ref="H273:L273" si="1342">B273-B272</f>
        <v>1.0000000000005116E-2</v>
      </c>
      <c r="I273" s="38">
        <f t="shared" si="1342"/>
        <v>0.39000000000000057</v>
      </c>
      <c r="J273" s="38">
        <f t="shared" si="1342"/>
        <v>0.39000000000000057</v>
      </c>
      <c r="K273" s="38">
        <f t="shared" si="1342"/>
        <v>0.10999999999999943</v>
      </c>
      <c r="L273" s="39">
        <f t="shared" si="1342"/>
        <v>0.37000000000000099</v>
      </c>
      <c r="M273" s="38"/>
      <c r="N273" s="40"/>
      <c r="O273" s="40"/>
      <c r="P273" s="40"/>
      <c r="Q273" s="40"/>
      <c r="R273" s="40"/>
      <c r="S273" s="40">
        <f t="shared" ref="S273:T273" si="1343">(B272+B273)/2</f>
        <v>88.724999999999994</v>
      </c>
      <c r="T273" s="40">
        <f t="shared" si="1343"/>
        <v>73.525000000000006</v>
      </c>
      <c r="U273" s="40">
        <f t="shared" si="1283"/>
        <v>61.185000000000002</v>
      </c>
      <c r="V273" s="40">
        <f t="shared" ref="V273:W273" si="1344">(E272+E273)/2</f>
        <v>43.914999999999999</v>
      </c>
      <c r="W273" s="40">
        <f t="shared" si="1344"/>
        <v>31.914999999999999</v>
      </c>
      <c r="X273" s="41">
        <f t="shared" ref="X273:AB273" si="1345">(SUM(B270:B273))/4</f>
        <v>89.092500000000001</v>
      </c>
      <c r="Y273" s="40">
        <f t="shared" si="1345"/>
        <v>73.752499999999998</v>
      </c>
      <c r="Z273" s="40">
        <f t="shared" si="1345"/>
        <v>60.822499999999998</v>
      </c>
      <c r="AA273" s="40">
        <f t="shared" si="1345"/>
        <v>43.457500000000003</v>
      </c>
      <c r="AB273" s="47">
        <f t="shared" si="1345"/>
        <v>31.405000000000001</v>
      </c>
      <c r="AC273" s="42">
        <f t="shared" ref="AC273:AF273" si="1346">(B273+C273)/2</f>
        <v>81.224999999999994</v>
      </c>
      <c r="AD273" s="42">
        <f t="shared" si="1346"/>
        <v>67.55</v>
      </c>
      <c r="AE273" s="42">
        <f t="shared" si="1346"/>
        <v>52.674999999999997</v>
      </c>
      <c r="AF273" s="42">
        <f t="shared" si="1346"/>
        <v>38.034999999999997</v>
      </c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8"/>
      <c r="BK273" s="8"/>
      <c r="BL273" s="8"/>
      <c r="BM273" s="8"/>
    </row>
    <row r="274" spans="1:65" ht="15.75" hidden="1" customHeight="1" x14ac:dyDescent="0.45">
      <c r="A274" s="50">
        <f t="shared" si="1280"/>
        <v>42797</v>
      </c>
      <c r="B274" s="51">
        <v>89.29</v>
      </c>
      <c r="C274" s="51">
        <v>74.41</v>
      </c>
      <c r="D274" s="51">
        <v>61.78</v>
      </c>
      <c r="E274" s="51">
        <v>44.6</v>
      </c>
      <c r="F274" s="51">
        <v>32.29</v>
      </c>
      <c r="G274" s="52">
        <v>81.56</v>
      </c>
      <c r="H274" s="37">
        <f t="shared" ref="H274:L274" si="1347">B274-B273</f>
        <v>0.56000000000000227</v>
      </c>
      <c r="I274" s="38">
        <f t="shared" si="1347"/>
        <v>0.68999999999999773</v>
      </c>
      <c r="J274" s="38">
        <f t="shared" si="1347"/>
        <v>0.39999999999999858</v>
      </c>
      <c r="K274" s="38">
        <f t="shared" si="1347"/>
        <v>0.63000000000000256</v>
      </c>
      <c r="L274" s="39">
        <f t="shared" si="1347"/>
        <v>0.18999999999999773</v>
      </c>
      <c r="M274" s="38"/>
      <c r="N274" s="40"/>
      <c r="O274" s="40"/>
      <c r="P274" s="40"/>
      <c r="Q274" s="40"/>
      <c r="R274" s="40"/>
      <c r="S274" s="40">
        <f t="shared" ref="S274:T274" si="1348">(B273+B274)/2</f>
        <v>89.01</v>
      </c>
      <c r="T274" s="40">
        <f t="shared" si="1348"/>
        <v>74.064999999999998</v>
      </c>
      <c r="U274" s="40">
        <f t="shared" si="1283"/>
        <v>61.58</v>
      </c>
      <c r="V274" s="40">
        <f t="shared" ref="V274:W274" si="1349">(E273+E274)/2</f>
        <v>44.284999999999997</v>
      </c>
      <c r="W274" s="40">
        <f t="shared" si="1349"/>
        <v>32.195</v>
      </c>
      <c r="X274" s="41">
        <f t="shared" ref="X274:AB274" si="1350">(SUM(B271:B274))/4</f>
        <v>89.017500000000013</v>
      </c>
      <c r="Y274" s="40">
        <f t="shared" si="1350"/>
        <v>73.849999999999994</v>
      </c>
      <c r="Z274" s="40">
        <f t="shared" si="1350"/>
        <v>61.197499999999998</v>
      </c>
      <c r="AA274" s="40">
        <f t="shared" si="1350"/>
        <v>43.934999999999995</v>
      </c>
      <c r="AB274" s="47">
        <f t="shared" si="1350"/>
        <v>31.852499999999999</v>
      </c>
      <c r="AC274" s="42">
        <f t="shared" ref="AC274:AF274" si="1351">(B274+C274)/2</f>
        <v>81.849999999999994</v>
      </c>
      <c r="AD274" s="42">
        <f t="shared" si="1351"/>
        <v>68.094999999999999</v>
      </c>
      <c r="AE274" s="42">
        <f t="shared" si="1351"/>
        <v>53.19</v>
      </c>
      <c r="AF274" s="42">
        <f t="shared" si="1351"/>
        <v>38.445</v>
      </c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8"/>
      <c r="BK274" s="8"/>
      <c r="BL274" s="8"/>
      <c r="BM274" s="8"/>
    </row>
    <row r="275" spans="1:65" ht="15.75" hidden="1" customHeight="1" x14ac:dyDescent="0.45">
      <c r="A275" s="50">
        <f t="shared" si="1280"/>
        <v>42804</v>
      </c>
      <c r="B275" s="51">
        <v>88.74</v>
      </c>
      <c r="C275" s="51">
        <v>74.099999999999994</v>
      </c>
      <c r="D275" s="51">
        <v>61.89</v>
      </c>
      <c r="E275" s="51">
        <v>45.11</v>
      </c>
      <c r="F275" s="51">
        <v>32.67</v>
      </c>
      <c r="G275" s="52">
        <v>78.599999999999994</v>
      </c>
      <c r="H275" s="37">
        <f t="shared" ref="H275:L275" si="1352">B275-B274</f>
        <v>-0.55000000000001137</v>
      </c>
      <c r="I275" s="38">
        <f t="shared" si="1352"/>
        <v>-0.31000000000000227</v>
      </c>
      <c r="J275" s="38">
        <f t="shared" si="1352"/>
        <v>0.10999999999999943</v>
      </c>
      <c r="K275" s="38">
        <f t="shared" si="1352"/>
        <v>0.50999999999999801</v>
      </c>
      <c r="L275" s="39">
        <f t="shared" si="1352"/>
        <v>0.38000000000000256</v>
      </c>
      <c r="M275" s="38"/>
      <c r="N275" s="40"/>
      <c r="O275" s="40"/>
      <c r="P275" s="40"/>
      <c r="Q275" s="40"/>
      <c r="R275" s="40"/>
      <c r="S275" s="40">
        <f t="shared" ref="S275:T275" si="1353">(B274+B275)/2</f>
        <v>89.015000000000001</v>
      </c>
      <c r="T275" s="40">
        <f t="shared" si="1353"/>
        <v>74.254999999999995</v>
      </c>
      <c r="U275" s="40">
        <f t="shared" si="1283"/>
        <v>61.835000000000001</v>
      </c>
      <c r="V275" s="40">
        <f t="shared" ref="V275:W275" si="1354">(E274+E275)/2</f>
        <v>44.855000000000004</v>
      </c>
      <c r="W275" s="40">
        <f t="shared" si="1354"/>
        <v>32.480000000000004</v>
      </c>
      <c r="X275" s="41">
        <f t="shared" ref="X275:AB275" si="1355">(SUM(B272:B275))/4</f>
        <v>88.87</v>
      </c>
      <c r="Y275" s="40">
        <f t="shared" si="1355"/>
        <v>73.89</v>
      </c>
      <c r="Z275" s="40">
        <f t="shared" si="1355"/>
        <v>61.510000000000005</v>
      </c>
      <c r="AA275" s="40">
        <f t="shared" si="1355"/>
        <v>44.385000000000005</v>
      </c>
      <c r="AB275" s="47">
        <f t="shared" si="1355"/>
        <v>32.197500000000005</v>
      </c>
      <c r="AC275" s="42">
        <f t="shared" ref="AC275:AF275" si="1356">(B275+C275)/2</f>
        <v>81.419999999999987</v>
      </c>
      <c r="AD275" s="42">
        <f t="shared" si="1356"/>
        <v>67.995000000000005</v>
      </c>
      <c r="AE275" s="42">
        <f t="shared" si="1356"/>
        <v>53.5</v>
      </c>
      <c r="AF275" s="42">
        <f t="shared" si="1356"/>
        <v>38.89</v>
      </c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8"/>
      <c r="BK275" s="8"/>
      <c r="BL275" s="8"/>
      <c r="BM275" s="8"/>
    </row>
    <row r="276" spans="1:65" ht="15.75" hidden="1" customHeight="1" x14ac:dyDescent="0.45">
      <c r="A276" s="50">
        <f t="shared" si="1280"/>
        <v>42811</v>
      </c>
      <c r="B276" s="51">
        <v>88.83</v>
      </c>
      <c r="C276" s="51">
        <v>74.400000000000006</v>
      </c>
      <c r="D276" s="51">
        <v>62.43</v>
      </c>
      <c r="E276" s="51">
        <v>45.56</v>
      </c>
      <c r="F276" s="51">
        <v>33.06</v>
      </c>
      <c r="G276" s="52">
        <v>80.8</v>
      </c>
      <c r="H276" s="37">
        <f t="shared" ref="H276:L276" si="1357">B276-B275</f>
        <v>9.0000000000003411E-2</v>
      </c>
      <c r="I276" s="38">
        <f t="shared" si="1357"/>
        <v>0.30000000000001137</v>
      </c>
      <c r="J276" s="38">
        <f t="shared" si="1357"/>
        <v>0.53999999999999915</v>
      </c>
      <c r="K276" s="38">
        <f t="shared" si="1357"/>
        <v>0.45000000000000284</v>
      </c>
      <c r="L276" s="39">
        <f t="shared" si="1357"/>
        <v>0.39000000000000057</v>
      </c>
      <c r="M276" s="38"/>
      <c r="N276" s="40"/>
      <c r="O276" s="40"/>
      <c r="P276" s="40"/>
      <c r="Q276" s="40"/>
      <c r="R276" s="40"/>
      <c r="S276" s="40">
        <f t="shared" ref="S276:T276" si="1358">(B275+B276)/2</f>
        <v>88.784999999999997</v>
      </c>
      <c r="T276" s="40">
        <f t="shared" si="1358"/>
        <v>74.25</v>
      </c>
      <c r="U276" s="40">
        <f t="shared" si="1283"/>
        <v>62.16</v>
      </c>
      <c r="V276" s="40">
        <f t="shared" ref="V276:W276" si="1359">(E275+E276)/2</f>
        <v>45.335000000000001</v>
      </c>
      <c r="W276" s="40">
        <f t="shared" si="1359"/>
        <v>32.865000000000002</v>
      </c>
      <c r="X276" s="41">
        <f t="shared" ref="X276:AB276" si="1360">(SUM(B273:B276))/4</f>
        <v>88.897499999999994</v>
      </c>
      <c r="Y276" s="40">
        <f t="shared" si="1360"/>
        <v>74.157499999999999</v>
      </c>
      <c r="Z276" s="40">
        <f t="shared" si="1360"/>
        <v>61.870000000000005</v>
      </c>
      <c r="AA276" s="40">
        <f t="shared" si="1360"/>
        <v>44.81</v>
      </c>
      <c r="AB276" s="47">
        <f t="shared" si="1360"/>
        <v>32.53</v>
      </c>
      <c r="AC276" s="42">
        <f t="shared" ref="AC276:AF276" si="1361">(B276+C276)/2</f>
        <v>81.615000000000009</v>
      </c>
      <c r="AD276" s="42">
        <f t="shared" si="1361"/>
        <v>68.415000000000006</v>
      </c>
      <c r="AE276" s="42">
        <f t="shared" si="1361"/>
        <v>53.995000000000005</v>
      </c>
      <c r="AF276" s="42">
        <f t="shared" si="1361"/>
        <v>39.31</v>
      </c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8"/>
      <c r="BK276" s="8"/>
      <c r="BL276" s="8"/>
      <c r="BM276" s="8"/>
    </row>
    <row r="277" spans="1:65" ht="15.75" hidden="1" customHeight="1" x14ac:dyDescent="0.45">
      <c r="A277" s="50">
        <f t="shared" si="1280"/>
        <v>42818</v>
      </c>
      <c r="B277" s="51">
        <v>88.87</v>
      </c>
      <c r="C277" s="51">
        <v>74.540000000000006</v>
      </c>
      <c r="D277" s="51">
        <v>62.41</v>
      </c>
      <c r="E277" s="51">
        <v>45.72</v>
      </c>
      <c r="F277" s="51">
        <v>33.29</v>
      </c>
      <c r="G277" s="52">
        <v>81.09</v>
      </c>
      <c r="H277" s="37">
        <f t="shared" ref="H277:L277" si="1362">B277-B276</f>
        <v>4.0000000000006253E-2</v>
      </c>
      <c r="I277" s="38">
        <f t="shared" si="1362"/>
        <v>0.14000000000000057</v>
      </c>
      <c r="J277" s="38">
        <f t="shared" si="1362"/>
        <v>-2.0000000000003126E-2</v>
      </c>
      <c r="K277" s="38">
        <f t="shared" si="1362"/>
        <v>0.15999999999999659</v>
      </c>
      <c r="L277" s="39">
        <f t="shared" si="1362"/>
        <v>0.22999999999999687</v>
      </c>
      <c r="M277" s="38"/>
      <c r="N277" s="40"/>
      <c r="O277" s="40"/>
      <c r="P277" s="40"/>
      <c r="Q277" s="40"/>
      <c r="R277" s="40"/>
      <c r="S277" s="40">
        <f t="shared" ref="S277:T277" si="1363">(B276+B277)/2</f>
        <v>88.85</v>
      </c>
      <c r="T277" s="40">
        <f t="shared" si="1363"/>
        <v>74.47</v>
      </c>
      <c r="U277" s="40">
        <f t="shared" si="1283"/>
        <v>62.42</v>
      </c>
      <c r="V277" s="40">
        <f t="shared" ref="V277:W277" si="1364">(E276+E277)/2</f>
        <v>45.64</v>
      </c>
      <c r="W277" s="40">
        <f t="shared" si="1364"/>
        <v>33.174999999999997</v>
      </c>
      <c r="X277" s="41">
        <f t="shared" ref="X277:AB277" si="1365">(SUM(B274:B277))/4</f>
        <v>88.932500000000005</v>
      </c>
      <c r="Y277" s="40">
        <f t="shared" si="1365"/>
        <v>74.362499999999997</v>
      </c>
      <c r="Z277" s="40">
        <f t="shared" si="1365"/>
        <v>62.127499999999998</v>
      </c>
      <c r="AA277" s="40">
        <f t="shared" si="1365"/>
        <v>45.247500000000002</v>
      </c>
      <c r="AB277" s="47">
        <f t="shared" si="1365"/>
        <v>32.827500000000001</v>
      </c>
      <c r="AC277" s="42">
        <f t="shared" ref="AC277:AF277" si="1366">(B277+C277)/2</f>
        <v>81.705000000000013</v>
      </c>
      <c r="AD277" s="42">
        <f t="shared" si="1366"/>
        <v>68.474999999999994</v>
      </c>
      <c r="AE277" s="42">
        <f t="shared" si="1366"/>
        <v>54.064999999999998</v>
      </c>
      <c r="AF277" s="42">
        <f t="shared" si="1366"/>
        <v>39.504999999999995</v>
      </c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8"/>
      <c r="BK277" s="8"/>
      <c r="BL277" s="8"/>
      <c r="BM277" s="8"/>
    </row>
    <row r="278" spans="1:65" ht="15.75" hidden="1" customHeight="1" x14ac:dyDescent="0.45">
      <c r="A278" s="50">
        <f t="shared" si="1280"/>
        <v>42825</v>
      </c>
      <c r="B278" s="51">
        <v>88.45</v>
      </c>
      <c r="C278" s="51">
        <v>74.739999999999995</v>
      </c>
      <c r="D278" s="51">
        <v>63.12</v>
      </c>
      <c r="E278" s="51">
        <v>46.01</v>
      </c>
      <c r="F278" s="51">
        <v>32.619999999999997</v>
      </c>
      <c r="G278" s="52">
        <v>82.45</v>
      </c>
      <c r="H278" s="37">
        <f t="shared" ref="H278:L278" si="1367">B278-B277</f>
        <v>-0.42000000000000171</v>
      </c>
      <c r="I278" s="38">
        <f t="shared" si="1367"/>
        <v>0.19999999999998863</v>
      </c>
      <c r="J278" s="38">
        <f t="shared" si="1367"/>
        <v>0.71000000000000085</v>
      </c>
      <c r="K278" s="38">
        <f t="shared" si="1367"/>
        <v>0.28999999999999915</v>
      </c>
      <c r="L278" s="39">
        <f t="shared" si="1367"/>
        <v>-0.67000000000000171</v>
      </c>
      <c r="M278" s="38"/>
      <c r="N278" s="40"/>
      <c r="O278" s="40"/>
      <c r="P278" s="40"/>
      <c r="Q278" s="40"/>
      <c r="R278" s="40"/>
      <c r="S278" s="40">
        <f t="shared" ref="S278:T278" si="1368">(B277+B278)/2</f>
        <v>88.66</v>
      </c>
      <c r="T278" s="40">
        <f t="shared" si="1368"/>
        <v>74.64</v>
      </c>
      <c r="U278" s="40">
        <f t="shared" si="1283"/>
        <v>62.765000000000001</v>
      </c>
      <c r="V278" s="40">
        <f t="shared" ref="V278:W278" si="1369">(E277+E278)/2</f>
        <v>45.864999999999995</v>
      </c>
      <c r="W278" s="40">
        <f t="shared" si="1369"/>
        <v>32.954999999999998</v>
      </c>
      <c r="X278" s="41">
        <f t="shared" ref="X278:AB278" si="1370">(SUM(B275:B278))/4</f>
        <v>88.722499999999997</v>
      </c>
      <c r="Y278" s="40">
        <f t="shared" si="1370"/>
        <v>74.445000000000007</v>
      </c>
      <c r="Z278" s="40">
        <f t="shared" si="1370"/>
        <v>62.462499999999999</v>
      </c>
      <c r="AA278" s="40">
        <f t="shared" si="1370"/>
        <v>45.599999999999994</v>
      </c>
      <c r="AB278" s="47">
        <f t="shared" si="1370"/>
        <v>32.910000000000004</v>
      </c>
      <c r="AC278" s="42">
        <f t="shared" ref="AC278:AF278" si="1371">(B278+C278)/2</f>
        <v>81.594999999999999</v>
      </c>
      <c r="AD278" s="42">
        <f t="shared" si="1371"/>
        <v>68.929999999999993</v>
      </c>
      <c r="AE278" s="42">
        <f t="shared" si="1371"/>
        <v>54.564999999999998</v>
      </c>
      <c r="AF278" s="42">
        <f t="shared" si="1371"/>
        <v>39.314999999999998</v>
      </c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8"/>
      <c r="BK278" s="8"/>
      <c r="BL278" s="8"/>
      <c r="BM278" s="8"/>
    </row>
    <row r="279" spans="1:65" ht="15.75" hidden="1" customHeight="1" x14ac:dyDescent="0.45">
      <c r="A279" s="50">
        <f t="shared" si="1280"/>
        <v>42832</v>
      </c>
      <c r="B279" s="51">
        <v>89.34</v>
      </c>
      <c r="C279" s="51">
        <v>75.64</v>
      </c>
      <c r="D279" s="51">
        <v>63.3</v>
      </c>
      <c r="E279" s="51">
        <v>45.472999999999999</v>
      </c>
      <c r="F279" s="51">
        <v>32.94</v>
      </c>
      <c r="G279" s="52">
        <v>88.19</v>
      </c>
      <c r="H279" s="37">
        <f t="shared" ref="H279:L279" si="1372">B279-B278</f>
        <v>0.89000000000000057</v>
      </c>
      <c r="I279" s="38">
        <f t="shared" si="1372"/>
        <v>0.90000000000000568</v>
      </c>
      <c r="J279" s="38">
        <f t="shared" si="1372"/>
        <v>0.17999999999999972</v>
      </c>
      <c r="K279" s="38">
        <f t="shared" si="1372"/>
        <v>-0.53699999999999903</v>
      </c>
      <c r="L279" s="39">
        <f t="shared" si="1372"/>
        <v>0.32000000000000028</v>
      </c>
      <c r="M279" s="38"/>
      <c r="N279" s="40"/>
      <c r="O279" s="40"/>
      <c r="P279" s="40"/>
      <c r="Q279" s="40"/>
      <c r="R279" s="40"/>
      <c r="S279" s="40">
        <f t="shared" ref="S279:T279" si="1373">(B278+B279)/2</f>
        <v>88.89500000000001</v>
      </c>
      <c r="T279" s="40">
        <f t="shared" si="1373"/>
        <v>75.19</v>
      </c>
      <c r="U279" s="40">
        <f t="shared" si="1283"/>
        <v>63.209999999999994</v>
      </c>
      <c r="V279" s="40">
        <f t="shared" ref="V279:W279" si="1374">(E278+E279)/2</f>
        <v>45.741500000000002</v>
      </c>
      <c r="W279" s="40">
        <f t="shared" si="1374"/>
        <v>32.78</v>
      </c>
      <c r="X279" s="41">
        <f t="shared" ref="X279:AB279" si="1375">(SUM(B276:B279))/4</f>
        <v>88.872500000000002</v>
      </c>
      <c r="Y279" s="40">
        <f t="shared" si="1375"/>
        <v>74.83</v>
      </c>
      <c r="Z279" s="40">
        <f t="shared" si="1375"/>
        <v>62.814999999999998</v>
      </c>
      <c r="AA279" s="40">
        <f t="shared" si="1375"/>
        <v>45.690749999999994</v>
      </c>
      <c r="AB279" s="47">
        <f t="shared" si="1375"/>
        <v>32.977499999999999</v>
      </c>
      <c r="AC279" s="42">
        <f t="shared" ref="AC279:AF279" si="1376">(B279+C279)/2</f>
        <v>82.490000000000009</v>
      </c>
      <c r="AD279" s="42">
        <f t="shared" si="1376"/>
        <v>69.47</v>
      </c>
      <c r="AE279" s="42">
        <f t="shared" si="1376"/>
        <v>54.386499999999998</v>
      </c>
      <c r="AF279" s="42">
        <f t="shared" si="1376"/>
        <v>39.206499999999998</v>
      </c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8"/>
      <c r="BK279" s="8"/>
      <c r="BL279" s="8"/>
      <c r="BM279" s="8"/>
    </row>
    <row r="280" spans="1:65" ht="15.75" hidden="1" customHeight="1" x14ac:dyDescent="0.45">
      <c r="A280" s="50">
        <f t="shared" si="1280"/>
        <v>42839</v>
      </c>
      <c r="B280" s="51">
        <v>89.2</v>
      </c>
      <c r="C280" s="51">
        <v>74.98</v>
      </c>
      <c r="D280" s="51">
        <v>63.21</v>
      </c>
      <c r="E280" s="51">
        <v>44.69</v>
      </c>
      <c r="F280" s="51">
        <v>32.68</v>
      </c>
      <c r="G280" s="52">
        <v>83.83</v>
      </c>
      <c r="H280" s="37">
        <f t="shared" ref="H280:L280" si="1377">B280-B279</f>
        <v>-0.14000000000000057</v>
      </c>
      <c r="I280" s="38">
        <f t="shared" si="1377"/>
        <v>-0.65999999999999659</v>
      </c>
      <c r="J280" s="38">
        <f t="shared" si="1377"/>
        <v>-8.9999999999996305E-2</v>
      </c>
      <c r="K280" s="38">
        <f t="shared" si="1377"/>
        <v>-0.78300000000000125</v>
      </c>
      <c r="L280" s="39">
        <f t="shared" si="1377"/>
        <v>-0.25999999999999801</v>
      </c>
      <c r="M280" s="38"/>
      <c r="N280" s="40"/>
      <c r="O280" s="40"/>
      <c r="P280" s="40"/>
      <c r="Q280" s="40"/>
      <c r="R280" s="40"/>
      <c r="S280" s="40">
        <f t="shared" ref="S280:T280" si="1378">(B279+B280)/2</f>
        <v>89.27000000000001</v>
      </c>
      <c r="T280" s="40">
        <f t="shared" si="1378"/>
        <v>75.31</v>
      </c>
      <c r="U280" s="40">
        <f t="shared" si="1283"/>
        <v>63.254999999999995</v>
      </c>
      <c r="V280" s="40">
        <f t="shared" ref="V280:W280" si="1379">(E279+E280)/2</f>
        <v>45.081499999999998</v>
      </c>
      <c r="W280" s="40">
        <f t="shared" si="1379"/>
        <v>32.81</v>
      </c>
      <c r="X280" s="41">
        <f t="shared" ref="X280:AB280" si="1380">(SUM(B277:B280))/4</f>
        <v>88.964999999999989</v>
      </c>
      <c r="Y280" s="40">
        <f t="shared" si="1380"/>
        <v>74.975000000000009</v>
      </c>
      <c r="Z280" s="40">
        <f t="shared" si="1380"/>
        <v>63.01</v>
      </c>
      <c r="AA280" s="40">
        <f t="shared" si="1380"/>
        <v>45.473249999999993</v>
      </c>
      <c r="AB280" s="47">
        <f t="shared" si="1380"/>
        <v>32.8825</v>
      </c>
      <c r="AC280" s="42">
        <f t="shared" ref="AC280:AF280" si="1381">(B280+C280)/2</f>
        <v>82.09</v>
      </c>
      <c r="AD280" s="42">
        <f t="shared" si="1381"/>
        <v>69.094999999999999</v>
      </c>
      <c r="AE280" s="42">
        <f t="shared" si="1381"/>
        <v>53.95</v>
      </c>
      <c r="AF280" s="42">
        <f t="shared" si="1381"/>
        <v>38.685000000000002</v>
      </c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8"/>
      <c r="BK280" s="8"/>
      <c r="BL280" s="8"/>
      <c r="BM280" s="8"/>
    </row>
    <row r="281" spans="1:65" ht="15.75" hidden="1" customHeight="1" x14ac:dyDescent="0.45">
      <c r="A281" s="50">
        <f t="shared" si="1280"/>
        <v>42846</v>
      </c>
      <c r="B281" s="51">
        <v>87.74</v>
      </c>
      <c r="C281" s="51">
        <v>73.87</v>
      </c>
      <c r="D281" s="51">
        <v>62.14</v>
      </c>
      <c r="E281" s="51">
        <v>42.19</v>
      </c>
      <c r="F281" s="51">
        <v>30.97</v>
      </c>
      <c r="G281" s="52">
        <v>82.77</v>
      </c>
      <c r="H281" s="37">
        <f t="shared" ref="H281:L281" si="1382">B281-B280</f>
        <v>-1.460000000000008</v>
      </c>
      <c r="I281" s="38">
        <f t="shared" si="1382"/>
        <v>-1.1099999999999994</v>
      </c>
      <c r="J281" s="38">
        <f t="shared" si="1382"/>
        <v>-1.0700000000000003</v>
      </c>
      <c r="K281" s="38">
        <f t="shared" si="1382"/>
        <v>-2.5</v>
      </c>
      <c r="L281" s="39">
        <f t="shared" si="1382"/>
        <v>-1.7100000000000009</v>
      </c>
      <c r="M281" s="38"/>
      <c r="N281" s="40"/>
      <c r="O281" s="40"/>
      <c r="P281" s="40"/>
      <c r="Q281" s="40"/>
      <c r="R281" s="40"/>
      <c r="S281" s="40">
        <f t="shared" ref="S281:T281" si="1383">(B280+B281)/2</f>
        <v>88.47</v>
      </c>
      <c r="T281" s="40">
        <f t="shared" si="1383"/>
        <v>74.425000000000011</v>
      </c>
      <c r="U281" s="40">
        <f t="shared" si="1283"/>
        <v>62.674999999999997</v>
      </c>
      <c r="V281" s="40">
        <f t="shared" ref="V281:W281" si="1384">(E280+E281)/2</f>
        <v>43.44</v>
      </c>
      <c r="W281" s="40">
        <f t="shared" si="1384"/>
        <v>31.824999999999999</v>
      </c>
      <c r="X281" s="41">
        <f t="shared" ref="X281:AB281" si="1385">(SUM(B278:B281))/4</f>
        <v>88.682500000000005</v>
      </c>
      <c r="Y281" s="40">
        <f t="shared" si="1385"/>
        <v>74.807500000000005</v>
      </c>
      <c r="Z281" s="40">
        <f t="shared" si="1385"/>
        <v>62.942499999999995</v>
      </c>
      <c r="AA281" s="40">
        <f t="shared" si="1385"/>
        <v>44.59075</v>
      </c>
      <c r="AB281" s="47">
        <f t="shared" si="1385"/>
        <v>32.302500000000002</v>
      </c>
      <c r="AC281" s="42">
        <f t="shared" ref="AC281:AF281" si="1386">(B281+C281)/2</f>
        <v>80.805000000000007</v>
      </c>
      <c r="AD281" s="42">
        <f t="shared" si="1386"/>
        <v>68.004999999999995</v>
      </c>
      <c r="AE281" s="42">
        <f t="shared" si="1386"/>
        <v>52.164999999999999</v>
      </c>
      <c r="AF281" s="42">
        <f t="shared" si="1386"/>
        <v>36.58</v>
      </c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8"/>
      <c r="BK281" s="8"/>
      <c r="BL281" s="8"/>
      <c r="BM281" s="8"/>
    </row>
    <row r="282" spans="1:65" ht="15.75" hidden="1" customHeight="1" x14ac:dyDescent="0.45">
      <c r="A282" s="50">
        <f t="shared" si="1280"/>
        <v>42853</v>
      </c>
      <c r="B282" s="51">
        <v>84.68</v>
      </c>
      <c r="C282" s="51">
        <v>72.2</v>
      </c>
      <c r="D282" s="51">
        <v>60.66</v>
      </c>
      <c r="E282" s="51">
        <v>39.28</v>
      </c>
      <c r="F282" s="51">
        <v>30.2</v>
      </c>
      <c r="G282" s="52">
        <v>79.83</v>
      </c>
      <c r="H282" s="37">
        <f t="shared" ref="H282:L282" si="1387">B282-B281</f>
        <v>-3.0599999999999881</v>
      </c>
      <c r="I282" s="38">
        <f t="shared" si="1387"/>
        <v>-1.6700000000000017</v>
      </c>
      <c r="J282" s="38">
        <f t="shared" si="1387"/>
        <v>-1.480000000000004</v>
      </c>
      <c r="K282" s="38">
        <f t="shared" si="1387"/>
        <v>-2.9099999999999966</v>
      </c>
      <c r="L282" s="39">
        <f t="shared" si="1387"/>
        <v>-0.76999999999999957</v>
      </c>
      <c r="M282" s="38"/>
      <c r="N282" s="40"/>
      <c r="O282" s="40"/>
      <c r="P282" s="40"/>
      <c r="Q282" s="40"/>
      <c r="R282" s="40"/>
      <c r="S282" s="40">
        <f t="shared" ref="S282:T282" si="1388">(B281+B282)/2</f>
        <v>86.210000000000008</v>
      </c>
      <c r="T282" s="40">
        <f t="shared" si="1388"/>
        <v>73.034999999999997</v>
      </c>
      <c r="U282" s="40">
        <f t="shared" si="1283"/>
        <v>61.4</v>
      </c>
      <c r="V282" s="40">
        <f t="shared" ref="V282:W282" si="1389">(E281+E282)/2</f>
        <v>40.734999999999999</v>
      </c>
      <c r="W282" s="40">
        <f t="shared" si="1389"/>
        <v>30.585000000000001</v>
      </c>
      <c r="X282" s="41">
        <f t="shared" ref="X282:AB282" si="1390">(SUM(B279:B282))/4</f>
        <v>87.740000000000009</v>
      </c>
      <c r="Y282" s="40">
        <f t="shared" si="1390"/>
        <v>74.172499999999999</v>
      </c>
      <c r="Z282" s="40">
        <f t="shared" si="1390"/>
        <v>62.327499999999993</v>
      </c>
      <c r="AA282" s="40">
        <f t="shared" si="1390"/>
        <v>42.908250000000002</v>
      </c>
      <c r="AB282" s="47">
        <f t="shared" si="1390"/>
        <v>31.697500000000002</v>
      </c>
      <c r="AC282" s="42">
        <f t="shared" ref="AC282:AF282" si="1391">(B282+C282)/2</f>
        <v>78.44</v>
      </c>
      <c r="AD282" s="42">
        <f t="shared" si="1391"/>
        <v>66.430000000000007</v>
      </c>
      <c r="AE282" s="42">
        <f t="shared" si="1391"/>
        <v>49.97</v>
      </c>
      <c r="AF282" s="42">
        <f t="shared" si="1391"/>
        <v>34.74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8"/>
      <c r="BK282" s="8"/>
      <c r="BL282" s="8"/>
      <c r="BM282" s="8"/>
    </row>
    <row r="283" spans="1:65" ht="15.75" hidden="1" customHeight="1" x14ac:dyDescent="0.45">
      <c r="A283" s="50">
        <f t="shared" si="1280"/>
        <v>42860</v>
      </c>
      <c r="B283" s="51">
        <v>82.91</v>
      </c>
      <c r="C283" s="51">
        <v>71.3</v>
      </c>
      <c r="D283" s="51">
        <v>59.05</v>
      </c>
      <c r="E283" s="51">
        <v>38.11</v>
      </c>
      <c r="F283" s="51">
        <v>29.34</v>
      </c>
      <c r="G283" s="52">
        <v>77.42</v>
      </c>
      <c r="H283" s="37">
        <f t="shared" ref="H283:L283" si="1392">B283-B282</f>
        <v>-1.7700000000000102</v>
      </c>
      <c r="I283" s="38">
        <f t="shared" si="1392"/>
        <v>-0.90000000000000568</v>
      </c>
      <c r="J283" s="38">
        <f t="shared" si="1392"/>
        <v>-1.6099999999999994</v>
      </c>
      <c r="K283" s="38">
        <f t="shared" si="1392"/>
        <v>-1.1700000000000017</v>
      </c>
      <c r="L283" s="39">
        <f t="shared" si="1392"/>
        <v>-0.85999999999999943</v>
      </c>
      <c r="M283" s="38"/>
      <c r="N283" s="40"/>
      <c r="O283" s="40"/>
      <c r="P283" s="40"/>
      <c r="Q283" s="40"/>
      <c r="R283" s="40"/>
      <c r="S283" s="40">
        <f t="shared" ref="S283:T283" si="1393">(B282+B283)/2</f>
        <v>83.795000000000002</v>
      </c>
      <c r="T283" s="40">
        <f t="shared" si="1393"/>
        <v>71.75</v>
      </c>
      <c r="U283" s="40">
        <f t="shared" si="1283"/>
        <v>59.854999999999997</v>
      </c>
      <c r="V283" s="40">
        <f t="shared" ref="V283:W283" si="1394">(E282+E283)/2</f>
        <v>38.695</v>
      </c>
      <c r="W283" s="40">
        <f t="shared" si="1394"/>
        <v>29.77</v>
      </c>
      <c r="X283" s="41">
        <f t="shared" ref="X283:AB283" si="1395">(SUM(B280:B283))/4</f>
        <v>86.132499999999993</v>
      </c>
      <c r="Y283" s="40">
        <f t="shared" si="1395"/>
        <v>73.087500000000006</v>
      </c>
      <c r="Z283" s="40">
        <f t="shared" si="1395"/>
        <v>61.265000000000001</v>
      </c>
      <c r="AA283" s="40">
        <f t="shared" si="1395"/>
        <v>41.067499999999995</v>
      </c>
      <c r="AB283" s="47">
        <f t="shared" si="1395"/>
        <v>30.797499999999999</v>
      </c>
      <c r="AC283" s="42">
        <f t="shared" ref="AC283:AF283" si="1396">(B283+C283)/2</f>
        <v>77.10499999999999</v>
      </c>
      <c r="AD283" s="42">
        <f t="shared" si="1396"/>
        <v>65.174999999999997</v>
      </c>
      <c r="AE283" s="42">
        <f t="shared" si="1396"/>
        <v>48.58</v>
      </c>
      <c r="AF283" s="42">
        <f t="shared" si="1396"/>
        <v>33.725000000000001</v>
      </c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8"/>
      <c r="BK283" s="8"/>
      <c r="BL283" s="8"/>
      <c r="BM283" s="8"/>
    </row>
    <row r="284" spans="1:65" ht="15.75" hidden="1" customHeight="1" x14ac:dyDescent="0.45">
      <c r="A284" s="50">
        <f t="shared" si="1280"/>
        <v>42867</v>
      </c>
      <c r="B284" s="51">
        <v>80.819999999999993</v>
      </c>
      <c r="C284" s="51">
        <v>70.25</v>
      </c>
      <c r="D284" s="51">
        <v>58.01</v>
      </c>
      <c r="E284" s="51">
        <v>37.200000000000003</v>
      </c>
      <c r="F284" s="51">
        <v>28.76</v>
      </c>
      <c r="G284" s="52">
        <v>72.42</v>
      </c>
      <c r="H284" s="37">
        <f t="shared" ref="H284:L284" si="1397">B284-B283</f>
        <v>-2.0900000000000034</v>
      </c>
      <c r="I284" s="38">
        <f t="shared" si="1397"/>
        <v>-1.0499999999999972</v>
      </c>
      <c r="J284" s="38">
        <f t="shared" si="1397"/>
        <v>-1.0399999999999991</v>
      </c>
      <c r="K284" s="38">
        <f t="shared" si="1397"/>
        <v>-0.90999999999999659</v>
      </c>
      <c r="L284" s="39">
        <f t="shared" si="1397"/>
        <v>-0.57999999999999829</v>
      </c>
      <c r="M284" s="38"/>
      <c r="N284" s="40"/>
      <c r="O284" s="40"/>
      <c r="P284" s="40"/>
      <c r="Q284" s="40"/>
      <c r="R284" s="40"/>
      <c r="S284" s="40">
        <f t="shared" ref="S284:T284" si="1398">(B283+B284)/2</f>
        <v>81.864999999999995</v>
      </c>
      <c r="T284" s="40">
        <f t="shared" si="1398"/>
        <v>70.775000000000006</v>
      </c>
      <c r="U284" s="40">
        <f t="shared" si="1283"/>
        <v>58.53</v>
      </c>
      <c r="V284" s="40">
        <f t="shared" ref="V284:W284" si="1399">(E283+E284)/2</f>
        <v>37.655000000000001</v>
      </c>
      <c r="W284" s="40">
        <f t="shared" si="1399"/>
        <v>29.05</v>
      </c>
      <c r="X284" s="41">
        <f t="shared" ref="X284:AB284" si="1400">(SUM(B281:B284))/4</f>
        <v>84.037499999999994</v>
      </c>
      <c r="Y284" s="40">
        <f t="shared" si="1400"/>
        <v>71.905000000000001</v>
      </c>
      <c r="Z284" s="40">
        <f t="shared" si="1400"/>
        <v>59.964999999999996</v>
      </c>
      <c r="AA284" s="40">
        <f t="shared" si="1400"/>
        <v>39.195</v>
      </c>
      <c r="AB284" s="47">
        <f t="shared" si="1400"/>
        <v>29.817500000000003</v>
      </c>
      <c r="AC284" s="42">
        <f t="shared" ref="AC284:AF284" si="1401">(B284+C284)/2</f>
        <v>75.534999999999997</v>
      </c>
      <c r="AD284" s="42">
        <f t="shared" si="1401"/>
        <v>64.13</v>
      </c>
      <c r="AE284" s="42">
        <f t="shared" si="1401"/>
        <v>47.605000000000004</v>
      </c>
      <c r="AF284" s="42">
        <f t="shared" si="1401"/>
        <v>32.980000000000004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8"/>
      <c r="BK284" s="8"/>
      <c r="BL284" s="8"/>
      <c r="BM284" s="8"/>
    </row>
    <row r="285" spans="1:65" ht="15.75" hidden="1" customHeight="1" x14ac:dyDescent="0.45">
      <c r="A285" s="50">
        <f t="shared" si="1280"/>
        <v>42874</v>
      </c>
      <c r="B285" s="51">
        <v>77.84</v>
      </c>
      <c r="C285" s="51">
        <v>68.010000000000005</v>
      </c>
      <c r="D285" s="51">
        <v>55.51</v>
      </c>
      <c r="E285" s="51">
        <v>36.200000000000003</v>
      </c>
      <c r="F285" s="51">
        <v>26.94</v>
      </c>
      <c r="G285" s="52">
        <v>73.45</v>
      </c>
      <c r="H285" s="37">
        <f t="shared" ref="H285:L285" si="1402">B285-B284</f>
        <v>-2.9799999999999898</v>
      </c>
      <c r="I285" s="38">
        <f t="shared" si="1402"/>
        <v>-2.2399999999999949</v>
      </c>
      <c r="J285" s="38">
        <f t="shared" si="1402"/>
        <v>-2.5</v>
      </c>
      <c r="K285" s="38">
        <f t="shared" si="1402"/>
        <v>-1</v>
      </c>
      <c r="L285" s="39">
        <f t="shared" si="1402"/>
        <v>-1.8200000000000003</v>
      </c>
      <c r="M285" s="38"/>
      <c r="N285" s="40"/>
      <c r="O285" s="40"/>
      <c r="P285" s="40"/>
      <c r="Q285" s="40"/>
      <c r="R285" s="40"/>
      <c r="S285" s="40">
        <f t="shared" ref="S285:T285" si="1403">(B284+B285)/2</f>
        <v>79.33</v>
      </c>
      <c r="T285" s="40">
        <f t="shared" si="1403"/>
        <v>69.13</v>
      </c>
      <c r="U285" s="40">
        <f t="shared" si="1283"/>
        <v>56.76</v>
      </c>
      <c r="V285" s="40">
        <f t="shared" ref="V285:W285" si="1404">(E284+E285)/2</f>
        <v>36.700000000000003</v>
      </c>
      <c r="W285" s="40">
        <f t="shared" si="1404"/>
        <v>27.85</v>
      </c>
      <c r="X285" s="41">
        <f t="shared" ref="X285:AB285" si="1405">(SUM(B282:B285))/4</f>
        <v>81.5625</v>
      </c>
      <c r="Y285" s="40">
        <f t="shared" si="1405"/>
        <v>70.44</v>
      </c>
      <c r="Z285" s="40">
        <f t="shared" si="1405"/>
        <v>58.307499999999997</v>
      </c>
      <c r="AA285" s="40">
        <f t="shared" si="1405"/>
        <v>37.697500000000005</v>
      </c>
      <c r="AB285" s="47">
        <f t="shared" si="1405"/>
        <v>28.81</v>
      </c>
      <c r="AC285" s="42">
        <f t="shared" ref="AC285:AF285" si="1406">(B285+C285)/2</f>
        <v>72.925000000000011</v>
      </c>
      <c r="AD285" s="42">
        <f t="shared" si="1406"/>
        <v>61.760000000000005</v>
      </c>
      <c r="AE285" s="42">
        <f t="shared" si="1406"/>
        <v>45.855000000000004</v>
      </c>
      <c r="AF285" s="42">
        <f t="shared" si="1406"/>
        <v>31.57</v>
      </c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8"/>
      <c r="BK285" s="8"/>
      <c r="BL285" s="8"/>
      <c r="BM285" s="8"/>
    </row>
    <row r="286" spans="1:65" ht="15.75" hidden="1" customHeight="1" x14ac:dyDescent="0.45">
      <c r="A286" s="50">
        <f t="shared" si="1280"/>
        <v>42881</v>
      </c>
      <c r="B286" s="51">
        <v>76.8</v>
      </c>
      <c r="C286" s="51">
        <v>67.52</v>
      </c>
      <c r="D286" s="51">
        <v>54.42</v>
      </c>
      <c r="E286" s="51">
        <v>36.700000000000003</v>
      </c>
      <c r="F286" s="51">
        <v>26.69</v>
      </c>
      <c r="G286" s="52">
        <v>73.66</v>
      </c>
      <c r="H286" s="37">
        <f t="shared" ref="H286:L286" si="1407">B286-B285</f>
        <v>-1.0400000000000063</v>
      </c>
      <c r="I286" s="38">
        <f t="shared" si="1407"/>
        <v>-0.49000000000000909</v>
      </c>
      <c r="J286" s="38">
        <f t="shared" si="1407"/>
        <v>-1.0899999999999963</v>
      </c>
      <c r="K286" s="38">
        <f t="shared" si="1407"/>
        <v>0.5</v>
      </c>
      <c r="L286" s="39">
        <f t="shared" si="1407"/>
        <v>-0.25</v>
      </c>
      <c r="M286" s="38"/>
      <c r="N286" s="40"/>
      <c r="O286" s="40"/>
      <c r="P286" s="40"/>
      <c r="Q286" s="40"/>
      <c r="R286" s="40"/>
      <c r="S286" s="40">
        <f t="shared" ref="S286:T286" si="1408">(B285+B286)/2</f>
        <v>77.319999999999993</v>
      </c>
      <c r="T286" s="40">
        <f t="shared" si="1408"/>
        <v>67.765000000000001</v>
      </c>
      <c r="U286" s="40">
        <f t="shared" si="1283"/>
        <v>54.965000000000003</v>
      </c>
      <c r="V286" s="40">
        <f t="shared" ref="V286:W286" si="1409">(E285+E286)/2</f>
        <v>36.450000000000003</v>
      </c>
      <c r="W286" s="40">
        <f t="shared" si="1409"/>
        <v>26.815000000000001</v>
      </c>
      <c r="X286" s="41">
        <f t="shared" ref="X286:AB286" si="1410">(SUM(B283:B286))/4</f>
        <v>79.592500000000001</v>
      </c>
      <c r="Y286" s="40">
        <f t="shared" si="1410"/>
        <v>69.27</v>
      </c>
      <c r="Z286" s="40">
        <f t="shared" si="1410"/>
        <v>56.747500000000002</v>
      </c>
      <c r="AA286" s="40">
        <f t="shared" si="1410"/>
        <v>37.052500000000002</v>
      </c>
      <c r="AB286" s="47">
        <f t="shared" si="1410"/>
        <v>27.932500000000001</v>
      </c>
      <c r="AC286" s="42">
        <f t="shared" ref="AC286:AF286" si="1411">(B286+C286)/2</f>
        <v>72.16</v>
      </c>
      <c r="AD286" s="42">
        <f t="shared" si="1411"/>
        <v>60.97</v>
      </c>
      <c r="AE286" s="42">
        <f t="shared" si="1411"/>
        <v>45.56</v>
      </c>
      <c r="AF286" s="42">
        <f t="shared" si="1411"/>
        <v>31.695</v>
      </c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8"/>
      <c r="BK286" s="8"/>
      <c r="BL286" s="8"/>
      <c r="BM286" s="8"/>
    </row>
    <row r="287" spans="1:65" ht="15.75" hidden="1" customHeight="1" x14ac:dyDescent="0.45">
      <c r="A287" s="50">
        <f t="shared" si="1280"/>
        <v>42888</v>
      </c>
      <c r="B287" s="51">
        <v>76.41</v>
      </c>
      <c r="C287" s="51">
        <v>67.209999999999994</v>
      </c>
      <c r="D287" s="51">
        <v>53.26</v>
      </c>
      <c r="E287" s="51">
        <v>37.299999999999997</v>
      </c>
      <c r="F287" s="51">
        <v>26.66</v>
      </c>
      <c r="G287" s="52">
        <v>74.36</v>
      </c>
      <c r="H287" s="37">
        <f t="shared" ref="H287:L287" si="1412">B287-B286</f>
        <v>-0.39000000000000057</v>
      </c>
      <c r="I287" s="38">
        <f t="shared" si="1412"/>
        <v>-0.31000000000000227</v>
      </c>
      <c r="J287" s="38">
        <f t="shared" si="1412"/>
        <v>-1.1600000000000037</v>
      </c>
      <c r="K287" s="38">
        <f t="shared" si="1412"/>
        <v>0.59999999999999432</v>
      </c>
      <c r="L287" s="39">
        <f t="shared" si="1412"/>
        <v>-3.0000000000001137E-2</v>
      </c>
      <c r="M287" s="38"/>
      <c r="N287" s="40"/>
      <c r="O287" s="40"/>
      <c r="P287" s="40"/>
      <c r="Q287" s="40"/>
      <c r="R287" s="40"/>
      <c r="S287" s="40">
        <f t="shared" ref="S287:T287" si="1413">(B286+B287)/2</f>
        <v>76.60499999999999</v>
      </c>
      <c r="T287" s="40">
        <f t="shared" si="1413"/>
        <v>67.364999999999995</v>
      </c>
      <c r="U287" s="40">
        <f t="shared" si="1283"/>
        <v>53.84</v>
      </c>
      <c r="V287" s="40">
        <f t="shared" ref="V287:W287" si="1414">(E286+E287)/2</f>
        <v>37</v>
      </c>
      <c r="W287" s="40">
        <f t="shared" si="1414"/>
        <v>26.675000000000001</v>
      </c>
      <c r="X287" s="41">
        <f t="shared" ref="X287:AB287" si="1415">(SUM(B284:B287))/4</f>
        <v>77.967500000000001</v>
      </c>
      <c r="Y287" s="40">
        <f t="shared" si="1415"/>
        <v>68.247499999999988</v>
      </c>
      <c r="Z287" s="40">
        <f t="shared" si="1415"/>
        <v>55.3</v>
      </c>
      <c r="AA287" s="40">
        <f t="shared" si="1415"/>
        <v>36.85</v>
      </c>
      <c r="AB287" s="47">
        <f t="shared" si="1415"/>
        <v>27.262499999999999</v>
      </c>
      <c r="AC287" s="42">
        <f t="shared" ref="AC287:AF287" si="1416">(B287+C287)/2</f>
        <v>71.81</v>
      </c>
      <c r="AD287" s="42">
        <f t="shared" si="1416"/>
        <v>60.234999999999999</v>
      </c>
      <c r="AE287" s="42">
        <f t="shared" si="1416"/>
        <v>45.28</v>
      </c>
      <c r="AF287" s="42">
        <f t="shared" si="1416"/>
        <v>31.979999999999997</v>
      </c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8"/>
      <c r="BK287" s="8"/>
      <c r="BL287" s="8"/>
      <c r="BM287" s="8"/>
    </row>
    <row r="288" spans="1:65" ht="15.75" hidden="1" customHeight="1" x14ac:dyDescent="0.45">
      <c r="A288" s="50">
        <f t="shared" si="1280"/>
        <v>42895</v>
      </c>
      <c r="B288" s="51">
        <v>79.33</v>
      </c>
      <c r="C288" s="51">
        <v>68.62</v>
      </c>
      <c r="D288" s="51">
        <v>53.86</v>
      </c>
      <c r="E288" s="51">
        <v>39.11</v>
      </c>
      <c r="F288" s="51">
        <v>27.9</v>
      </c>
      <c r="G288" s="52">
        <v>80.790000000000006</v>
      </c>
      <c r="H288" s="37">
        <f t="shared" ref="H288:L288" si="1417">B288-B287</f>
        <v>2.9200000000000017</v>
      </c>
      <c r="I288" s="38">
        <f t="shared" si="1417"/>
        <v>1.4100000000000108</v>
      </c>
      <c r="J288" s="38">
        <f t="shared" si="1417"/>
        <v>0.60000000000000142</v>
      </c>
      <c r="K288" s="38">
        <f t="shared" si="1417"/>
        <v>1.8100000000000023</v>
      </c>
      <c r="L288" s="39">
        <f t="shared" si="1417"/>
        <v>1.2399999999999984</v>
      </c>
      <c r="M288" s="38"/>
      <c r="N288" s="40"/>
      <c r="O288" s="40"/>
      <c r="P288" s="40"/>
      <c r="Q288" s="40"/>
      <c r="R288" s="40"/>
      <c r="S288" s="40">
        <f t="shared" ref="S288:T288" si="1418">(B287+B288)/2</f>
        <v>77.87</v>
      </c>
      <c r="T288" s="40">
        <f t="shared" si="1418"/>
        <v>67.914999999999992</v>
      </c>
      <c r="U288" s="40">
        <f t="shared" si="1283"/>
        <v>53.56</v>
      </c>
      <c r="V288" s="40">
        <f t="shared" ref="V288:W288" si="1419">(E287+E288)/2</f>
        <v>38.204999999999998</v>
      </c>
      <c r="W288" s="40">
        <f t="shared" si="1419"/>
        <v>27.28</v>
      </c>
      <c r="X288" s="41">
        <f t="shared" ref="X288:AB288" si="1420">(SUM(B285:B288))/4</f>
        <v>77.594999999999999</v>
      </c>
      <c r="Y288" s="40">
        <f t="shared" si="1420"/>
        <v>67.84</v>
      </c>
      <c r="Z288" s="40">
        <f t="shared" si="1420"/>
        <v>54.262500000000003</v>
      </c>
      <c r="AA288" s="40">
        <f t="shared" si="1420"/>
        <v>37.327500000000001</v>
      </c>
      <c r="AB288" s="47">
        <f t="shared" si="1420"/>
        <v>27.047499999999999</v>
      </c>
      <c r="AC288" s="42">
        <f t="shared" ref="AC288:AF288" si="1421">(B288+C288)/2</f>
        <v>73.974999999999994</v>
      </c>
      <c r="AD288" s="42">
        <f t="shared" si="1421"/>
        <v>61.24</v>
      </c>
      <c r="AE288" s="42">
        <f t="shared" si="1421"/>
        <v>46.484999999999999</v>
      </c>
      <c r="AF288" s="42">
        <f t="shared" si="1421"/>
        <v>33.504999999999995</v>
      </c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8"/>
      <c r="BK288" s="8"/>
      <c r="BL288" s="8"/>
      <c r="BM288" s="8"/>
    </row>
    <row r="289" spans="1:65" ht="15.75" hidden="1" customHeight="1" x14ac:dyDescent="0.45">
      <c r="A289" s="50">
        <f t="shared" si="1280"/>
        <v>42902</v>
      </c>
      <c r="B289" s="51">
        <v>81.760000000000005</v>
      </c>
      <c r="C289" s="51">
        <v>70.67</v>
      </c>
      <c r="D289" s="51">
        <v>56.72</v>
      </c>
      <c r="E289" s="51">
        <v>41.59</v>
      </c>
      <c r="F289" s="51">
        <v>29.08</v>
      </c>
      <c r="G289" s="52">
        <v>83.66</v>
      </c>
      <c r="H289" s="37">
        <f t="shared" ref="H289:L289" si="1422">B289-B288</f>
        <v>2.4300000000000068</v>
      </c>
      <c r="I289" s="38">
        <f t="shared" si="1422"/>
        <v>2.0499999999999972</v>
      </c>
      <c r="J289" s="38">
        <f t="shared" si="1422"/>
        <v>2.8599999999999994</v>
      </c>
      <c r="K289" s="38">
        <f t="shared" si="1422"/>
        <v>2.480000000000004</v>
      </c>
      <c r="L289" s="39">
        <f t="shared" si="1422"/>
        <v>1.1799999999999997</v>
      </c>
      <c r="M289" s="38"/>
      <c r="N289" s="40"/>
      <c r="O289" s="40"/>
      <c r="P289" s="40"/>
      <c r="Q289" s="40"/>
      <c r="R289" s="40"/>
      <c r="S289" s="40">
        <f t="shared" ref="S289:T289" si="1423">(B288+B289)/2</f>
        <v>80.545000000000002</v>
      </c>
      <c r="T289" s="40">
        <f t="shared" si="1423"/>
        <v>69.64500000000001</v>
      </c>
      <c r="U289" s="40">
        <f t="shared" si="1283"/>
        <v>55.29</v>
      </c>
      <c r="V289" s="40">
        <f t="shared" ref="V289:W289" si="1424">(E288+E289)/2</f>
        <v>40.35</v>
      </c>
      <c r="W289" s="40">
        <f t="shared" si="1424"/>
        <v>28.49</v>
      </c>
      <c r="X289" s="41">
        <f t="shared" ref="X289:AB289" si="1425">(SUM(B286:B289))/4</f>
        <v>78.574999999999989</v>
      </c>
      <c r="Y289" s="40">
        <f t="shared" si="1425"/>
        <v>68.504999999999995</v>
      </c>
      <c r="Z289" s="40">
        <f t="shared" si="1425"/>
        <v>54.565000000000005</v>
      </c>
      <c r="AA289" s="40">
        <f t="shared" si="1425"/>
        <v>38.674999999999997</v>
      </c>
      <c r="AB289" s="47">
        <f t="shared" si="1425"/>
        <v>27.5825</v>
      </c>
      <c r="AC289" s="42">
        <f t="shared" ref="AC289:AF289" si="1426">(B289+C289)/2</f>
        <v>76.215000000000003</v>
      </c>
      <c r="AD289" s="42">
        <f t="shared" si="1426"/>
        <v>63.695</v>
      </c>
      <c r="AE289" s="42">
        <f t="shared" si="1426"/>
        <v>49.155000000000001</v>
      </c>
      <c r="AF289" s="42">
        <f t="shared" si="1426"/>
        <v>35.335000000000001</v>
      </c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8"/>
      <c r="BK289" s="8"/>
      <c r="BL289" s="8"/>
      <c r="BM289" s="8"/>
    </row>
    <row r="290" spans="1:65" ht="15.75" hidden="1" customHeight="1" x14ac:dyDescent="0.45">
      <c r="A290" s="50">
        <f t="shared" si="1280"/>
        <v>42909</v>
      </c>
      <c r="B290" s="51">
        <v>82.4</v>
      </c>
      <c r="C290" s="51">
        <v>72.05</v>
      </c>
      <c r="D290" s="51">
        <v>57.85</v>
      </c>
      <c r="E290" s="51">
        <v>42.04</v>
      </c>
      <c r="F290" s="51">
        <v>29.48</v>
      </c>
      <c r="G290" s="52">
        <v>84.18</v>
      </c>
      <c r="H290" s="37">
        <f t="shared" ref="H290:L290" si="1427">B290-B289</f>
        <v>0.64000000000000057</v>
      </c>
      <c r="I290" s="38">
        <f t="shared" si="1427"/>
        <v>1.3799999999999955</v>
      </c>
      <c r="J290" s="38">
        <f t="shared" si="1427"/>
        <v>1.1300000000000026</v>
      </c>
      <c r="K290" s="38">
        <f t="shared" si="1427"/>
        <v>0.44999999999999574</v>
      </c>
      <c r="L290" s="39">
        <f t="shared" si="1427"/>
        <v>0.40000000000000213</v>
      </c>
      <c r="M290" s="38"/>
      <c r="N290" s="40"/>
      <c r="O290" s="40"/>
      <c r="P290" s="40"/>
      <c r="Q290" s="40"/>
      <c r="R290" s="40"/>
      <c r="S290" s="40">
        <f t="shared" ref="S290:T290" si="1428">(B289+B290)/2</f>
        <v>82.080000000000013</v>
      </c>
      <c r="T290" s="40">
        <f t="shared" si="1428"/>
        <v>71.36</v>
      </c>
      <c r="U290" s="40">
        <f t="shared" si="1283"/>
        <v>57.284999999999997</v>
      </c>
      <c r="V290" s="40">
        <f t="shared" ref="V290:W290" si="1429">(E289+E290)/2</f>
        <v>41.814999999999998</v>
      </c>
      <c r="W290" s="40">
        <f t="shared" si="1429"/>
        <v>29.28</v>
      </c>
      <c r="X290" s="41">
        <f t="shared" ref="X290:AB290" si="1430">(SUM(B287:B290))/4</f>
        <v>79.974999999999994</v>
      </c>
      <c r="Y290" s="40">
        <f t="shared" si="1430"/>
        <v>69.637500000000003</v>
      </c>
      <c r="Z290" s="40">
        <f t="shared" si="1430"/>
        <v>55.422499999999999</v>
      </c>
      <c r="AA290" s="40">
        <f t="shared" si="1430"/>
        <v>40.01</v>
      </c>
      <c r="AB290" s="47">
        <f t="shared" si="1430"/>
        <v>28.28</v>
      </c>
      <c r="AC290" s="42">
        <f t="shared" ref="AC290:AF290" si="1431">(B290+C290)/2</f>
        <v>77.224999999999994</v>
      </c>
      <c r="AD290" s="42">
        <f t="shared" si="1431"/>
        <v>64.95</v>
      </c>
      <c r="AE290" s="42">
        <f t="shared" si="1431"/>
        <v>49.945</v>
      </c>
      <c r="AF290" s="42">
        <f t="shared" si="1431"/>
        <v>35.76</v>
      </c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8"/>
      <c r="BK290" s="8"/>
      <c r="BL290" s="8"/>
      <c r="BM290" s="8"/>
    </row>
    <row r="291" spans="1:65" ht="15.75" hidden="1" customHeight="1" x14ac:dyDescent="0.45">
      <c r="A291" s="50">
        <f t="shared" si="1280"/>
        <v>42916</v>
      </c>
      <c r="B291" s="51">
        <v>81.650000000000006</v>
      </c>
      <c r="C291" s="51">
        <v>71.930000000000007</v>
      </c>
      <c r="D291" s="51">
        <v>57.33</v>
      </c>
      <c r="E291" s="51">
        <v>41.65</v>
      </c>
      <c r="F291" s="51">
        <v>29.21</v>
      </c>
      <c r="G291" s="52">
        <v>82.46</v>
      </c>
      <c r="H291" s="37">
        <f t="shared" ref="H291:L291" si="1432">B291-B290</f>
        <v>-0.75</v>
      </c>
      <c r="I291" s="38">
        <f t="shared" si="1432"/>
        <v>-0.11999999999999034</v>
      </c>
      <c r="J291" s="38">
        <f t="shared" si="1432"/>
        <v>-0.52000000000000313</v>
      </c>
      <c r="K291" s="38">
        <f t="shared" si="1432"/>
        <v>-0.39000000000000057</v>
      </c>
      <c r="L291" s="39">
        <f t="shared" si="1432"/>
        <v>-0.26999999999999957</v>
      </c>
      <c r="M291" s="38"/>
      <c r="N291" s="40"/>
      <c r="O291" s="40"/>
      <c r="P291" s="40"/>
      <c r="Q291" s="40"/>
      <c r="R291" s="40"/>
      <c r="S291" s="40">
        <f t="shared" ref="S291:T291" si="1433">(B290+B291)/2</f>
        <v>82.025000000000006</v>
      </c>
      <c r="T291" s="40">
        <f t="shared" si="1433"/>
        <v>71.990000000000009</v>
      </c>
      <c r="U291" s="40">
        <f t="shared" si="1283"/>
        <v>57.59</v>
      </c>
      <c r="V291" s="40">
        <f t="shared" ref="V291:W291" si="1434">(E290+E291)/2</f>
        <v>41.844999999999999</v>
      </c>
      <c r="W291" s="40">
        <f t="shared" si="1434"/>
        <v>29.344999999999999</v>
      </c>
      <c r="X291" s="41">
        <f t="shared" ref="X291:AB291" si="1435">(SUM(B288:B291))/4</f>
        <v>81.284999999999997</v>
      </c>
      <c r="Y291" s="40">
        <f t="shared" si="1435"/>
        <v>70.81750000000001</v>
      </c>
      <c r="Z291" s="40">
        <f t="shared" si="1435"/>
        <v>56.44</v>
      </c>
      <c r="AA291" s="40">
        <f t="shared" si="1435"/>
        <v>41.097500000000004</v>
      </c>
      <c r="AB291" s="47">
        <f t="shared" si="1435"/>
        <v>28.917499999999997</v>
      </c>
      <c r="AC291" s="42">
        <f t="shared" ref="AC291:AF291" si="1436">(B291+C291)/2</f>
        <v>76.790000000000006</v>
      </c>
      <c r="AD291" s="42">
        <f t="shared" si="1436"/>
        <v>64.63</v>
      </c>
      <c r="AE291" s="42">
        <f t="shared" si="1436"/>
        <v>49.489999999999995</v>
      </c>
      <c r="AF291" s="42">
        <f t="shared" si="1436"/>
        <v>35.43</v>
      </c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8"/>
      <c r="BK291" s="8"/>
      <c r="BL291" s="8"/>
      <c r="BM291" s="8"/>
    </row>
    <row r="292" spans="1:65" ht="15.75" hidden="1" customHeight="1" x14ac:dyDescent="0.45">
      <c r="A292" s="50">
        <f t="shared" si="1280"/>
        <v>42923</v>
      </c>
      <c r="B292" s="51">
        <v>80.959999999999994</v>
      </c>
      <c r="C292" s="51">
        <v>71.34</v>
      </c>
      <c r="D292" s="51">
        <v>55.89</v>
      </c>
      <c r="E292" s="51">
        <v>40.909999999999997</v>
      </c>
      <c r="F292" s="51">
        <v>28.55</v>
      </c>
      <c r="G292" s="52">
        <v>82.62</v>
      </c>
      <c r="H292" s="37">
        <f t="shared" ref="H292:L292" si="1437">B292-B291</f>
        <v>-0.69000000000001194</v>
      </c>
      <c r="I292" s="38">
        <f t="shared" si="1437"/>
        <v>-0.59000000000000341</v>
      </c>
      <c r="J292" s="38">
        <f t="shared" si="1437"/>
        <v>-1.4399999999999977</v>
      </c>
      <c r="K292" s="38">
        <f t="shared" si="1437"/>
        <v>-0.74000000000000199</v>
      </c>
      <c r="L292" s="39">
        <f t="shared" si="1437"/>
        <v>-0.66000000000000014</v>
      </c>
      <c r="M292" s="38"/>
      <c r="N292" s="40"/>
      <c r="O292" s="40"/>
      <c r="P292" s="40"/>
      <c r="Q292" s="40"/>
      <c r="R292" s="40"/>
      <c r="S292" s="40">
        <f t="shared" ref="S292:T292" si="1438">(B291+B292)/2</f>
        <v>81.305000000000007</v>
      </c>
      <c r="T292" s="40">
        <f t="shared" si="1438"/>
        <v>71.635000000000005</v>
      </c>
      <c r="U292" s="40">
        <f t="shared" si="1283"/>
        <v>56.61</v>
      </c>
      <c r="V292" s="40">
        <f t="shared" ref="V292:W292" si="1439">(E291+E292)/2</f>
        <v>41.28</v>
      </c>
      <c r="W292" s="40">
        <f t="shared" si="1439"/>
        <v>28.880000000000003</v>
      </c>
      <c r="X292" s="41">
        <f t="shared" ref="X292:AB292" si="1440">(SUM(B289:B292))/4</f>
        <v>81.69250000000001</v>
      </c>
      <c r="Y292" s="40">
        <f t="shared" si="1440"/>
        <v>71.497500000000002</v>
      </c>
      <c r="Z292" s="40">
        <f t="shared" si="1440"/>
        <v>56.947499999999991</v>
      </c>
      <c r="AA292" s="40">
        <f t="shared" si="1440"/>
        <v>41.547499999999999</v>
      </c>
      <c r="AB292" s="47">
        <f t="shared" si="1440"/>
        <v>29.080000000000002</v>
      </c>
      <c r="AC292" s="42">
        <f t="shared" ref="AC292:AF292" si="1441">(B292+C292)/2</f>
        <v>76.150000000000006</v>
      </c>
      <c r="AD292" s="42">
        <f t="shared" si="1441"/>
        <v>63.615000000000002</v>
      </c>
      <c r="AE292" s="42">
        <f t="shared" si="1441"/>
        <v>48.4</v>
      </c>
      <c r="AF292" s="42">
        <f t="shared" si="1441"/>
        <v>34.729999999999997</v>
      </c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8"/>
      <c r="BK292" s="8"/>
      <c r="BL292" s="8"/>
      <c r="BM292" s="8"/>
    </row>
    <row r="293" spans="1:65" ht="15.75" hidden="1" customHeight="1" x14ac:dyDescent="0.45">
      <c r="A293" s="50">
        <f t="shared" si="1280"/>
        <v>42930</v>
      </c>
      <c r="B293" s="51">
        <v>82.71</v>
      </c>
      <c r="C293" s="51">
        <v>71.92</v>
      </c>
      <c r="D293" s="51">
        <v>57.05</v>
      </c>
      <c r="E293" s="51">
        <v>40.799999999999997</v>
      </c>
      <c r="F293" s="51">
        <v>29.2</v>
      </c>
      <c r="G293" s="52">
        <v>84.03</v>
      </c>
      <c r="H293" s="37">
        <f t="shared" ref="H293:L293" si="1442">B293-B292</f>
        <v>1.75</v>
      </c>
      <c r="I293" s="38">
        <f t="shared" si="1442"/>
        <v>0.57999999999999829</v>
      </c>
      <c r="J293" s="38">
        <f t="shared" si="1442"/>
        <v>1.1599999999999966</v>
      </c>
      <c r="K293" s="38">
        <f t="shared" si="1442"/>
        <v>-0.10999999999999943</v>
      </c>
      <c r="L293" s="39">
        <f t="shared" si="1442"/>
        <v>0.64999999999999858</v>
      </c>
      <c r="M293" s="38"/>
      <c r="N293" s="40"/>
      <c r="O293" s="40"/>
      <c r="P293" s="40"/>
      <c r="Q293" s="40"/>
      <c r="R293" s="40"/>
      <c r="S293" s="40">
        <f t="shared" ref="S293:T293" si="1443">(B292+B293)/2</f>
        <v>81.834999999999994</v>
      </c>
      <c r="T293" s="40">
        <f t="shared" si="1443"/>
        <v>71.63</v>
      </c>
      <c r="U293" s="40">
        <f t="shared" si="1283"/>
        <v>56.47</v>
      </c>
      <c r="V293" s="40">
        <f t="shared" ref="V293:W293" si="1444">(E292+E293)/2</f>
        <v>40.854999999999997</v>
      </c>
      <c r="W293" s="40">
        <f t="shared" si="1444"/>
        <v>28.875</v>
      </c>
      <c r="X293" s="41">
        <f t="shared" ref="X293:AB293" si="1445">(SUM(B290:B293))/4</f>
        <v>81.929999999999993</v>
      </c>
      <c r="Y293" s="40">
        <f t="shared" si="1445"/>
        <v>71.81</v>
      </c>
      <c r="Z293" s="40">
        <f t="shared" si="1445"/>
        <v>57.03</v>
      </c>
      <c r="AA293" s="40">
        <f t="shared" si="1445"/>
        <v>41.349999999999994</v>
      </c>
      <c r="AB293" s="47">
        <f t="shared" si="1445"/>
        <v>29.11</v>
      </c>
      <c r="AC293" s="42">
        <f t="shared" ref="AC293:AF293" si="1446">(B293+C293)/2</f>
        <v>77.314999999999998</v>
      </c>
      <c r="AD293" s="42">
        <f t="shared" si="1446"/>
        <v>64.484999999999999</v>
      </c>
      <c r="AE293" s="42">
        <f t="shared" si="1446"/>
        <v>48.924999999999997</v>
      </c>
      <c r="AF293" s="42">
        <f t="shared" si="1446"/>
        <v>35</v>
      </c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8"/>
      <c r="BK293" s="8"/>
      <c r="BL293" s="8"/>
      <c r="BM293" s="8"/>
    </row>
    <row r="294" spans="1:65" ht="15.75" hidden="1" customHeight="1" x14ac:dyDescent="0.45">
      <c r="A294" s="50">
        <f t="shared" si="1280"/>
        <v>42937</v>
      </c>
      <c r="B294" s="51">
        <v>88.68</v>
      </c>
      <c r="C294" s="51">
        <v>74</v>
      </c>
      <c r="D294" s="51">
        <v>58.43</v>
      </c>
      <c r="E294" s="51">
        <v>41.85</v>
      </c>
      <c r="F294" s="51">
        <v>28.66</v>
      </c>
      <c r="G294" s="52">
        <v>91.04</v>
      </c>
      <c r="H294" s="37">
        <f t="shared" ref="H294:L294" si="1447">B294-B293</f>
        <v>5.9700000000000131</v>
      </c>
      <c r="I294" s="38">
        <f t="shared" si="1447"/>
        <v>2.0799999999999983</v>
      </c>
      <c r="J294" s="38">
        <f t="shared" si="1447"/>
        <v>1.3800000000000026</v>
      </c>
      <c r="K294" s="38">
        <f t="shared" si="1447"/>
        <v>1.0500000000000043</v>
      </c>
      <c r="L294" s="39">
        <f t="shared" si="1447"/>
        <v>-0.53999999999999915</v>
      </c>
      <c r="M294" s="38"/>
      <c r="N294" s="40"/>
      <c r="O294" s="40"/>
      <c r="P294" s="40"/>
      <c r="Q294" s="40"/>
      <c r="R294" s="40"/>
      <c r="S294" s="40">
        <f t="shared" ref="S294:T294" si="1448">(B293+B294)/2</f>
        <v>85.694999999999993</v>
      </c>
      <c r="T294" s="40">
        <f t="shared" si="1448"/>
        <v>72.960000000000008</v>
      </c>
      <c r="U294" s="40">
        <f t="shared" si="1283"/>
        <v>57.739999999999995</v>
      </c>
      <c r="V294" s="40">
        <f t="shared" ref="V294:W294" si="1449">(E293+E294)/2</f>
        <v>41.325000000000003</v>
      </c>
      <c r="W294" s="40">
        <f t="shared" si="1449"/>
        <v>28.93</v>
      </c>
      <c r="X294" s="41">
        <f t="shared" ref="X294:AB294" si="1450">(SUM(B291:B294))/4</f>
        <v>83.5</v>
      </c>
      <c r="Y294" s="40">
        <f t="shared" si="1450"/>
        <v>72.297499999999999</v>
      </c>
      <c r="Z294" s="40">
        <f t="shared" si="1450"/>
        <v>57.174999999999997</v>
      </c>
      <c r="AA294" s="40">
        <f t="shared" si="1450"/>
        <v>41.302500000000002</v>
      </c>
      <c r="AB294" s="47">
        <f t="shared" si="1450"/>
        <v>28.905000000000001</v>
      </c>
      <c r="AC294" s="42">
        <f t="shared" ref="AC294:AF294" si="1451">(B294+C294)/2</f>
        <v>81.34</v>
      </c>
      <c r="AD294" s="42">
        <f t="shared" si="1451"/>
        <v>66.215000000000003</v>
      </c>
      <c r="AE294" s="42">
        <f t="shared" si="1451"/>
        <v>50.14</v>
      </c>
      <c r="AF294" s="42">
        <f t="shared" si="1451"/>
        <v>35.255000000000003</v>
      </c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8"/>
      <c r="BK294" s="8"/>
      <c r="BL294" s="8"/>
      <c r="BM294" s="8"/>
    </row>
    <row r="295" spans="1:65" ht="15.75" hidden="1" customHeight="1" x14ac:dyDescent="0.45">
      <c r="A295" s="50">
        <f t="shared" si="1280"/>
        <v>42944</v>
      </c>
      <c r="B295" s="51">
        <v>88.61</v>
      </c>
      <c r="C295" s="51">
        <v>74.37</v>
      </c>
      <c r="D295" s="51">
        <v>59.51</v>
      </c>
      <c r="E295" s="51">
        <v>42.28</v>
      </c>
      <c r="F295" s="51">
        <v>28.17</v>
      </c>
      <c r="G295" s="52">
        <v>92.28</v>
      </c>
      <c r="H295" s="37">
        <f t="shared" ref="H295:L295" si="1452">B295-B294</f>
        <v>-7.000000000000739E-2</v>
      </c>
      <c r="I295" s="38">
        <f t="shared" si="1452"/>
        <v>0.37000000000000455</v>
      </c>
      <c r="J295" s="38">
        <f t="shared" si="1452"/>
        <v>1.0799999999999983</v>
      </c>
      <c r="K295" s="38">
        <f t="shared" si="1452"/>
        <v>0.42999999999999972</v>
      </c>
      <c r="L295" s="39">
        <f t="shared" si="1452"/>
        <v>-0.48999999999999844</v>
      </c>
      <c r="M295" s="38"/>
      <c r="N295" s="40"/>
      <c r="O295" s="40"/>
      <c r="P295" s="40"/>
      <c r="Q295" s="40"/>
      <c r="R295" s="40"/>
      <c r="S295" s="40">
        <f t="shared" ref="S295:T295" si="1453">(B294+B295)/2</f>
        <v>88.64500000000001</v>
      </c>
      <c r="T295" s="40">
        <f t="shared" si="1453"/>
        <v>74.185000000000002</v>
      </c>
      <c r="U295" s="40">
        <f t="shared" si="1283"/>
        <v>58.97</v>
      </c>
      <c r="V295" s="40">
        <f t="shared" ref="V295:W295" si="1454">(E294+E295)/2</f>
        <v>42.064999999999998</v>
      </c>
      <c r="W295" s="40">
        <f t="shared" si="1454"/>
        <v>28.414999999999999</v>
      </c>
      <c r="X295" s="41">
        <f t="shared" ref="X295:AB295" si="1455">(SUM(B292:B295))/4</f>
        <v>85.24</v>
      </c>
      <c r="Y295" s="40">
        <f t="shared" si="1455"/>
        <v>72.907499999999999</v>
      </c>
      <c r="Z295" s="40">
        <f t="shared" si="1455"/>
        <v>57.72</v>
      </c>
      <c r="AA295" s="40">
        <f t="shared" si="1455"/>
        <v>41.46</v>
      </c>
      <c r="AB295" s="47">
        <f t="shared" si="1455"/>
        <v>28.645</v>
      </c>
      <c r="AC295" s="42">
        <f t="shared" ref="AC295:AF295" si="1456">(B295+C295)/2</f>
        <v>81.490000000000009</v>
      </c>
      <c r="AD295" s="42">
        <f t="shared" si="1456"/>
        <v>66.94</v>
      </c>
      <c r="AE295" s="42">
        <f t="shared" si="1456"/>
        <v>50.894999999999996</v>
      </c>
      <c r="AF295" s="42">
        <f t="shared" si="1456"/>
        <v>35.225000000000001</v>
      </c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8"/>
      <c r="BK295" s="8"/>
      <c r="BL295" s="8"/>
      <c r="BM295" s="8"/>
    </row>
    <row r="296" spans="1:65" ht="15.75" hidden="1" customHeight="1" x14ac:dyDescent="0.45">
      <c r="A296" s="50">
        <f t="shared" si="1280"/>
        <v>42951</v>
      </c>
      <c r="B296" s="51">
        <v>91.58</v>
      </c>
      <c r="C296" s="51">
        <v>75.2</v>
      </c>
      <c r="D296" s="51">
        <v>60.24</v>
      </c>
      <c r="E296" s="51">
        <v>42.55</v>
      </c>
      <c r="F296" s="51">
        <v>27.92</v>
      </c>
      <c r="G296" s="52">
        <v>97</v>
      </c>
      <c r="H296" s="37">
        <f t="shared" ref="H296:L296" si="1457">B296-B295</f>
        <v>2.9699999999999989</v>
      </c>
      <c r="I296" s="38">
        <f t="shared" si="1457"/>
        <v>0.82999999999999829</v>
      </c>
      <c r="J296" s="38">
        <f t="shared" si="1457"/>
        <v>0.73000000000000398</v>
      </c>
      <c r="K296" s="38">
        <f t="shared" si="1457"/>
        <v>0.26999999999999602</v>
      </c>
      <c r="L296" s="39">
        <f t="shared" si="1457"/>
        <v>-0.25</v>
      </c>
      <c r="M296" s="38"/>
      <c r="N296" s="40"/>
      <c r="O296" s="40"/>
      <c r="P296" s="40"/>
      <c r="Q296" s="40"/>
      <c r="R296" s="40"/>
      <c r="S296" s="40">
        <f t="shared" ref="S296:T296" si="1458">(B295+B296)/2</f>
        <v>90.094999999999999</v>
      </c>
      <c r="T296" s="40">
        <f t="shared" si="1458"/>
        <v>74.784999999999997</v>
      </c>
      <c r="U296" s="40">
        <f t="shared" si="1283"/>
        <v>59.875</v>
      </c>
      <c r="V296" s="40">
        <f t="shared" ref="V296:W296" si="1459">(E295+E296)/2</f>
        <v>42.414999999999999</v>
      </c>
      <c r="W296" s="40">
        <f t="shared" si="1459"/>
        <v>28.045000000000002</v>
      </c>
      <c r="X296" s="41">
        <f t="shared" ref="X296:AB296" si="1460">(SUM(B293:B296))/4</f>
        <v>87.894999999999996</v>
      </c>
      <c r="Y296" s="40">
        <f t="shared" si="1460"/>
        <v>73.872500000000002</v>
      </c>
      <c r="Z296" s="40">
        <f t="shared" si="1460"/>
        <v>58.807499999999997</v>
      </c>
      <c r="AA296" s="40">
        <f t="shared" si="1460"/>
        <v>41.870000000000005</v>
      </c>
      <c r="AB296" s="47">
        <f t="shared" si="1460"/>
        <v>28.487500000000001</v>
      </c>
      <c r="AC296" s="42">
        <f t="shared" ref="AC296:AF296" si="1461">(B296+C296)/2</f>
        <v>83.39</v>
      </c>
      <c r="AD296" s="42">
        <f t="shared" si="1461"/>
        <v>67.72</v>
      </c>
      <c r="AE296" s="42">
        <f t="shared" si="1461"/>
        <v>51.394999999999996</v>
      </c>
      <c r="AF296" s="42">
        <f t="shared" si="1461"/>
        <v>35.234999999999999</v>
      </c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8"/>
      <c r="BK296" s="8"/>
      <c r="BL296" s="8"/>
      <c r="BM296" s="8"/>
    </row>
    <row r="297" spans="1:65" ht="15.75" hidden="1" customHeight="1" x14ac:dyDescent="0.45">
      <c r="A297" s="50">
        <f t="shared" si="1280"/>
        <v>42958</v>
      </c>
      <c r="B297" s="51">
        <v>92.5</v>
      </c>
      <c r="C297" s="51">
        <v>75.16</v>
      </c>
      <c r="D297" s="51">
        <v>60.85</v>
      </c>
      <c r="E297" s="51">
        <v>42.52</v>
      </c>
      <c r="F297" s="51">
        <v>26.55</v>
      </c>
      <c r="G297" s="52">
        <v>95.4</v>
      </c>
      <c r="H297" s="37">
        <f t="shared" ref="H297:L297" si="1462">B297-B296</f>
        <v>0.92000000000000171</v>
      </c>
      <c r="I297" s="38">
        <f t="shared" si="1462"/>
        <v>-4.0000000000006253E-2</v>
      </c>
      <c r="J297" s="38">
        <f t="shared" si="1462"/>
        <v>0.60999999999999943</v>
      </c>
      <c r="K297" s="38">
        <f t="shared" si="1462"/>
        <v>-2.9999999999994031E-2</v>
      </c>
      <c r="L297" s="39">
        <f t="shared" si="1462"/>
        <v>-1.370000000000001</v>
      </c>
      <c r="M297" s="38"/>
      <c r="N297" s="40"/>
      <c r="O297" s="40"/>
      <c r="P297" s="40"/>
      <c r="Q297" s="40"/>
      <c r="R297" s="40"/>
      <c r="S297" s="40">
        <f t="shared" ref="S297:T297" si="1463">(B296+B297)/2</f>
        <v>92.039999999999992</v>
      </c>
      <c r="T297" s="40">
        <f t="shared" si="1463"/>
        <v>75.180000000000007</v>
      </c>
      <c r="U297" s="40">
        <f t="shared" si="1283"/>
        <v>60.545000000000002</v>
      </c>
      <c r="V297" s="40">
        <f t="shared" ref="V297:W297" si="1464">(E296+E297)/2</f>
        <v>42.534999999999997</v>
      </c>
      <c r="W297" s="40">
        <f t="shared" si="1464"/>
        <v>27.234999999999999</v>
      </c>
      <c r="X297" s="41">
        <f t="shared" ref="X297:AB297" si="1465">(SUM(B294:B297))/4</f>
        <v>90.342500000000001</v>
      </c>
      <c r="Y297" s="40">
        <f t="shared" si="1465"/>
        <v>74.682500000000005</v>
      </c>
      <c r="Z297" s="40">
        <f t="shared" si="1465"/>
        <v>59.7575</v>
      </c>
      <c r="AA297" s="40">
        <f t="shared" si="1465"/>
        <v>42.3</v>
      </c>
      <c r="AB297" s="47">
        <f t="shared" si="1465"/>
        <v>27.824999999999999</v>
      </c>
      <c r="AC297" s="42">
        <f t="shared" ref="AC297:AF297" si="1466">(B297+C297)/2</f>
        <v>83.83</v>
      </c>
      <c r="AD297" s="42">
        <f t="shared" si="1466"/>
        <v>68.004999999999995</v>
      </c>
      <c r="AE297" s="42">
        <f t="shared" si="1466"/>
        <v>51.685000000000002</v>
      </c>
      <c r="AF297" s="42">
        <f t="shared" si="1466"/>
        <v>34.535000000000004</v>
      </c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8"/>
      <c r="BK297" s="8"/>
      <c r="BL297" s="8"/>
      <c r="BM297" s="8"/>
    </row>
    <row r="298" spans="1:65" ht="15.75" hidden="1" customHeight="1" x14ac:dyDescent="0.45">
      <c r="A298" s="50">
        <f t="shared" si="1280"/>
        <v>42965</v>
      </c>
      <c r="B298" s="51">
        <v>93.01</v>
      </c>
      <c r="C298" s="51">
        <v>76.27</v>
      </c>
      <c r="D298" s="51">
        <v>60.84</v>
      </c>
      <c r="E298" s="51">
        <v>42.41</v>
      </c>
      <c r="F298" s="51">
        <v>26.34</v>
      </c>
      <c r="G298" s="52">
        <v>100.1</v>
      </c>
      <c r="H298" s="37">
        <f t="shared" ref="H298:L298" si="1467">B298-B297</f>
        <v>0.51000000000000512</v>
      </c>
      <c r="I298" s="38">
        <f t="shared" si="1467"/>
        <v>1.1099999999999994</v>
      </c>
      <c r="J298" s="38">
        <f t="shared" si="1467"/>
        <v>-9.9999999999980105E-3</v>
      </c>
      <c r="K298" s="38">
        <f t="shared" si="1467"/>
        <v>-0.11000000000000654</v>
      </c>
      <c r="L298" s="39">
        <f t="shared" si="1467"/>
        <v>-0.21000000000000085</v>
      </c>
      <c r="M298" s="38"/>
      <c r="N298" s="40"/>
      <c r="O298" s="40"/>
      <c r="P298" s="40"/>
      <c r="Q298" s="40"/>
      <c r="R298" s="40"/>
      <c r="S298" s="40">
        <f t="shared" ref="S298:T298" si="1468">(B297+B298)/2</f>
        <v>92.754999999999995</v>
      </c>
      <c r="T298" s="40">
        <f t="shared" si="1468"/>
        <v>75.715000000000003</v>
      </c>
      <c r="U298" s="40">
        <f t="shared" si="1283"/>
        <v>60.844999999999999</v>
      </c>
      <c r="V298" s="40">
        <f t="shared" ref="V298:W298" si="1469">(E297+E298)/2</f>
        <v>42.465000000000003</v>
      </c>
      <c r="W298" s="40">
        <f t="shared" si="1469"/>
        <v>26.445</v>
      </c>
      <c r="X298" s="41">
        <f t="shared" ref="X298:AB298" si="1470">(SUM(B295:B298))/4</f>
        <v>91.424999999999997</v>
      </c>
      <c r="Y298" s="40">
        <f t="shared" si="1470"/>
        <v>75.25</v>
      </c>
      <c r="Z298" s="40">
        <f t="shared" si="1470"/>
        <v>60.36</v>
      </c>
      <c r="AA298" s="40">
        <f t="shared" si="1470"/>
        <v>42.44</v>
      </c>
      <c r="AB298" s="47">
        <f t="shared" si="1470"/>
        <v>27.245000000000001</v>
      </c>
      <c r="AC298" s="42">
        <f t="shared" ref="AC298:AF298" si="1471">(B298+C298)/2</f>
        <v>84.64</v>
      </c>
      <c r="AD298" s="42">
        <f t="shared" si="1471"/>
        <v>68.555000000000007</v>
      </c>
      <c r="AE298" s="42">
        <f t="shared" si="1471"/>
        <v>51.625</v>
      </c>
      <c r="AF298" s="42">
        <f t="shared" si="1471"/>
        <v>34.375</v>
      </c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8"/>
      <c r="BK298" s="8"/>
      <c r="BL298" s="8"/>
      <c r="BM298" s="8"/>
    </row>
    <row r="299" spans="1:65" ht="15.75" hidden="1" customHeight="1" x14ac:dyDescent="0.45">
      <c r="A299" s="50">
        <f t="shared" si="1280"/>
        <v>42972</v>
      </c>
      <c r="B299" s="51">
        <v>94.71</v>
      </c>
      <c r="C299" s="51">
        <v>76.239999999999995</v>
      </c>
      <c r="D299" s="51">
        <v>62.41</v>
      </c>
      <c r="E299" s="51">
        <v>42.75</v>
      </c>
      <c r="F299" s="51">
        <v>25.64</v>
      </c>
      <c r="G299" s="52">
        <v>101.83</v>
      </c>
      <c r="H299" s="37">
        <f t="shared" ref="H299:L299" si="1472">B299-B298</f>
        <v>1.6999999999999886</v>
      </c>
      <c r="I299" s="38">
        <f t="shared" si="1472"/>
        <v>-3.0000000000001137E-2</v>
      </c>
      <c r="J299" s="38">
        <f t="shared" si="1472"/>
        <v>1.5699999999999932</v>
      </c>
      <c r="K299" s="38">
        <f t="shared" si="1472"/>
        <v>0.34000000000000341</v>
      </c>
      <c r="L299" s="39">
        <f t="shared" si="1472"/>
        <v>-0.69999999999999929</v>
      </c>
      <c r="M299" s="38"/>
      <c r="N299" s="40"/>
      <c r="O299" s="40"/>
      <c r="P299" s="40"/>
      <c r="Q299" s="40"/>
      <c r="R299" s="40"/>
      <c r="S299" s="40">
        <f t="shared" ref="S299:T299" si="1473">(B298+B299)/2</f>
        <v>93.86</v>
      </c>
      <c r="T299" s="40">
        <f t="shared" si="1473"/>
        <v>76.254999999999995</v>
      </c>
      <c r="U299" s="40">
        <f t="shared" si="1283"/>
        <v>61.625</v>
      </c>
      <c r="V299" s="40">
        <f t="shared" ref="V299:W299" si="1474">(E298+E299)/2</f>
        <v>42.58</v>
      </c>
      <c r="W299" s="40">
        <f t="shared" si="1474"/>
        <v>25.990000000000002</v>
      </c>
      <c r="X299" s="41">
        <f t="shared" ref="X299:AB299" si="1475">(SUM(B296:B299))/4</f>
        <v>92.949999999999989</v>
      </c>
      <c r="Y299" s="40">
        <f t="shared" si="1475"/>
        <v>75.717500000000001</v>
      </c>
      <c r="Z299" s="40">
        <f t="shared" si="1475"/>
        <v>61.085000000000001</v>
      </c>
      <c r="AA299" s="40">
        <f t="shared" si="1475"/>
        <v>42.557499999999997</v>
      </c>
      <c r="AB299" s="47">
        <f t="shared" si="1475"/>
        <v>26.612500000000001</v>
      </c>
      <c r="AC299" s="42">
        <f t="shared" ref="AC299:AF299" si="1476">(B299+C299)/2</f>
        <v>85.474999999999994</v>
      </c>
      <c r="AD299" s="42">
        <f t="shared" si="1476"/>
        <v>69.324999999999989</v>
      </c>
      <c r="AE299" s="42">
        <f t="shared" si="1476"/>
        <v>52.58</v>
      </c>
      <c r="AF299" s="42">
        <f t="shared" si="1476"/>
        <v>34.195</v>
      </c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8"/>
      <c r="BK299" s="8"/>
      <c r="BL299" s="8"/>
      <c r="BM299" s="8"/>
    </row>
    <row r="300" spans="1:65" ht="15.75" hidden="1" customHeight="1" x14ac:dyDescent="0.45">
      <c r="A300" s="50">
        <f t="shared" si="1280"/>
        <v>42979</v>
      </c>
      <c r="B300" s="51">
        <v>96.38</v>
      </c>
      <c r="C300" s="51">
        <v>76.62</v>
      </c>
      <c r="D300" s="51">
        <v>62.41</v>
      </c>
      <c r="E300" s="51">
        <v>43.02</v>
      </c>
      <c r="F300" s="51">
        <v>25.75</v>
      </c>
      <c r="G300" s="52">
        <v>98.16</v>
      </c>
      <c r="H300" s="37">
        <f t="shared" ref="H300:L300" si="1477">B300-B299</f>
        <v>1.6700000000000017</v>
      </c>
      <c r="I300" s="38">
        <f t="shared" si="1477"/>
        <v>0.38000000000000966</v>
      </c>
      <c r="J300" s="38">
        <f t="shared" si="1477"/>
        <v>0</v>
      </c>
      <c r="K300" s="38">
        <f t="shared" si="1477"/>
        <v>0.27000000000000313</v>
      </c>
      <c r="L300" s="39">
        <f t="shared" si="1477"/>
        <v>0.10999999999999943</v>
      </c>
      <c r="M300" s="38"/>
      <c r="N300" s="40"/>
      <c r="O300" s="40"/>
      <c r="P300" s="40"/>
      <c r="Q300" s="40"/>
      <c r="R300" s="40"/>
      <c r="S300" s="40">
        <f t="shared" ref="S300:T300" si="1478">(B299+B300)/2</f>
        <v>95.544999999999987</v>
      </c>
      <c r="T300" s="40">
        <f t="shared" si="1478"/>
        <v>76.430000000000007</v>
      </c>
      <c r="U300" s="40">
        <f t="shared" si="1283"/>
        <v>62.41</v>
      </c>
      <c r="V300" s="40">
        <f t="shared" ref="V300:W300" si="1479">(E299+E300)/2</f>
        <v>42.885000000000005</v>
      </c>
      <c r="W300" s="40">
        <f t="shared" si="1479"/>
        <v>25.695</v>
      </c>
      <c r="X300" s="41">
        <f t="shared" ref="X300:AB300" si="1480">(SUM(B297:B300))/4</f>
        <v>94.149999999999991</v>
      </c>
      <c r="Y300" s="40">
        <f t="shared" si="1480"/>
        <v>76.072500000000005</v>
      </c>
      <c r="Z300" s="40">
        <f t="shared" si="1480"/>
        <v>61.627499999999998</v>
      </c>
      <c r="AA300" s="40">
        <f t="shared" si="1480"/>
        <v>42.675000000000004</v>
      </c>
      <c r="AB300" s="47">
        <f t="shared" si="1480"/>
        <v>26.07</v>
      </c>
      <c r="AC300" s="42">
        <f t="shared" ref="AC300:AF300" si="1481">(B300+C300)/2</f>
        <v>86.5</v>
      </c>
      <c r="AD300" s="42">
        <f t="shared" si="1481"/>
        <v>69.515000000000001</v>
      </c>
      <c r="AE300" s="42">
        <f t="shared" si="1481"/>
        <v>52.715000000000003</v>
      </c>
      <c r="AF300" s="42">
        <f t="shared" si="1481"/>
        <v>34.385000000000005</v>
      </c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8"/>
      <c r="BK300" s="8"/>
      <c r="BL300" s="8"/>
      <c r="BM300" s="8"/>
    </row>
    <row r="301" spans="1:65" ht="15.75" hidden="1" customHeight="1" x14ac:dyDescent="0.45">
      <c r="A301" s="50">
        <f t="shared" si="1280"/>
        <v>42986</v>
      </c>
      <c r="B301" s="51">
        <v>96.12</v>
      </c>
      <c r="C301" s="51">
        <v>76.92</v>
      </c>
      <c r="D301" s="51">
        <v>63.18</v>
      </c>
      <c r="E301" s="51">
        <v>43.85</v>
      </c>
      <c r="F301" s="51">
        <v>25.69</v>
      </c>
      <c r="G301" s="52">
        <v>98.15</v>
      </c>
      <c r="H301" s="37">
        <f t="shared" ref="H301:L301" si="1482">B301-B300</f>
        <v>-0.25999999999999091</v>
      </c>
      <c r="I301" s="38">
        <f t="shared" si="1482"/>
        <v>0.29999999999999716</v>
      </c>
      <c r="J301" s="38">
        <f t="shared" si="1482"/>
        <v>0.77000000000000313</v>
      </c>
      <c r="K301" s="38">
        <f t="shared" si="1482"/>
        <v>0.82999999999999829</v>
      </c>
      <c r="L301" s="39">
        <f t="shared" si="1482"/>
        <v>-5.9999999999998721E-2</v>
      </c>
      <c r="M301" s="38"/>
      <c r="N301" s="40"/>
      <c r="O301" s="40"/>
      <c r="P301" s="40"/>
      <c r="Q301" s="40"/>
      <c r="R301" s="40"/>
      <c r="S301" s="40">
        <f t="shared" ref="S301:T301" si="1483">(B300+B301)/2</f>
        <v>96.25</v>
      </c>
      <c r="T301" s="40">
        <f t="shared" si="1483"/>
        <v>76.77000000000001</v>
      </c>
      <c r="U301" s="40">
        <f t="shared" si="1283"/>
        <v>62.795000000000002</v>
      </c>
      <c r="V301" s="40">
        <f t="shared" ref="V301:W301" si="1484">(E300+E301)/2</f>
        <v>43.435000000000002</v>
      </c>
      <c r="W301" s="40">
        <f t="shared" si="1484"/>
        <v>25.72</v>
      </c>
      <c r="X301" s="41">
        <f t="shared" ref="X301:AB301" si="1485">(SUM(B298:B301))/4</f>
        <v>95.055000000000007</v>
      </c>
      <c r="Y301" s="40">
        <f t="shared" si="1485"/>
        <v>76.512500000000003</v>
      </c>
      <c r="Z301" s="40">
        <f t="shared" si="1485"/>
        <v>62.21</v>
      </c>
      <c r="AA301" s="40">
        <f t="shared" si="1485"/>
        <v>43.0075</v>
      </c>
      <c r="AB301" s="47">
        <f t="shared" si="1485"/>
        <v>25.855</v>
      </c>
      <c r="AC301" s="42">
        <f t="shared" ref="AC301:AF301" si="1486">(B301+C301)/2</f>
        <v>86.52000000000001</v>
      </c>
      <c r="AD301" s="42">
        <f t="shared" si="1486"/>
        <v>70.05</v>
      </c>
      <c r="AE301" s="42">
        <f t="shared" si="1486"/>
        <v>53.515000000000001</v>
      </c>
      <c r="AF301" s="42">
        <f t="shared" si="1486"/>
        <v>34.770000000000003</v>
      </c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8"/>
      <c r="BK301" s="8"/>
      <c r="BL301" s="8"/>
      <c r="BM301" s="8"/>
    </row>
    <row r="302" spans="1:65" ht="15.75" hidden="1" customHeight="1" x14ac:dyDescent="0.45">
      <c r="A302" s="50">
        <f t="shared" si="1280"/>
        <v>42993</v>
      </c>
      <c r="B302" s="51">
        <v>97.7</v>
      </c>
      <c r="C302" s="51">
        <v>77.31</v>
      </c>
      <c r="D302" s="51">
        <v>64.2</v>
      </c>
      <c r="E302" s="51">
        <v>44.75</v>
      </c>
      <c r="F302" s="51">
        <v>26.32</v>
      </c>
      <c r="G302" s="52">
        <v>99.44</v>
      </c>
      <c r="H302" s="37">
        <f t="shared" ref="H302:L302" si="1487">B302-B301</f>
        <v>1.5799999999999983</v>
      </c>
      <c r="I302" s="38">
        <f t="shared" si="1487"/>
        <v>0.39000000000000057</v>
      </c>
      <c r="J302" s="38">
        <f t="shared" si="1487"/>
        <v>1.0200000000000031</v>
      </c>
      <c r="K302" s="38">
        <f t="shared" si="1487"/>
        <v>0.89999999999999858</v>
      </c>
      <c r="L302" s="39">
        <f t="shared" si="1487"/>
        <v>0.62999999999999901</v>
      </c>
      <c r="M302" s="38"/>
      <c r="N302" s="40"/>
      <c r="O302" s="40"/>
      <c r="P302" s="40"/>
      <c r="Q302" s="40"/>
      <c r="R302" s="40"/>
      <c r="S302" s="40">
        <f t="shared" ref="S302:T302" si="1488">(B301+B302)/2</f>
        <v>96.91</v>
      </c>
      <c r="T302" s="40">
        <f t="shared" si="1488"/>
        <v>77.115000000000009</v>
      </c>
      <c r="U302" s="40">
        <f t="shared" si="1283"/>
        <v>63.69</v>
      </c>
      <c r="V302" s="40">
        <f t="shared" ref="V302:W302" si="1489">(E301+E302)/2</f>
        <v>44.3</v>
      </c>
      <c r="W302" s="40">
        <f t="shared" si="1489"/>
        <v>26.005000000000003</v>
      </c>
      <c r="X302" s="41">
        <f t="shared" ref="X302:AB302" si="1490">(SUM(B299:B302))/4</f>
        <v>96.227499999999992</v>
      </c>
      <c r="Y302" s="40">
        <f t="shared" si="1490"/>
        <v>76.772500000000008</v>
      </c>
      <c r="Z302" s="40">
        <f t="shared" si="1490"/>
        <v>63.05</v>
      </c>
      <c r="AA302" s="40">
        <f t="shared" si="1490"/>
        <v>43.592500000000001</v>
      </c>
      <c r="AB302" s="47">
        <f t="shared" si="1490"/>
        <v>25.85</v>
      </c>
      <c r="AC302" s="42">
        <f t="shared" ref="AC302:AF302" si="1491">(B302+C302)/2</f>
        <v>87.504999999999995</v>
      </c>
      <c r="AD302" s="42">
        <f t="shared" si="1491"/>
        <v>70.754999999999995</v>
      </c>
      <c r="AE302" s="42">
        <f t="shared" si="1491"/>
        <v>54.475000000000001</v>
      </c>
      <c r="AF302" s="42">
        <f t="shared" si="1491"/>
        <v>35.534999999999997</v>
      </c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8"/>
      <c r="BK302" s="8"/>
      <c r="BL302" s="8"/>
      <c r="BM302" s="8"/>
    </row>
    <row r="303" spans="1:65" ht="15.75" hidden="1" customHeight="1" x14ac:dyDescent="0.45">
      <c r="A303" s="50">
        <f t="shared" si="1280"/>
        <v>43000</v>
      </c>
      <c r="B303" s="51">
        <v>97.6</v>
      </c>
      <c r="C303" s="51">
        <v>78.77</v>
      </c>
      <c r="D303" s="51">
        <v>66.23</v>
      </c>
      <c r="E303" s="51">
        <v>46.03</v>
      </c>
      <c r="F303" s="51">
        <v>26.85</v>
      </c>
      <c r="G303" s="52">
        <v>95.53</v>
      </c>
      <c r="H303" s="37">
        <f t="shared" ref="H303:L303" si="1492">B303-B302</f>
        <v>-0.10000000000000853</v>
      </c>
      <c r="I303" s="38">
        <f t="shared" si="1492"/>
        <v>1.4599999999999937</v>
      </c>
      <c r="J303" s="38">
        <f t="shared" si="1492"/>
        <v>2.0300000000000011</v>
      </c>
      <c r="K303" s="38">
        <f t="shared" si="1492"/>
        <v>1.2800000000000011</v>
      </c>
      <c r="L303" s="39">
        <f t="shared" si="1492"/>
        <v>0.53000000000000114</v>
      </c>
      <c r="M303" s="38"/>
      <c r="N303" s="40"/>
      <c r="O303" s="40"/>
      <c r="P303" s="40"/>
      <c r="Q303" s="40"/>
      <c r="R303" s="40"/>
      <c r="S303" s="40">
        <f t="shared" ref="S303:T303" si="1493">(B302+B303)/2</f>
        <v>97.65</v>
      </c>
      <c r="T303" s="40">
        <f t="shared" si="1493"/>
        <v>78.039999999999992</v>
      </c>
      <c r="U303" s="40">
        <f t="shared" si="1283"/>
        <v>65.215000000000003</v>
      </c>
      <c r="V303" s="40">
        <f t="shared" ref="V303:W303" si="1494">(E302+E303)/2</f>
        <v>45.39</v>
      </c>
      <c r="W303" s="40">
        <f t="shared" si="1494"/>
        <v>26.585000000000001</v>
      </c>
      <c r="X303" s="41">
        <f t="shared" ref="X303:AB303" si="1495">(SUM(B300:B303))/4</f>
        <v>96.949999999999989</v>
      </c>
      <c r="Y303" s="40">
        <f t="shared" si="1495"/>
        <v>77.405000000000001</v>
      </c>
      <c r="Z303" s="40">
        <f t="shared" si="1495"/>
        <v>64.00500000000001</v>
      </c>
      <c r="AA303" s="40">
        <f t="shared" si="1495"/>
        <v>44.412500000000001</v>
      </c>
      <c r="AB303" s="47">
        <f t="shared" si="1495"/>
        <v>26.152499999999996</v>
      </c>
      <c r="AC303" s="42">
        <f t="shared" ref="AC303:AF303" si="1496">(B303+C303)/2</f>
        <v>88.185000000000002</v>
      </c>
      <c r="AD303" s="42">
        <f t="shared" si="1496"/>
        <v>72.5</v>
      </c>
      <c r="AE303" s="42">
        <f t="shared" si="1496"/>
        <v>56.13</v>
      </c>
      <c r="AF303" s="42">
        <f t="shared" si="1496"/>
        <v>36.44</v>
      </c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8"/>
      <c r="BK303" s="8"/>
      <c r="BL303" s="8"/>
      <c r="BM303" s="8"/>
    </row>
    <row r="304" spans="1:65" ht="15.75" hidden="1" customHeight="1" x14ac:dyDescent="0.45">
      <c r="A304" s="50">
        <f t="shared" si="1280"/>
        <v>43007</v>
      </c>
      <c r="B304" s="51">
        <v>97.51</v>
      </c>
      <c r="C304" s="51">
        <v>79.28</v>
      </c>
      <c r="D304" s="51">
        <v>67.260000000000005</v>
      </c>
      <c r="E304" s="51">
        <v>46.35</v>
      </c>
      <c r="F304" s="51">
        <v>27.42</v>
      </c>
      <c r="G304" s="52">
        <v>95.37</v>
      </c>
      <c r="H304" s="37">
        <f t="shared" ref="H304:L304" si="1497">B304-B303</f>
        <v>-8.99999999999892E-2</v>
      </c>
      <c r="I304" s="38">
        <f t="shared" si="1497"/>
        <v>0.51000000000000512</v>
      </c>
      <c r="J304" s="38">
        <f t="shared" si="1497"/>
        <v>1.0300000000000011</v>
      </c>
      <c r="K304" s="38">
        <f t="shared" si="1497"/>
        <v>0.32000000000000028</v>
      </c>
      <c r="L304" s="39">
        <f t="shared" si="1497"/>
        <v>0.57000000000000028</v>
      </c>
      <c r="M304" s="38"/>
      <c r="N304" s="40"/>
      <c r="O304" s="40"/>
      <c r="P304" s="40"/>
      <c r="Q304" s="40"/>
      <c r="R304" s="40"/>
      <c r="S304" s="40">
        <f t="shared" ref="S304:T304" si="1498">(B303+B304)/2</f>
        <v>97.555000000000007</v>
      </c>
      <c r="T304" s="40">
        <f t="shared" si="1498"/>
        <v>79.025000000000006</v>
      </c>
      <c r="U304" s="40">
        <f t="shared" si="1283"/>
        <v>66.745000000000005</v>
      </c>
      <c r="V304" s="40">
        <f t="shared" ref="V304:W304" si="1499">(E303+E304)/2</f>
        <v>46.19</v>
      </c>
      <c r="W304" s="40">
        <f t="shared" si="1499"/>
        <v>27.135000000000002</v>
      </c>
      <c r="X304" s="41">
        <f t="shared" ref="X304:AB304" si="1500">(SUM(B301:B304))/4</f>
        <v>97.232499999999987</v>
      </c>
      <c r="Y304" s="40">
        <f t="shared" si="1500"/>
        <v>78.069999999999993</v>
      </c>
      <c r="Z304" s="40">
        <f t="shared" si="1500"/>
        <v>65.217500000000001</v>
      </c>
      <c r="AA304" s="40">
        <f t="shared" si="1500"/>
        <v>45.244999999999997</v>
      </c>
      <c r="AB304" s="47">
        <f t="shared" si="1500"/>
        <v>26.570000000000004</v>
      </c>
      <c r="AC304" s="42">
        <f t="shared" ref="AC304:AF304" si="1501">(B304+C304)/2</f>
        <v>88.39500000000001</v>
      </c>
      <c r="AD304" s="42">
        <f t="shared" si="1501"/>
        <v>73.27000000000001</v>
      </c>
      <c r="AE304" s="42">
        <f t="shared" si="1501"/>
        <v>56.805000000000007</v>
      </c>
      <c r="AF304" s="42">
        <f t="shared" si="1501"/>
        <v>36.885000000000005</v>
      </c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8"/>
      <c r="BK304" s="8"/>
      <c r="BL304" s="8"/>
      <c r="BM304" s="8"/>
    </row>
    <row r="305" spans="1:65" ht="15.75" hidden="1" customHeight="1" x14ac:dyDescent="0.45">
      <c r="A305" s="50">
        <f t="shared" si="1280"/>
        <v>43014</v>
      </c>
      <c r="B305" s="51">
        <v>98.06</v>
      </c>
      <c r="C305" s="51">
        <v>79.19</v>
      </c>
      <c r="D305" s="51">
        <v>67.260000000000005</v>
      </c>
      <c r="E305" s="51">
        <v>46.37</v>
      </c>
      <c r="F305" s="51">
        <v>27.72</v>
      </c>
      <c r="G305" s="52">
        <v>97.88</v>
      </c>
      <c r="H305" s="37">
        <f t="shared" ref="H305:L305" si="1502">B305-B304</f>
        <v>0.54999999999999716</v>
      </c>
      <c r="I305" s="38">
        <f t="shared" si="1502"/>
        <v>-9.0000000000003411E-2</v>
      </c>
      <c r="J305" s="38">
        <f t="shared" si="1502"/>
        <v>0</v>
      </c>
      <c r="K305" s="38">
        <f t="shared" si="1502"/>
        <v>1.9999999999996021E-2</v>
      </c>
      <c r="L305" s="39">
        <f t="shared" si="1502"/>
        <v>0.29999999999999716</v>
      </c>
      <c r="M305" s="38"/>
      <c r="N305" s="40"/>
      <c r="O305" s="40"/>
      <c r="P305" s="40"/>
      <c r="Q305" s="40"/>
      <c r="R305" s="40"/>
      <c r="S305" s="40">
        <f t="shared" ref="S305:T305" si="1503">(B304+B305)/2</f>
        <v>97.784999999999997</v>
      </c>
      <c r="T305" s="40">
        <f t="shared" si="1503"/>
        <v>79.234999999999999</v>
      </c>
      <c r="U305" s="40">
        <f t="shared" si="1283"/>
        <v>67.260000000000005</v>
      </c>
      <c r="V305" s="40">
        <f t="shared" ref="V305:W305" si="1504">(E304+E305)/2</f>
        <v>46.36</v>
      </c>
      <c r="W305" s="40">
        <f t="shared" si="1504"/>
        <v>27.57</v>
      </c>
      <c r="X305" s="41">
        <f t="shared" ref="X305:AB305" si="1505">(SUM(B302:B305))/4</f>
        <v>97.717500000000001</v>
      </c>
      <c r="Y305" s="40">
        <f t="shared" si="1505"/>
        <v>78.637499999999989</v>
      </c>
      <c r="Z305" s="40">
        <f t="shared" si="1505"/>
        <v>66.237499999999997</v>
      </c>
      <c r="AA305" s="40">
        <f t="shared" si="1505"/>
        <v>45.875</v>
      </c>
      <c r="AB305" s="47">
        <f t="shared" si="1505"/>
        <v>27.077500000000001</v>
      </c>
      <c r="AC305" s="42">
        <f t="shared" ref="AC305:AF305" si="1506">(B305+C305)/2</f>
        <v>88.625</v>
      </c>
      <c r="AD305" s="42">
        <f t="shared" si="1506"/>
        <v>73.224999999999994</v>
      </c>
      <c r="AE305" s="42">
        <f t="shared" si="1506"/>
        <v>56.814999999999998</v>
      </c>
      <c r="AF305" s="42">
        <f t="shared" si="1506"/>
        <v>37.045000000000002</v>
      </c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8"/>
      <c r="BK305" s="8"/>
      <c r="BL305" s="8"/>
      <c r="BM305" s="8"/>
    </row>
    <row r="306" spans="1:65" ht="15.75" hidden="1" customHeight="1" x14ac:dyDescent="0.45">
      <c r="A306" s="50">
        <f t="shared" si="1280"/>
        <v>43021</v>
      </c>
      <c r="B306" s="51">
        <v>96.93</v>
      </c>
      <c r="C306" s="51">
        <v>79</v>
      </c>
      <c r="D306" s="51">
        <v>67.33</v>
      </c>
      <c r="E306" s="51">
        <v>46.41</v>
      </c>
      <c r="F306" s="51">
        <v>27.68</v>
      </c>
      <c r="G306" s="52">
        <v>94.85</v>
      </c>
      <c r="H306" s="37">
        <f t="shared" ref="H306:L306" si="1507">B306-B305</f>
        <v>-1.1299999999999955</v>
      </c>
      <c r="I306" s="38">
        <f t="shared" si="1507"/>
        <v>-0.18999999999999773</v>
      </c>
      <c r="J306" s="38">
        <f t="shared" si="1507"/>
        <v>6.9999999999993179E-2</v>
      </c>
      <c r="K306" s="38">
        <f t="shared" si="1507"/>
        <v>3.9999999999999147E-2</v>
      </c>
      <c r="L306" s="39">
        <f t="shared" si="1507"/>
        <v>-3.9999999999999147E-2</v>
      </c>
      <c r="M306" s="38"/>
      <c r="N306" s="40"/>
      <c r="O306" s="40"/>
      <c r="P306" s="40"/>
      <c r="Q306" s="40"/>
      <c r="R306" s="40"/>
      <c r="S306" s="40">
        <f t="shared" ref="S306:T306" si="1508">(B305+B306)/2</f>
        <v>97.495000000000005</v>
      </c>
      <c r="T306" s="40">
        <f t="shared" si="1508"/>
        <v>79.094999999999999</v>
      </c>
      <c r="U306" s="40">
        <f t="shared" si="1283"/>
        <v>67.295000000000002</v>
      </c>
      <c r="V306" s="40">
        <f t="shared" ref="V306:W306" si="1509">(E305+E306)/2</f>
        <v>46.39</v>
      </c>
      <c r="W306" s="40">
        <f t="shared" si="1509"/>
        <v>27.7</v>
      </c>
      <c r="X306" s="41">
        <f t="shared" ref="X306:AB306" si="1510">(SUM(B303:B306))/4</f>
        <v>97.525000000000006</v>
      </c>
      <c r="Y306" s="40">
        <f t="shared" si="1510"/>
        <v>79.06</v>
      </c>
      <c r="Z306" s="40">
        <f t="shared" si="1510"/>
        <v>67.02</v>
      </c>
      <c r="AA306" s="40">
        <f t="shared" si="1510"/>
        <v>46.29</v>
      </c>
      <c r="AB306" s="47">
        <f t="shared" si="1510"/>
        <v>27.417500000000004</v>
      </c>
      <c r="AC306" s="42">
        <f t="shared" ref="AC306:AF306" si="1511">(B306+C306)/2</f>
        <v>87.965000000000003</v>
      </c>
      <c r="AD306" s="42">
        <f t="shared" si="1511"/>
        <v>73.164999999999992</v>
      </c>
      <c r="AE306" s="42">
        <f t="shared" si="1511"/>
        <v>56.87</v>
      </c>
      <c r="AF306" s="42">
        <f t="shared" si="1511"/>
        <v>37.045000000000002</v>
      </c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8"/>
      <c r="BK306" s="8"/>
      <c r="BL306" s="8"/>
      <c r="BM306" s="8"/>
    </row>
    <row r="307" spans="1:65" ht="15.75" hidden="1" customHeight="1" x14ac:dyDescent="0.45">
      <c r="A307" s="50">
        <f t="shared" si="1280"/>
        <v>43028</v>
      </c>
      <c r="B307" s="51">
        <v>97.63</v>
      </c>
      <c r="C307" s="51">
        <v>79.41</v>
      </c>
      <c r="D307" s="51">
        <v>67.739999999999995</v>
      </c>
      <c r="E307" s="51">
        <v>46.8</v>
      </c>
      <c r="F307" s="51">
        <v>27.73</v>
      </c>
      <c r="G307" s="52">
        <v>98.25</v>
      </c>
      <c r="H307" s="37">
        <f t="shared" ref="H307:L307" si="1512">B307-B306</f>
        <v>0.69999999999998863</v>
      </c>
      <c r="I307" s="38">
        <f t="shared" si="1512"/>
        <v>0.40999999999999659</v>
      </c>
      <c r="J307" s="38">
        <f t="shared" si="1512"/>
        <v>0.40999999999999659</v>
      </c>
      <c r="K307" s="38">
        <f t="shared" si="1512"/>
        <v>0.39000000000000057</v>
      </c>
      <c r="L307" s="39">
        <f t="shared" si="1512"/>
        <v>5.0000000000000711E-2</v>
      </c>
      <c r="M307" s="38"/>
      <c r="N307" s="40"/>
      <c r="O307" s="40"/>
      <c r="P307" s="40"/>
      <c r="Q307" s="40"/>
      <c r="R307" s="40"/>
      <c r="S307" s="40">
        <f t="shared" ref="S307:T307" si="1513">(B306+B307)/2</f>
        <v>97.28</v>
      </c>
      <c r="T307" s="40">
        <f t="shared" si="1513"/>
        <v>79.204999999999998</v>
      </c>
      <c r="U307" s="40">
        <f t="shared" si="1283"/>
        <v>67.534999999999997</v>
      </c>
      <c r="V307" s="40">
        <f t="shared" ref="V307:W307" si="1514">(E306+E307)/2</f>
        <v>46.604999999999997</v>
      </c>
      <c r="W307" s="40">
        <f t="shared" si="1514"/>
        <v>27.704999999999998</v>
      </c>
      <c r="X307" s="41">
        <f t="shared" ref="X307:AB307" si="1515">(SUM(B304:B307))/4</f>
        <v>97.532499999999999</v>
      </c>
      <c r="Y307" s="40">
        <f t="shared" si="1515"/>
        <v>79.22</v>
      </c>
      <c r="Z307" s="40">
        <f t="shared" si="1515"/>
        <v>67.397500000000008</v>
      </c>
      <c r="AA307" s="40">
        <f t="shared" si="1515"/>
        <v>46.482500000000002</v>
      </c>
      <c r="AB307" s="47">
        <f t="shared" si="1515"/>
        <v>27.637499999999999</v>
      </c>
      <c r="AC307" s="42">
        <f t="shared" ref="AC307:AF307" si="1516">(B307+C307)/2</f>
        <v>88.52</v>
      </c>
      <c r="AD307" s="42">
        <f t="shared" si="1516"/>
        <v>73.574999999999989</v>
      </c>
      <c r="AE307" s="42">
        <f t="shared" si="1516"/>
        <v>57.269999999999996</v>
      </c>
      <c r="AF307" s="42">
        <f t="shared" si="1516"/>
        <v>37.265000000000001</v>
      </c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8"/>
      <c r="BK307" s="8"/>
      <c r="BL307" s="8"/>
      <c r="BM307" s="8"/>
    </row>
    <row r="308" spans="1:65" ht="15.75" hidden="1" customHeight="1" x14ac:dyDescent="0.45">
      <c r="A308" s="50">
        <f t="shared" si="1280"/>
        <v>43035</v>
      </c>
      <c r="B308" s="51">
        <v>97.38</v>
      </c>
      <c r="C308" s="51">
        <v>79.19</v>
      </c>
      <c r="D308" s="51">
        <v>67.73</v>
      </c>
      <c r="E308" s="51">
        <v>46.44</v>
      </c>
      <c r="F308" s="51">
        <v>27.54</v>
      </c>
      <c r="G308" s="52">
        <v>97.46</v>
      </c>
      <c r="H308" s="37">
        <f t="shared" ref="H308:L308" si="1517">B308-B307</f>
        <v>-0.25</v>
      </c>
      <c r="I308" s="38">
        <f t="shared" si="1517"/>
        <v>-0.21999999999999886</v>
      </c>
      <c r="J308" s="38">
        <f t="shared" si="1517"/>
        <v>-9.9999999999909051E-3</v>
      </c>
      <c r="K308" s="38">
        <f t="shared" si="1517"/>
        <v>-0.35999999999999943</v>
      </c>
      <c r="L308" s="39">
        <f t="shared" si="1517"/>
        <v>-0.19000000000000128</v>
      </c>
      <c r="M308" s="38"/>
      <c r="N308" s="40"/>
      <c r="O308" s="40"/>
      <c r="P308" s="40"/>
      <c r="Q308" s="40"/>
      <c r="R308" s="40"/>
      <c r="S308" s="40">
        <f t="shared" ref="S308:T308" si="1518">(B307+B308)/2</f>
        <v>97.504999999999995</v>
      </c>
      <c r="T308" s="40">
        <f t="shared" si="1518"/>
        <v>79.3</v>
      </c>
      <c r="U308" s="40">
        <f t="shared" si="1283"/>
        <v>67.734999999999999</v>
      </c>
      <c r="V308" s="40">
        <f t="shared" ref="V308:W308" si="1519">(E307+E308)/2</f>
        <v>46.62</v>
      </c>
      <c r="W308" s="40">
        <f t="shared" si="1519"/>
        <v>27.634999999999998</v>
      </c>
      <c r="X308" s="41">
        <f t="shared" ref="X308:AB308" si="1520">(SUM(B305:B308))/4</f>
        <v>97.5</v>
      </c>
      <c r="Y308" s="40">
        <f t="shared" si="1520"/>
        <v>79.197499999999991</v>
      </c>
      <c r="Z308" s="40">
        <f t="shared" si="1520"/>
        <v>67.515000000000001</v>
      </c>
      <c r="AA308" s="40">
        <f t="shared" si="1520"/>
        <v>46.504999999999995</v>
      </c>
      <c r="AB308" s="47">
        <f t="shared" si="1520"/>
        <v>27.667499999999997</v>
      </c>
      <c r="AC308" s="42">
        <f t="shared" ref="AC308:AF308" si="1521">(B308+C308)/2</f>
        <v>88.284999999999997</v>
      </c>
      <c r="AD308" s="42">
        <f t="shared" si="1521"/>
        <v>73.460000000000008</v>
      </c>
      <c r="AE308" s="42">
        <f t="shared" si="1521"/>
        <v>57.085000000000001</v>
      </c>
      <c r="AF308" s="42">
        <f t="shared" si="1521"/>
        <v>36.989999999999995</v>
      </c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8"/>
      <c r="BK308" s="8"/>
      <c r="BL308" s="8"/>
      <c r="BM308" s="8"/>
    </row>
    <row r="309" spans="1:65" ht="15.75" hidden="1" customHeight="1" x14ac:dyDescent="0.45">
      <c r="A309" s="50">
        <f t="shared" si="1280"/>
        <v>43042</v>
      </c>
      <c r="B309" s="51">
        <v>97.27</v>
      </c>
      <c r="C309" s="51">
        <v>78.87</v>
      </c>
      <c r="D309" s="51">
        <v>67.05</v>
      </c>
      <c r="E309" s="51">
        <v>46.09</v>
      </c>
      <c r="F309" s="51">
        <v>27.31</v>
      </c>
      <c r="G309" s="52">
        <v>99.31</v>
      </c>
      <c r="H309" s="37">
        <f t="shared" ref="H309:L309" si="1522">B309-B308</f>
        <v>-0.10999999999999943</v>
      </c>
      <c r="I309" s="38">
        <f t="shared" si="1522"/>
        <v>-0.31999999999999318</v>
      </c>
      <c r="J309" s="38">
        <f t="shared" si="1522"/>
        <v>-0.68000000000000682</v>
      </c>
      <c r="K309" s="38">
        <f t="shared" si="1522"/>
        <v>-0.34999999999999432</v>
      </c>
      <c r="L309" s="39">
        <f t="shared" si="1522"/>
        <v>-0.23000000000000043</v>
      </c>
      <c r="M309" s="38"/>
      <c r="N309" s="40"/>
      <c r="O309" s="40"/>
      <c r="P309" s="40"/>
      <c r="Q309" s="40"/>
      <c r="R309" s="40"/>
      <c r="S309" s="40">
        <f t="shared" ref="S309:T309" si="1523">(B308+B309)/2</f>
        <v>97.324999999999989</v>
      </c>
      <c r="T309" s="40">
        <f t="shared" si="1523"/>
        <v>79.03</v>
      </c>
      <c r="U309" s="40">
        <f t="shared" si="1283"/>
        <v>67.39</v>
      </c>
      <c r="V309" s="40">
        <f t="shared" ref="V309:W309" si="1524">(E308+E309)/2</f>
        <v>46.265000000000001</v>
      </c>
      <c r="W309" s="40">
        <f t="shared" si="1524"/>
        <v>27.424999999999997</v>
      </c>
      <c r="X309" s="41">
        <f t="shared" ref="X309:AB309" si="1525">(SUM(B306:B309))/4</f>
        <v>97.302499999999995</v>
      </c>
      <c r="Y309" s="40">
        <f t="shared" si="1525"/>
        <v>79.117500000000007</v>
      </c>
      <c r="Z309" s="40">
        <f t="shared" si="1525"/>
        <v>67.462500000000006</v>
      </c>
      <c r="AA309" s="40">
        <f t="shared" si="1525"/>
        <v>46.434999999999995</v>
      </c>
      <c r="AB309" s="47">
        <f t="shared" si="1525"/>
        <v>27.564999999999998</v>
      </c>
      <c r="AC309" s="42">
        <f t="shared" ref="AC309:AF309" si="1526">(B309+C309)/2</f>
        <v>88.07</v>
      </c>
      <c r="AD309" s="42">
        <f t="shared" si="1526"/>
        <v>72.960000000000008</v>
      </c>
      <c r="AE309" s="42">
        <f t="shared" si="1526"/>
        <v>56.57</v>
      </c>
      <c r="AF309" s="42">
        <f t="shared" si="1526"/>
        <v>36.700000000000003</v>
      </c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8"/>
      <c r="BK309" s="8"/>
      <c r="BL309" s="8"/>
      <c r="BM309" s="8"/>
    </row>
    <row r="310" spans="1:65" ht="15.75" hidden="1" customHeight="1" x14ac:dyDescent="0.45">
      <c r="A310" s="50">
        <f t="shared" si="1280"/>
        <v>43049</v>
      </c>
      <c r="B310" s="51">
        <v>96.26</v>
      </c>
      <c r="C310" s="51">
        <v>78.47</v>
      </c>
      <c r="D310" s="51">
        <v>66.56</v>
      </c>
      <c r="E310" s="51">
        <v>44.88</v>
      </c>
      <c r="F310" s="51">
        <v>26.88</v>
      </c>
      <c r="G310" s="52">
        <v>98.66</v>
      </c>
      <c r="H310" s="37">
        <f t="shared" ref="H310:L310" si="1527">B310-B309</f>
        <v>-1.0099999999999909</v>
      </c>
      <c r="I310" s="38">
        <f t="shared" si="1527"/>
        <v>-0.40000000000000568</v>
      </c>
      <c r="J310" s="38">
        <f t="shared" si="1527"/>
        <v>-0.48999999999999488</v>
      </c>
      <c r="K310" s="38">
        <f t="shared" si="1527"/>
        <v>-1.2100000000000009</v>
      </c>
      <c r="L310" s="39">
        <f t="shared" si="1527"/>
        <v>-0.42999999999999972</v>
      </c>
      <c r="M310" s="38"/>
      <c r="N310" s="40"/>
      <c r="O310" s="40"/>
      <c r="P310" s="40"/>
      <c r="Q310" s="40"/>
      <c r="R310" s="40"/>
      <c r="S310" s="40">
        <f t="shared" ref="S310:T310" si="1528">(B309+B310)/2</f>
        <v>96.765000000000001</v>
      </c>
      <c r="T310" s="40">
        <f t="shared" si="1528"/>
        <v>78.67</v>
      </c>
      <c r="U310" s="40">
        <f t="shared" si="1283"/>
        <v>66.805000000000007</v>
      </c>
      <c r="V310" s="40">
        <f t="shared" ref="V310:W310" si="1529">(E309+E310)/2</f>
        <v>45.484999999999999</v>
      </c>
      <c r="W310" s="40">
        <f t="shared" si="1529"/>
        <v>27.094999999999999</v>
      </c>
      <c r="X310" s="41">
        <f t="shared" ref="X310:AB310" si="1530">(SUM(B307:B310))/4</f>
        <v>97.134999999999991</v>
      </c>
      <c r="Y310" s="40">
        <f t="shared" si="1530"/>
        <v>78.984999999999999</v>
      </c>
      <c r="Z310" s="40">
        <f t="shared" si="1530"/>
        <v>67.27</v>
      </c>
      <c r="AA310" s="40">
        <f t="shared" si="1530"/>
        <v>46.052499999999995</v>
      </c>
      <c r="AB310" s="47">
        <f t="shared" si="1530"/>
        <v>27.364999999999998</v>
      </c>
      <c r="AC310" s="42">
        <f t="shared" ref="AC310:AF310" si="1531">(B310+C310)/2</f>
        <v>87.365000000000009</v>
      </c>
      <c r="AD310" s="42">
        <f t="shared" si="1531"/>
        <v>72.515000000000001</v>
      </c>
      <c r="AE310" s="42">
        <f t="shared" si="1531"/>
        <v>55.72</v>
      </c>
      <c r="AF310" s="42">
        <f t="shared" si="1531"/>
        <v>35.880000000000003</v>
      </c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8"/>
      <c r="BK310" s="8"/>
      <c r="BL310" s="8"/>
      <c r="BM310" s="8"/>
    </row>
    <row r="311" spans="1:65" ht="15.75" hidden="1" customHeight="1" x14ac:dyDescent="0.45">
      <c r="A311" s="50">
        <f t="shared" si="1280"/>
        <v>43056</v>
      </c>
      <c r="B311" s="51">
        <v>95.16</v>
      </c>
      <c r="C311" s="51">
        <v>77.709999999999994</v>
      </c>
      <c r="D311" s="51">
        <v>65.67</v>
      </c>
      <c r="E311" s="51">
        <v>44.16</v>
      </c>
      <c r="F311" s="51">
        <v>26.63</v>
      </c>
      <c r="G311" s="52">
        <v>95.21</v>
      </c>
      <c r="H311" s="37">
        <f t="shared" ref="H311:L311" si="1532">B311-B310</f>
        <v>-1.1000000000000085</v>
      </c>
      <c r="I311" s="38">
        <f t="shared" si="1532"/>
        <v>-0.76000000000000512</v>
      </c>
      <c r="J311" s="38">
        <f t="shared" si="1532"/>
        <v>-0.89000000000000057</v>
      </c>
      <c r="K311" s="38">
        <f t="shared" si="1532"/>
        <v>-0.72000000000000597</v>
      </c>
      <c r="L311" s="39">
        <f t="shared" si="1532"/>
        <v>-0.25</v>
      </c>
      <c r="M311" s="38"/>
      <c r="N311" s="40"/>
      <c r="O311" s="40"/>
      <c r="P311" s="40"/>
      <c r="Q311" s="40"/>
      <c r="R311" s="40"/>
      <c r="S311" s="40">
        <f t="shared" ref="S311:T311" si="1533">(B310+B311)/2</f>
        <v>95.710000000000008</v>
      </c>
      <c r="T311" s="40">
        <f t="shared" si="1533"/>
        <v>78.09</v>
      </c>
      <c r="U311" s="40">
        <f t="shared" si="1283"/>
        <v>66.115000000000009</v>
      </c>
      <c r="V311" s="40">
        <f t="shared" ref="V311:W311" si="1534">(E310+E311)/2</f>
        <v>44.519999999999996</v>
      </c>
      <c r="W311" s="40">
        <f t="shared" si="1534"/>
        <v>26.754999999999999</v>
      </c>
      <c r="X311" s="41">
        <f t="shared" ref="X311:AB311" si="1535">(SUM(B308:B311))/4</f>
        <v>96.517499999999984</v>
      </c>
      <c r="Y311" s="40">
        <f t="shared" si="1535"/>
        <v>78.56</v>
      </c>
      <c r="Z311" s="40">
        <f t="shared" si="1535"/>
        <v>66.752499999999998</v>
      </c>
      <c r="AA311" s="40">
        <f t="shared" si="1535"/>
        <v>45.392499999999998</v>
      </c>
      <c r="AB311" s="47">
        <f t="shared" si="1535"/>
        <v>27.089999999999996</v>
      </c>
      <c r="AC311" s="42">
        <f t="shared" ref="AC311:AF311" si="1536">(B311+C311)/2</f>
        <v>86.435000000000002</v>
      </c>
      <c r="AD311" s="42">
        <f t="shared" si="1536"/>
        <v>71.69</v>
      </c>
      <c r="AE311" s="42">
        <f t="shared" si="1536"/>
        <v>54.914999999999999</v>
      </c>
      <c r="AF311" s="42">
        <f t="shared" si="1536"/>
        <v>35.394999999999996</v>
      </c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8"/>
      <c r="BK311" s="8"/>
      <c r="BL311" s="8"/>
      <c r="BM311" s="8"/>
    </row>
    <row r="312" spans="1:65" ht="15.75" hidden="1" customHeight="1" x14ac:dyDescent="0.45">
      <c r="A312" s="50">
        <f t="shared" si="1280"/>
        <v>43063</v>
      </c>
      <c r="B312" s="51">
        <v>94.52</v>
      </c>
      <c r="C312" s="51">
        <v>77.25</v>
      </c>
      <c r="D312" s="51">
        <v>65.05</v>
      </c>
      <c r="E312" s="51">
        <v>43.99</v>
      </c>
      <c r="F312" s="51">
        <v>26.57</v>
      </c>
      <c r="G312" s="52">
        <v>93.36</v>
      </c>
      <c r="H312" s="37">
        <f t="shared" ref="H312:L312" si="1537">B312-B311</f>
        <v>-0.64000000000000057</v>
      </c>
      <c r="I312" s="38">
        <f t="shared" si="1537"/>
        <v>-0.45999999999999375</v>
      </c>
      <c r="J312" s="38">
        <f t="shared" si="1537"/>
        <v>-0.62000000000000455</v>
      </c>
      <c r="K312" s="38">
        <f t="shared" si="1537"/>
        <v>-0.1699999999999946</v>
      </c>
      <c r="L312" s="39">
        <f t="shared" si="1537"/>
        <v>-5.9999999999998721E-2</v>
      </c>
      <c r="M312" s="38"/>
      <c r="N312" s="40"/>
      <c r="O312" s="40"/>
      <c r="P312" s="40"/>
      <c r="Q312" s="40"/>
      <c r="R312" s="40"/>
      <c r="S312" s="40">
        <f t="shared" ref="S312:T312" si="1538">(B311+B312)/2</f>
        <v>94.84</v>
      </c>
      <c r="T312" s="40">
        <f t="shared" si="1538"/>
        <v>77.47999999999999</v>
      </c>
      <c r="U312" s="40">
        <f t="shared" si="1283"/>
        <v>65.36</v>
      </c>
      <c r="V312" s="40">
        <f t="shared" ref="V312:W312" si="1539">(E311+E312)/2</f>
        <v>44.075000000000003</v>
      </c>
      <c r="W312" s="40">
        <f t="shared" si="1539"/>
        <v>26.6</v>
      </c>
      <c r="X312" s="41">
        <f t="shared" ref="X312:AB312" si="1540">(SUM(B309:B312))/4</f>
        <v>95.802499999999995</v>
      </c>
      <c r="Y312" s="40">
        <f t="shared" si="1540"/>
        <v>78.075000000000003</v>
      </c>
      <c r="Z312" s="40">
        <f t="shared" si="1540"/>
        <v>66.08250000000001</v>
      </c>
      <c r="AA312" s="40">
        <f t="shared" si="1540"/>
        <v>44.78</v>
      </c>
      <c r="AB312" s="47">
        <f t="shared" si="1540"/>
        <v>26.847499999999997</v>
      </c>
      <c r="AC312" s="42">
        <f t="shared" ref="AC312:AF312" si="1541">(B312+C312)/2</f>
        <v>85.884999999999991</v>
      </c>
      <c r="AD312" s="42">
        <f t="shared" si="1541"/>
        <v>71.150000000000006</v>
      </c>
      <c r="AE312" s="42">
        <f t="shared" si="1541"/>
        <v>54.519999999999996</v>
      </c>
      <c r="AF312" s="42">
        <f t="shared" si="1541"/>
        <v>35.28</v>
      </c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8"/>
      <c r="BK312" s="8"/>
      <c r="BL312" s="8"/>
      <c r="BM312" s="8"/>
    </row>
    <row r="313" spans="1:65" ht="15.75" hidden="1" customHeight="1" x14ac:dyDescent="0.45">
      <c r="A313" s="50">
        <f t="shared" si="1280"/>
        <v>43070</v>
      </c>
      <c r="B313" s="51">
        <v>94.66</v>
      </c>
      <c r="C313" s="51">
        <v>77.84</v>
      </c>
      <c r="D313" s="51">
        <v>65.23</v>
      </c>
      <c r="E313" s="51">
        <v>44.2</v>
      </c>
      <c r="F313" s="51">
        <v>26.62</v>
      </c>
      <c r="G313" s="52">
        <v>96.84</v>
      </c>
      <c r="H313" s="37">
        <f t="shared" ref="H313:L313" si="1542">B313-B312</f>
        <v>0.14000000000000057</v>
      </c>
      <c r="I313" s="38">
        <f t="shared" si="1542"/>
        <v>0.59000000000000341</v>
      </c>
      <c r="J313" s="38">
        <f t="shared" si="1542"/>
        <v>0.18000000000000682</v>
      </c>
      <c r="K313" s="38">
        <f t="shared" si="1542"/>
        <v>0.21000000000000085</v>
      </c>
      <c r="L313" s="39">
        <f t="shared" si="1542"/>
        <v>5.0000000000000711E-2</v>
      </c>
      <c r="M313" s="38"/>
      <c r="N313" s="40"/>
      <c r="O313" s="40"/>
      <c r="P313" s="40"/>
      <c r="Q313" s="40"/>
      <c r="R313" s="40"/>
      <c r="S313" s="40">
        <f t="shared" ref="S313:T313" si="1543">(B312+B313)/2</f>
        <v>94.59</v>
      </c>
      <c r="T313" s="40">
        <f t="shared" si="1543"/>
        <v>77.545000000000002</v>
      </c>
      <c r="U313" s="40">
        <f t="shared" si="1283"/>
        <v>65.14</v>
      </c>
      <c r="V313" s="40">
        <f t="shared" ref="V313:W313" si="1544">(E312+E313)/2</f>
        <v>44.094999999999999</v>
      </c>
      <c r="W313" s="40">
        <f t="shared" si="1544"/>
        <v>26.594999999999999</v>
      </c>
      <c r="X313" s="41">
        <f t="shared" ref="X313:AB313" si="1545">(SUM(B310:B313))/4</f>
        <v>95.15</v>
      </c>
      <c r="Y313" s="40">
        <f t="shared" si="1545"/>
        <v>77.817499999999995</v>
      </c>
      <c r="Z313" s="40">
        <f t="shared" si="1545"/>
        <v>65.627500000000012</v>
      </c>
      <c r="AA313" s="40">
        <f t="shared" si="1545"/>
        <v>44.307500000000005</v>
      </c>
      <c r="AB313" s="47">
        <f t="shared" si="1545"/>
        <v>26.675000000000001</v>
      </c>
      <c r="AC313" s="42">
        <f t="shared" ref="AC313:AF313" si="1546">(B313+C313)/2</f>
        <v>86.25</v>
      </c>
      <c r="AD313" s="42">
        <f t="shared" si="1546"/>
        <v>71.534999999999997</v>
      </c>
      <c r="AE313" s="42">
        <f t="shared" si="1546"/>
        <v>54.715000000000003</v>
      </c>
      <c r="AF313" s="42">
        <f t="shared" si="1546"/>
        <v>35.410000000000004</v>
      </c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8"/>
      <c r="BK313" s="8"/>
      <c r="BL313" s="8"/>
      <c r="BM313" s="8"/>
    </row>
    <row r="314" spans="1:65" ht="15.75" hidden="1" customHeight="1" x14ac:dyDescent="0.45">
      <c r="A314" s="50">
        <f t="shared" si="1280"/>
        <v>43077</v>
      </c>
      <c r="B314" s="51">
        <v>94.82</v>
      </c>
      <c r="C314" s="51">
        <v>78.09</v>
      </c>
      <c r="D314" s="51">
        <v>65.66</v>
      </c>
      <c r="E314" s="51">
        <v>45.38</v>
      </c>
      <c r="F314" s="51">
        <v>26.74</v>
      </c>
      <c r="G314" s="52">
        <v>96.78</v>
      </c>
      <c r="H314" s="37">
        <f t="shared" ref="H314:L314" si="1547">B314-B313</f>
        <v>0.15999999999999659</v>
      </c>
      <c r="I314" s="38">
        <f t="shared" si="1547"/>
        <v>0.25</v>
      </c>
      <c r="J314" s="38">
        <f t="shared" si="1547"/>
        <v>0.42999999999999261</v>
      </c>
      <c r="K314" s="38">
        <f t="shared" si="1547"/>
        <v>1.1799999999999997</v>
      </c>
      <c r="L314" s="39">
        <f t="shared" si="1547"/>
        <v>0.11999999999999744</v>
      </c>
      <c r="M314" s="38"/>
      <c r="N314" s="40"/>
      <c r="O314" s="40"/>
      <c r="P314" s="40"/>
      <c r="Q314" s="40"/>
      <c r="R314" s="40"/>
      <c r="S314" s="40">
        <f t="shared" ref="S314:T314" si="1548">(B313+B314)/2</f>
        <v>94.74</v>
      </c>
      <c r="T314" s="40">
        <f t="shared" si="1548"/>
        <v>77.965000000000003</v>
      </c>
      <c r="U314" s="40">
        <f t="shared" si="1283"/>
        <v>65.444999999999993</v>
      </c>
      <c r="V314" s="40">
        <f t="shared" ref="V314:W314" si="1549">(E313+E314)/2</f>
        <v>44.790000000000006</v>
      </c>
      <c r="W314" s="40">
        <f t="shared" si="1549"/>
        <v>26.68</v>
      </c>
      <c r="X314" s="41">
        <f t="shared" ref="X314:AB314" si="1550">(SUM(B311:B314))/4</f>
        <v>94.79</v>
      </c>
      <c r="Y314" s="40">
        <f t="shared" si="1550"/>
        <v>77.722499999999997</v>
      </c>
      <c r="Z314" s="40">
        <f t="shared" si="1550"/>
        <v>65.402500000000003</v>
      </c>
      <c r="AA314" s="40">
        <f t="shared" si="1550"/>
        <v>44.432500000000005</v>
      </c>
      <c r="AB314" s="47">
        <f t="shared" si="1550"/>
        <v>26.64</v>
      </c>
      <c r="AC314" s="42">
        <f t="shared" ref="AC314:AF314" si="1551">(B314+C314)/2</f>
        <v>86.454999999999998</v>
      </c>
      <c r="AD314" s="42">
        <f t="shared" si="1551"/>
        <v>71.875</v>
      </c>
      <c r="AE314" s="42">
        <f t="shared" si="1551"/>
        <v>55.519999999999996</v>
      </c>
      <c r="AF314" s="42">
        <f t="shared" si="1551"/>
        <v>36.06</v>
      </c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8"/>
      <c r="BK314" s="8"/>
      <c r="BL314" s="8"/>
      <c r="BM314" s="8"/>
    </row>
    <row r="315" spans="1:65" ht="15.75" hidden="1" customHeight="1" x14ac:dyDescent="0.45">
      <c r="A315" s="50">
        <f t="shared" si="1280"/>
        <v>43084</v>
      </c>
      <c r="B315" s="51">
        <v>97.51</v>
      </c>
      <c r="C315" s="51">
        <v>79.5</v>
      </c>
      <c r="D315" s="51">
        <v>66.33</v>
      </c>
      <c r="E315" s="51">
        <v>46.09</v>
      </c>
      <c r="F315" s="51">
        <v>26.94</v>
      </c>
      <c r="G315" s="52">
        <v>102.59</v>
      </c>
      <c r="H315" s="37">
        <f t="shared" ref="H315:L315" si="1552">B315-B314</f>
        <v>2.6900000000000119</v>
      </c>
      <c r="I315" s="38">
        <f t="shared" si="1552"/>
        <v>1.4099999999999966</v>
      </c>
      <c r="J315" s="38">
        <f t="shared" si="1552"/>
        <v>0.67000000000000171</v>
      </c>
      <c r="K315" s="38">
        <f t="shared" si="1552"/>
        <v>0.71000000000000085</v>
      </c>
      <c r="L315" s="39">
        <f t="shared" si="1552"/>
        <v>0.20000000000000284</v>
      </c>
      <c r="M315" s="38"/>
      <c r="N315" s="40"/>
      <c r="O315" s="40"/>
      <c r="P315" s="40"/>
      <c r="Q315" s="40"/>
      <c r="R315" s="40"/>
      <c r="S315" s="40">
        <f t="shared" ref="S315:T315" si="1553">(B314+B315)/2</f>
        <v>96.164999999999992</v>
      </c>
      <c r="T315" s="40">
        <f t="shared" si="1553"/>
        <v>78.795000000000002</v>
      </c>
      <c r="U315" s="40">
        <f t="shared" si="1283"/>
        <v>65.995000000000005</v>
      </c>
      <c r="V315" s="40">
        <f t="shared" ref="V315:W315" si="1554">(E314+E315)/2</f>
        <v>45.734999999999999</v>
      </c>
      <c r="W315" s="40">
        <f t="shared" si="1554"/>
        <v>26.84</v>
      </c>
      <c r="X315" s="41">
        <f t="shared" ref="X315:AB315" si="1555">(SUM(B312:B315))/4</f>
        <v>95.377499999999998</v>
      </c>
      <c r="Y315" s="40">
        <f t="shared" si="1555"/>
        <v>78.17</v>
      </c>
      <c r="Z315" s="40">
        <f t="shared" si="1555"/>
        <v>65.567499999999995</v>
      </c>
      <c r="AA315" s="40">
        <f t="shared" si="1555"/>
        <v>44.914999999999999</v>
      </c>
      <c r="AB315" s="47">
        <f t="shared" si="1555"/>
        <v>26.717499999999998</v>
      </c>
      <c r="AC315" s="42">
        <f t="shared" ref="AC315:AF315" si="1556">(B315+C315)/2</f>
        <v>88.504999999999995</v>
      </c>
      <c r="AD315" s="42">
        <f t="shared" si="1556"/>
        <v>72.914999999999992</v>
      </c>
      <c r="AE315" s="42">
        <f t="shared" si="1556"/>
        <v>56.21</v>
      </c>
      <c r="AF315" s="42">
        <f t="shared" si="1556"/>
        <v>36.515000000000001</v>
      </c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8"/>
      <c r="BK315" s="8"/>
      <c r="BL315" s="8"/>
      <c r="BM315" s="8"/>
    </row>
    <row r="316" spans="1:65" ht="15.75" hidden="1" customHeight="1" x14ac:dyDescent="0.45">
      <c r="A316" s="50">
        <f t="shared" si="1280"/>
        <v>43091</v>
      </c>
      <c r="B316" s="51">
        <v>97.35</v>
      </c>
      <c r="C316" s="51">
        <v>79.63</v>
      </c>
      <c r="D316" s="51">
        <v>66.7</v>
      </c>
      <c r="E316" s="51">
        <v>46.34</v>
      </c>
      <c r="F316" s="51">
        <v>27.12</v>
      </c>
      <c r="G316" s="52">
        <v>103.97</v>
      </c>
      <c r="H316" s="37">
        <f t="shared" ref="H316:L316" si="1557">B316-B315</f>
        <v>-0.1600000000000108</v>
      </c>
      <c r="I316" s="38">
        <f t="shared" si="1557"/>
        <v>0.12999999999999545</v>
      </c>
      <c r="J316" s="38">
        <f t="shared" si="1557"/>
        <v>0.37000000000000455</v>
      </c>
      <c r="K316" s="38">
        <f t="shared" si="1557"/>
        <v>0.25</v>
      </c>
      <c r="L316" s="39">
        <f t="shared" si="1557"/>
        <v>0.17999999999999972</v>
      </c>
      <c r="M316" s="38"/>
      <c r="N316" s="40"/>
      <c r="O316" s="40"/>
      <c r="P316" s="40"/>
      <c r="Q316" s="40"/>
      <c r="R316" s="40"/>
      <c r="S316" s="40">
        <f t="shared" ref="S316:T316" si="1558">(B315+B316)/2</f>
        <v>97.43</v>
      </c>
      <c r="T316" s="40">
        <f t="shared" si="1558"/>
        <v>79.564999999999998</v>
      </c>
      <c r="U316" s="40">
        <f t="shared" si="1283"/>
        <v>66.515000000000001</v>
      </c>
      <c r="V316" s="40">
        <f t="shared" ref="V316:W316" si="1559">(E315+E316)/2</f>
        <v>46.215000000000003</v>
      </c>
      <c r="W316" s="40">
        <f t="shared" si="1559"/>
        <v>27.03</v>
      </c>
      <c r="X316" s="41">
        <f t="shared" ref="X316:AB316" si="1560">(SUM(B313:B316))/4</f>
        <v>96.085000000000008</v>
      </c>
      <c r="Y316" s="40">
        <f t="shared" si="1560"/>
        <v>78.765000000000001</v>
      </c>
      <c r="Z316" s="40">
        <f t="shared" si="1560"/>
        <v>65.97999999999999</v>
      </c>
      <c r="AA316" s="40">
        <f t="shared" si="1560"/>
        <v>45.502500000000005</v>
      </c>
      <c r="AB316" s="47">
        <f t="shared" si="1560"/>
        <v>26.855</v>
      </c>
      <c r="AC316" s="42">
        <f t="shared" ref="AC316:AF316" si="1561">(B316+C316)/2</f>
        <v>88.49</v>
      </c>
      <c r="AD316" s="42">
        <f t="shared" si="1561"/>
        <v>73.164999999999992</v>
      </c>
      <c r="AE316" s="42">
        <f t="shared" si="1561"/>
        <v>56.52</v>
      </c>
      <c r="AF316" s="42">
        <f t="shared" si="1561"/>
        <v>36.730000000000004</v>
      </c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8"/>
      <c r="BK316" s="8"/>
      <c r="BL316" s="8"/>
      <c r="BM316" s="8"/>
    </row>
    <row r="317" spans="1:65" ht="15.75" hidden="1" customHeight="1" x14ac:dyDescent="0.45">
      <c r="A317" s="50">
        <f t="shared" si="1280"/>
        <v>43098</v>
      </c>
      <c r="B317" s="51">
        <v>97.95</v>
      </c>
      <c r="C317" s="51">
        <v>79.790000000000006</v>
      </c>
      <c r="D317" s="51">
        <v>67.06</v>
      </c>
      <c r="E317" s="51">
        <v>46.81</v>
      </c>
      <c r="F317" s="51">
        <v>27.49</v>
      </c>
      <c r="G317" s="52">
        <v>103.88</v>
      </c>
      <c r="H317" s="37">
        <f t="shared" ref="H317:L317" si="1562">B317-B316</f>
        <v>0.60000000000000853</v>
      </c>
      <c r="I317" s="38">
        <f t="shared" si="1562"/>
        <v>0.1600000000000108</v>
      </c>
      <c r="J317" s="38">
        <f t="shared" si="1562"/>
        <v>0.35999999999999943</v>
      </c>
      <c r="K317" s="38">
        <f t="shared" si="1562"/>
        <v>0.46999999999999886</v>
      </c>
      <c r="L317" s="39">
        <f t="shared" si="1562"/>
        <v>0.36999999999999744</v>
      </c>
      <c r="M317" s="38"/>
      <c r="N317" s="40"/>
      <c r="O317" s="40"/>
      <c r="P317" s="40"/>
      <c r="Q317" s="40"/>
      <c r="R317" s="40"/>
      <c r="S317" s="40">
        <f t="shared" ref="S317:T317" si="1563">(B316+B317)/2</f>
        <v>97.65</v>
      </c>
      <c r="T317" s="40">
        <f t="shared" si="1563"/>
        <v>79.710000000000008</v>
      </c>
      <c r="U317" s="40">
        <f t="shared" si="1283"/>
        <v>66.88</v>
      </c>
      <c r="V317" s="40">
        <f t="shared" ref="V317:W317" si="1564">(E316+E317)/2</f>
        <v>46.575000000000003</v>
      </c>
      <c r="W317" s="40">
        <f t="shared" si="1564"/>
        <v>27.305</v>
      </c>
      <c r="X317" s="41">
        <f t="shared" ref="X317:AB317" si="1565">(SUM(B314:B317))/4</f>
        <v>96.907499999999985</v>
      </c>
      <c r="Y317" s="40">
        <f t="shared" si="1565"/>
        <v>79.252499999999998</v>
      </c>
      <c r="Z317" s="40">
        <f t="shared" si="1565"/>
        <v>66.4375</v>
      </c>
      <c r="AA317" s="40">
        <f t="shared" si="1565"/>
        <v>46.155000000000001</v>
      </c>
      <c r="AB317" s="47">
        <f t="shared" si="1565"/>
        <v>27.072499999999998</v>
      </c>
      <c r="AC317" s="42">
        <f t="shared" ref="AC317:AF317" si="1566">(B317+C317)/2</f>
        <v>88.87</v>
      </c>
      <c r="AD317" s="42">
        <f t="shared" si="1566"/>
        <v>73.425000000000011</v>
      </c>
      <c r="AE317" s="42">
        <f t="shared" si="1566"/>
        <v>56.935000000000002</v>
      </c>
      <c r="AF317" s="42">
        <f t="shared" si="1566"/>
        <v>37.15</v>
      </c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8"/>
      <c r="BK317" s="8"/>
      <c r="BL317" s="8"/>
      <c r="BM317" s="8"/>
    </row>
    <row r="318" spans="1:65" ht="15.75" hidden="1" customHeight="1" x14ac:dyDescent="0.45">
      <c r="A318" s="50">
        <f t="shared" si="1280"/>
        <v>43105</v>
      </c>
      <c r="B318" s="51">
        <v>98.64</v>
      </c>
      <c r="C318" s="51">
        <v>79.989999999999995</v>
      </c>
      <c r="D318" s="51">
        <v>67.78</v>
      </c>
      <c r="E318" s="51">
        <v>47.31</v>
      </c>
      <c r="F318" s="51">
        <v>27.94</v>
      </c>
      <c r="G318" s="52">
        <v>105.25</v>
      </c>
      <c r="H318" s="37">
        <f t="shared" ref="H318:L318" si="1567">B318-B317</f>
        <v>0.68999999999999773</v>
      </c>
      <c r="I318" s="38">
        <f t="shared" si="1567"/>
        <v>0.19999999999998863</v>
      </c>
      <c r="J318" s="38">
        <f t="shared" si="1567"/>
        <v>0.71999999999999886</v>
      </c>
      <c r="K318" s="38">
        <f t="shared" si="1567"/>
        <v>0.5</v>
      </c>
      <c r="L318" s="39">
        <f t="shared" si="1567"/>
        <v>0.45000000000000284</v>
      </c>
      <c r="M318" s="38"/>
      <c r="N318" s="40"/>
      <c r="O318" s="40"/>
      <c r="P318" s="40"/>
      <c r="Q318" s="40"/>
      <c r="R318" s="40"/>
      <c r="S318" s="40">
        <f t="shared" ref="S318:T318" si="1568">(B317+B318)/2</f>
        <v>98.295000000000002</v>
      </c>
      <c r="T318" s="40">
        <f t="shared" si="1568"/>
        <v>79.89</v>
      </c>
      <c r="U318" s="40">
        <f t="shared" si="1283"/>
        <v>67.42</v>
      </c>
      <c r="V318" s="40">
        <f t="shared" ref="V318:W318" si="1569">(E317+E318)/2</f>
        <v>47.06</v>
      </c>
      <c r="W318" s="40">
        <f t="shared" si="1569"/>
        <v>27.715</v>
      </c>
      <c r="X318" s="41">
        <f t="shared" ref="X318:AB318" si="1570">(SUM(B315:B318))/4</f>
        <v>97.862499999999997</v>
      </c>
      <c r="Y318" s="40">
        <f t="shared" si="1570"/>
        <v>79.727500000000006</v>
      </c>
      <c r="Z318" s="40">
        <f t="shared" si="1570"/>
        <v>66.967500000000001</v>
      </c>
      <c r="AA318" s="40">
        <f t="shared" si="1570"/>
        <v>46.637500000000003</v>
      </c>
      <c r="AB318" s="47">
        <f t="shared" si="1570"/>
        <v>27.372499999999999</v>
      </c>
      <c r="AC318" s="42">
        <f t="shared" ref="AC318:AF318" si="1571">(B318+C318)/2</f>
        <v>89.314999999999998</v>
      </c>
      <c r="AD318" s="42">
        <f t="shared" si="1571"/>
        <v>73.884999999999991</v>
      </c>
      <c r="AE318" s="42">
        <f t="shared" si="1571"/>
        <v>57.545000000000002</v>
      </c>
      <c r="AF318" s="42">
        <f t="shared" si="1571"/>
        <v>37.625</v>
      </c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8"/>
      <c r="BK318" s="8"/>
      <c r="BL318" s="8"/>
      <c r="BM318" s="8"/>
    </row>
    <row r="319" spans="1:65" ht="15.75" hidden="1" customHeight="1" x14ac:dyDescent="0.45">
      <c r="A319" s="50">
        <f t="shared" si="1280"/>
        <v>43112</v>
      </c>
      <c r="B319" s="51">
        <v>99.3</v>
      </c>
      <c r="C319" s="51">
        <v>81.25</v>
      </c>
      <c r="D319" s="51">
        <v>68.3</v>
      </c>
      <c r="E319" s="51">
        <v>48.02</v>
      </c>
      <c r="F319" s="51">
        <v>28.2</v>
      </c>
      <c r="G319" s="52">
        <v>106.27</v>
      </c>
      <c r="H319" s="37">
        <f t="shared" ref="H319:L319" si="1572">B319-B318</f>
        <v>0.65999999999999659</v>
      </c>
      <c r="I319" s="38">
        <f t="shared" si="1572"/>
        <v>1.2600000000000051</v>
      </c>
      <c r="J319" s="38">
        <f t="shared" si="1572"/>
        <v>0.51999999999999602</v>
      </c>
      <c r="K319" s="38">
        <f t="shared" si="1572"/>
        <v>0.71000000000000085</v>
      </c>
      <c r="L319" s="39">
        <f t="shared" si="1572"/>
        <v>0.25999999999999801</v>
      </c>
      <c r="M319" s="38"/>
      <c r="N319" s="40"/>
      <c r="O319" s="40"/>
      <c r="P319" s="40"/>
      <c r="Q319" s="40"/>
      <c r="R319" s="40"/>
      <c r="S319" s="40">
        <f t="shared" ref="S319:T319" si="1573">(B318+B319)/2</f>
        <v>98.97</v>
      </c>
      <c r="T319" s="40">
        <f t="shared" si="1573"/>
        <v>80.62</v>
      </c>
      <c r="U319" s="40">
        <f t="shared" si="1283"/>
        <v>68.039999999999992</v>
      </c>
      <c r="V319" s="40">
        <f t="shared" ref="V319:W319" si="1574">(E318+E319)/2</f>
        <v>47.665000000000006</v>
      </c>
      <c r="W319" s="40">
        <f t="shared" si="1574"/>
        <v>28.07</v>
      </c>
      <c r="X319" s="41">
        <f t="shared" ref="X319:AB319" si="1575">(SUM(B316:B319))/4</f>
        <v>98.31</v>
      </c>
      <c r="Y319" s="40">
        <f t="shared" si="1575"/>
        <v>80.165000000000006</v>
      </c>
      <c r="Z319" s="40">
        <f t="shared" si="1575"/>
        <v>67.459999999999994</v>
      </c>
      <c r="AA319" s="40">
        <f t="shared" si="1575"/>
        <v>47.120000000000005</v>
      </c>
      <c r="AB319" s="47">
        <f t="shared" si="1575"/>
        <v>27.6875</v>
      </c>
      <c r="AC319" s="42">
        <f t="shared" ref="AC319:AF319" si="1576">(B319+C319)/2</f>
        <v>90.275000000000006</v>
      </c>
      <c r="AD319" s="42">
        <f t="shared" si="1576"/>
        <v>74.775000000000006</v>
      </c>
      <c r="AE319" s="42">
        <f t="shared" si="1576"/>
        <v>58.16</v>
      </c>
      <c r="AF319" s="42">
        <f t="shared" si="1576"/>
        <v>38.11</v>
      </c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8"/>
      <c r="BK319" s="8"/>
      <c r="BL319" s="8"/>
      <c r="BM319" s="8"/>
    </row>
    <row r="320" spans="1:65" ht="15.75" hidden="1" customHeight="1" x14ac:dyDescent="0.45">
      <c r="A320" s="50">
        <f t="shared" si="1280"/>
        <v>43119</v>
      </c>
      <c r="B320" s="51">
        <v>99.79</v>
      </c>
      <c r="C320" s="51">
        <v>82</v>
      </c>
      <c r="D320" s="51">
        <v>68.97</v>
      </c>
      <c r="E320" s="51">
        <v>48.59</v>
      </c>
      <c r="F320" s="51">
        <v>28.49</v>
      </c>
      <c r="G320" s="52">
        <v>106.88</v>
      </c>
      <c r="H320" s="37">
        <f t="shared" ref="H320:L320" si="1577">B320-B319</f>
        <v>0.49000000000000909</v>
      </c>
      <c r="I320" s="38">
        <f t="shared" si="1577"/>
        <v>0.75</v>
      </c>
      <c r="J320" s="38">
        <f t="shared" si="1577"/>
        <v>0.67000000000000171</v>
      </c>
      <c r="K320" s="38">
        <f t="shared" si="1577"/>
        <v>0.57000000000000028</v>
      </c>
      <c r="L320" s="39">
        <f t="shared" si="1577"/>
        <v>0.28999999999999915</v>
      </c>
      <c r="M320" s="38"/>
      <c r="N320" s="40"/>
      <c r="O320" s="40"/>
      <c r="P320" s="40"/>
      <c r="Q320" s="40"/>
      <c r="R320" s="40"/>
      <c r="S320" s="40">
        <f t="shared" ref="S320:T320" si="1578">(B319+B320)/2</f>
        <v>99.545000000000002</v>
      </c>
      <c r="T320" s="40">
        <f t="shared" si="1578"/>
        <v>81.625</v>
      </c>
      <c r="U320" s="40">
        <f t="shared" si="1283"/>
        <v>68.634999999999991</v>
      </c>
      <c r="V320" s="40">
        <f t="shared" ref="V320:W320" si="1579">(E319+E320)/2</f>
        <v>48.305000000000007</v>
      </c>
      <c r="W320" s="40">
        <f t="shared" si="1579"/>
        <v>28.344999999999999</v>
      </c>
      <c r="X320" s="41">
        <f t="shared" ref="X320:AB320" si="1580">(SUM(B317:B320))/4</f>
        <v>98.92</v>
      </c>
      <c r="Y320" s="40">
        <f t="shared" si="1580"/>
        <v>80.757499999999993</v>
      </c>
      <c r="Z320" s="40">
        <f t="shared" si="1580"/>
        <v>68.027500000000003</v>
      </c>
      <c r="AA320" s="40">
        <f t="shared" si="1580"/>
        <v>47.682500000000005</v>
      </c>
      <c r="AB320" s="47">
        <f t="shared" si="1580"/>
        <v>28.029999999999998</v>
      </c>
      <c r="AC320" s="42">
        <f t="shared" ref="AC320:AF320" si="1581">(B320+C320)/2</f>
        <v>90.89500000000001</v>
      </c>
      <c r="AD320" s="42">
        <f t="shared" si="1581"/>
        <v>75.484999999999999</v>
      </c>
      <c r="AE320" s="42">
        <f t="shared" si="1581"/>
        <v>58.78</v>
      </c>
      <c r="AF320" s="42">
        <f t="shared" si="1581"/>
        <v>38.54</v>
      </c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8"/>
      <c r="BK320" s="8"/>
      <c r="BL320" s="8"/>
      <c r="BM320" s="8"/>
    </row>
    <row r="321" spans="1:65" ht="15.75" hidden="1" customHeight="1" x14ac:dyDescent="0.45">
      <c r="A321" s="50">
        <f t="shared" si="1280"/>
        <v>43126</v>
      </c>
      <c r="B321" s="51">
        <v>101.37</v>
      </c>
      <c r="C321" s="51">
        <v>84.6</v>
      </c>
      <c r="D321" s="51">
        <v>70.37</v>
      </c>
      <c r="E321" s="51">
        <v>48.84</v>
      </c>
      <c r="F321" s="51">
        <v>29.3</v>
      </c>
      <c r="G321" s="52">
        <v>107.42</v>
      </c>
      <c r="H321" s="37">
        <f t="shared" ref="H321:L321" si="1582">B321-B320</f>
        <v>1.5799999999999983</v>
      </c>
      <c r="I321" s="38">
        <f t="shared" si="1582"/>
        <v>2.5999999999999943</v>
      </c>
      <c r="J321" s="38">
        <f t="shared" si="1582"/>
        <v>1.4000000000000057</v>
      </c>
      <c r="K321" s="38">
        <f t="shared" si="1582"/>
        <v>0.25</v>
      </c>
      <c r="L321" s="39">
        <f t="shared" si="1582"/>
        <v>0.81000000000000227</v>
      </c>
      <c r="M321" s="38"/>
      <c r="N321" s="40"/>
      <c r="O321" s="40"/>
      <c r="P321" s="40"/>
      <c r="Q321" s="40"/>
      <c r="R321" s="40"/>
      <c r="S321" s="40">
        <f t="shared" ref="S321:T321" si="1583">(B320+B321)/2</f>
        <v>100.58000000000001</v>
      </c>
      <c r="T321" s="40">
        <f t="shared" si="1583"/>
        <v>83.3</v>
      </c>
      <c r="U321" s="40">
        <f t="shared" si="1283"/>
        <v>69.67</v>
      </c>
      <c r="V321" s="40">
        <f t="shared" ref="V321:W321" si="1584">(E320+E321)/2</f>
        <v>48.715000000000003</v>
      </c>
      <c r="W321" s="40">
        <f t="shared" si="1584"/>
        <v>28.895</v>
      </c>
      <c r="X321" s="41">
        <f t="shared" ref="X321:AB321" si="1585">(SUM(B318:B321))/4</f>
        <v>99.775000000000006</v>
      </c>
      <c r="Y321" s="40">
        <f t="shared" si="1585"/>
        <v>81.960000000000008</v>
      </c>
      <c r="Z321" s="40">
        <f t="shared" si="1585"/>
        <v>68.85499999999999</v>
      </c>
      <c r="AA321" s="40">
        <f t="shared" si="1585"/>
        <v>48.190000000000005</v>
      </c>
      <c r="AB321" s="47">
        <f t="shared" si="1585"/>
        <v>28.482499999999998</v>
      </c>
      <c r="AC321" s="42">
        <f t="shared" ref="AC321:AF321" si="1586">(B321+C321)/2</f>
        <v>92.984999999999999</v>
      </c>
      <c r="AD321" s="42">
        <f t="shared" si="1586"/>
        <v>77.484999999999999</v>
      </c>
      <c r="AE321" s="42">
        <f t="shared" si="1586"/>
        <v>59.605000000000004</v>
      </c>
      <c r="AF321" s="42">
        <f t="shared" si="1586"/>
        <v>39.07</v>
      </c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8"/>
      <c r="BK321" s="8"/>
      <c r="BL321" s="8"/>
      <c r="BM321" s="8"/>
    </row>
    <row r="322" spans="1:65" ht="15.75" hidden="1" customHeight="1" x14ac:dyDescent="0.45">
      <c r="A322" s="50">
        <f t="shared" si="1280"/>
        <v>43133</v>
      </c>
      <c r="B322" s="51">
        <v>102.5</v>
      </c>
      <c r="C322" s="51">
        <v>84.69</v>
      </c>
      <c r="D322" s="51">
        <v>71.89</v>
      </c>
      <c r="E322" s="51">
        <v>49.58</v>
      </c>
      <c r="F322" s="51">
        <v>29.87</v>
      </c>
      <c r="G322" s="52">
        <v>107.14</v>
      </c>
      <c r="H322" s="37">
        <f t="shared" ref="H322:L322" si="1587">B322-B321</f>
        <v>1.1299999999999955</v>
      </c>
      <c r="I322" s="38">
        <f t="shared" si="1587"/>
        <v>9.0000000000003411E-2</v>
      </c>
      <c r="J322" s="38">
        <f t="shared" si="1587"/>
        <v>1.519999999999996</v>
      </c>
      <c r="K322" s="38">
        <f t="shared" si="1587"/>
        <v>0.73999999999999488</v>
      </c>
      <c r="L322" s="39">
        <f t="shared" si="1587"/>
        <v>0.57000000000000028</v>
      </c>
      <c r="M322" s="38"/>
      <c r="N322" s="40"/>
      <c r="O322" s="40"/>
      <c r="P322" s="40"/>
      <c r="Q322" s="40"/>
      <c r="R322" s="40"/>
      <c r="S322" s="40">
        <f t="shared" ref="S322:T322" si="1588">(B321+B322)/2</f>
        <v>101.935</v>
      </c>
      <c r="T322" s="40">
        <f t="shared" si="1588"/>
        <v>84.644999999999996</v>
      </c>
      <c r="U322" s="40">
        <f t="shared" si="1283"/>
        <v>71.13</v>
      </c>
      <c r="V322" s="40">
        <f t="shared" ref="V322:W322" si="1589">(E321+E322)/2</f>
        <v>49.21</v>
      </c>
      <c r="W322" s="40">
        <f t="shared" si="1589"/>
        <v>29.585000000000001</v>
      </c>
      <c r="X322" s="41">
        <f t="shared" ref="X322:AB322" si="1590">(SUM(B319:B322))/4</f>
        <v>100.74000000000001</v>
      </c>
      <c r="Y322" s="40">
        <f t="shared" si="1590"/>
        <v>83.134999999999991</v>
      </c>
      <c r="Z322" s="40">
        <f t="shared" si="1590"/>
        <v>69.882499999999993</v>
      </c>
      <c r="AA322" s="40">
        <f t="shared" si="1590"/>
        <v>48.757500000000007</v>
      </c>
      <c r="AB322" s="47">
        <f t="shared" si="1590"/>
        <v>28.965</v>
      </c>
      <c r="AC322" s="42">
        <f t="shared" ref="AC322:AF322" si="1591">(B322+C322)/2</f>
        <v>93.594999999999999</v>
      </c>
      <c r="AD322" s="42">
        <f t="shared" si="1591"/>
        <v>78.289999999999992</v>
      </c>
      <c r="AE322" s="42">
        <f t="shared" si="1591"/>
        <v>60.734999999999999</v>
      </c>
      <c r="AF322" s="42">
        <f t="shared" si="1591"/>
        <v>39.725000000000001</v>
      </c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8"/>
      <c r="BK322" s="8"/>
      <c r="BL322" s="8"/>
      <c r="BM322" s="8"/>
    </row>
    <row r="323" spans="1:65" ht="15.75" hidden="1" customHeight="1" x14ac:dyDescent="0.45">
      <c r="A323" s="50">
        <f t="shared" si="1280"/>
        <v>43140</v>
      </c>
      <c r="B323" s="51">
        <v>102.7</v>
      </c>
      <c r="C323" s="51">
        <v>86.15</v>
      </c>
      <c r="D323" s="51">
        <v>72.13</v>
      </c>
      <c r="E323" s="51">
        <v>50.16</v>
      </c>
      <c r="F323" s="51">
        <v>30.33</v>
      </c>
      <c r="G323" s="52">
        <v>102.47</v>
      </c>
      <c r="H323" s="37">
        <f t="shared" ref="H323:L323" si="1592">B323-B322</f>
        <v>0.20000000000000284</v>
      </c>
      <c r="I323" s="38">
        <f t="shared" si="1592"/>
        <v>1.460000000000008</v>
      </c>
      <c r="J323" s="38">
        <f t="shared" si="1592"/>
        <v>0.23999999999999488</v>
      </c>
      <c r="K323" s="38">
        <f t="shared" si="1592"/>
        <v>0.57999999999999829</v>
      </c>
      <c r="L323" s="39">
        <f t="shared" si="1592"/>
        <v>0.4599999999999973</v>
      </c>
      <c r="M323" s="38"/>
      <c r="N323" s="40"/>
      <c r="O323" s="40"/>
      <c r="P323" s="40"/>
      <c r="Q323" s="40"/>
      <c r="R323" s="40"/>
      <c r="S323" s="40">
        <f t="shared" ref="S323:T323" si="1593">(B322+B323)/2</f>
        <v>102.6</v>
      </c>
      <c r="T323" s="40">
        <f t="shared" si="1593"/>
        <v>85.42</v>
      </c>
      <c r="U323" s="40">
        <f t="shared" si="1283"/>
        <v>72.009999999999991</v>
      </c>
      <c r="V323" s="40">
        <f t="shared" ref="V323:W323" si="1594">(E322+E323)/2</f>
        <v>49.87</v>
      </c>
      <c r="W323" s="40">
        <f t="shared" si="1594"/>
        <v>30.1</v>
      </c>
      <c r="X323" s="41">
        <f t="shared" ref="X323:AB323" si="1595">(SUM(B320:B323))/4</f>
        <v>101.59</v>
      </c>
      <c r="Y323" s="40">
        <f t="shared" si="1595"/>
        <v>84.36</v>
      </c>
      <c r="Z323" s="40">
        <f t="shared" si="1595"/>
        <v>70.84</v>
      </c>
      <c r="AA323" s="40">
        <f t="shared" si="1595"/>
        <v>49.292499999999997</v>
      </c>
      <c r="AB323" s="47">
        <f t="shared" si="1595"/>
        <v>29.497499999999999</v>
      </c>
      <c r="AC323" s="42">
        <f t="shared" ref="AC323:AF323" si="1596">(B323+C323)/2</f>
        <v>94.425000000000011</v>
      </c>
      <c r="AD323" s="42">
        <f t="shared" si="1596"/>
        <v>79.14</v>
      </c>
      <c r="AE323" s="42">
        <f t="shared" si="1596"/>
        <v>61.144999999999996</v>
      </c>
      <c r="AF323" s="42">
        <f t="shared" si="1596"/>
        <v>40.244999999999997</v>
      </c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8"/>
      <c r="BK323" s="8"/>
      <c r="BL323" s="8"/>
      <c r="BM323" s="8"/>
    </row>
    <row r="324" spans="1:65" ht="15.75" hidden="1" customHeight="1" x14ac:dyDescent="0.45">
      <c r="A324" s="50">
        <f t="shared" si="1280"/>
        <v>43147</v>
      </c>
      <c r="B324" s="51">
        <v>102.72</v>
      </c>
      <c r="C324" s="51">
        <v>86.05</v>
      </c>
      <c r="D324" s="51">
        <v>72.37</v>
      </c>
      <c r="E324" s="51">
        <v>50.32</v>
      </c>
      <c r="F324" s="51">
        <v>30.31</v>
      </c>
      <c r="G324" s="52">
        <v>103.43</v>
      </c>
      <c r="H324" s="37">
        <f t="shared" ref="H324:L324" si="1597">B324-B323</f>
        <v>1.9999999999996021E-2</v>
      </c>
      <c r="I324" s="38">
        <f t="shared" si="1597"/>
        <v>-0.10000000000000853</v>
      </c>
      <c r="J324" s="38">
        <f t="shared" si="1597"/>
        <v>0.24000000000000909</v>
      </c>
      <c r="K324" s="38">
        <f t="shared" si="1597"/>
        <v>0.16000000000000369</v>
      </c>
      <c r="L324" s="39">
        <f t="shared" si="1597"/>
        <v>-1.9999999999999574E-2</v>
      </c>
      <c r="M324" s="38"/>
      <c r="N324" s="40"/>
      <c r="O324" s="40"/>
      <c r="P324" s="40"/>
      <c r="Q324" s="40"/>
      <c r="R324" s="40"/>
      <c r="S324" s="40">
        <f t="shared" ref="S324:T324" si="1598">(B323+B324)/2</f>
        <v>102.71000000000001</v>
      </c>
      <c r="T324" s="40">
        <f t="shared" si="1598"/>
        <v>86.1</v>
      </c>
      <c r="U324" s="40">
        <f t="shared" si="1283"/>
        <v>72.25</v>
      </c>
      <c r="V324" s="40">
        <f t="shared" ref="V324:W324" si="1599">(E323+E324)/2</f>
        <v>50.239999999999995</v>
      </c>
      <c r="W324" s="40">
        <f t="shared" si="1599"/>
        <v>30.32</v>
      </c>
      <c r="X324" s="41">
        <f t="shared" ref="X324:AB324" si="1600">(SUM(B321:B324))/4</f>
        <v>102.32249999999999</v>
      </c>
      <c r="Y324" s="40">
        <f t="shared" si="1600"/>
        <v>85.372500000000002</v>
      </c>
      <c r="Z324" s="40">
        <f t="shared" si="1600"/>
        <v>71.69</v>
      </c>
      <c r="AA324" s="40">
        <f t="shared" si="1600"/>
        <v>49.724999999999994</v>
      </c>
      <c r="AB324" s="47">
        <f t="shared" si="1600"/>
        <v>29.952500000000001</v>
      </c>
      <c r="AC324" s="42">
        <f t="shared" ref="AC324:AF324" si="1601">(B324+C324)/2</f>
        <v>94.384999999999991</v>
      </c>
      <c r="AD324" s="42">
        <f t="shared" si="1601"/>
        <v>79.210000000000008</v>
      </c>
      <c r="AE324" s="42">
        <f t="shared" si="1601"/>
        <v>61.344999999999999</v>
      </c>
      <c r="AF324" s="42">
        <f t="shared" si="1601"/>
        <v>40.314999999999998</v>
      </c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8"/>
      <c r="BK324" s="8"/>
      <c r="BL324" s="8"/>
      <c r="BM324" s="8"/>
    </row>
    <row r="325" spans="1:65" ht="15.75" hidden="1" customHeight="1" x14ac:dyDescent="0.45">
      <c r="A325" s="50">
        <f t="shared" si="1280"/>
        <v>43154</v>
      </c>
      <c r="B325" s="51">
        <v>105.32</v>
      </c>
      <c r="C325" s="51">
        <v>87.35</v>
      </c>
      <c r="D325" s="51">
        <v>73.12</v>
      </c>
      <c r="E325" s="51">
        <v>51.04</v>
      </c>
      <c r="F325" s="51">
        <v>31</v>
      </c>
      <c r="G325" s="52">
        <v>110.6</v>
      </c>
      <c r="H325" s="37">
        <f t="shared" ref="H325:L325" si="1602">B325-B324</f>
        <v>2.5999999999999943</v>
      </c>
      <c r="I325" s="38">
        <f t="shared" si="1602"/>
        <v>1.2999999999999972</v>
      </c>
      <c r="J325" s="38">
        <f t="shared" si="1602"/>
        <v>0.75</v>
      </c>
      <c r="K325" s="38">
        <f t="shared" si="1602"/>
        <v>0.71999999999999886</v>
      </c>
      <c r="L325" s="39">
        <f t="shared" si="1602"/>
        <v>0.69000000000000128</v>
      </c>
      <c r="M325" s="38"/>
      <c r="N325" s="40"/>
      <c r="O325" s="40"/>
      <c r="P325" s="40"/>
      <c r="Q325" s="40"/>
      <c r="R325" s="40"/>
      <c r="S325" s="40">
        <f t="shared" ref="S325:T325" si="1603">(B324+B325)/2</f>
        <v>104.02</v>
      </c>
      <c r="T325" s="40">
        <f t="shared" si="1603"/>
        <v>86.699999999999989</v>
      </c>
      <c r="U325" s="40">
        <f t="shared" si="1283"/>
        <v>72.745000000000005</v>
      </c>
      <c r="V325" s="40">
        <f t="shared" ref="V325:W325" si="1604">(E324+E325)/2</f>
        <v>50.68</v>
      </c>
      <c r="W325" s="40">
        <f t="shared" si="1604"/>
        <v>30.655000000000001</v>
      </c>
      <c r="X325" s="41">
        <f t="shared" ref="X325:AB325" si="1605">(SUM(B322:B325))/4</f>
        <v>103.30999999999999</v>
      </c>
      <c r="Y325" s="40">
        <f t="shared" si="1605"/>
        <v>86.06</v>
      </c>
      <c r="Z325" s="40">
        <f t="shared" si="1605"/>
        <v>72.377499999999998</v>
      </c>
      <c r="AA325" s="40">
        <f t="shared" si="1605"/>
        <v>50.274999999999999</v>
      </c>
      <c r="AB325" s="47">
        <f t="shared" si="1605"/>
        <v>30.377500000000001</v>
      </c>
      <c r="AC325" s="42">
        <f t="shared" ref="AC325:AF325" si="1606">(B325+C325)/2</f>
        <v>96.334999999999994</v>
      </c>
      <c r="AD325" s="42">
        <f t="shared" si="1606"/>
        <v>80.234999999999999</v>
      </c>
      <c r="AE325" s="42">
        <f t="shared" si="1606"/>
        <v>62.08</v>
      </c>
      <c r="AF325" s="42">
        <f t="shared" si="1606"/>
        <v>41.019999999999996</v>
      </c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8"/>
      <c r="BK325" s="8"/>
      <c r="BL325" s="8"/>
      <c r="BM325" s="8"/>
    </row>
    <row r="326" spans="1:65" ht="15.75" hidden="1" customHeight="1" x14ac:dyDescent="0.45">
      <c r="A326" s="50">
        <f t="shared" si="1280"/>
        <v>43161</v>
      </c>
      <c r="B326" s="51">
        <v>102.13</v>
      </c>
      <c r="C326" s="51">
        <v>86.29</v>
      </c>
      <c r="D326" s="51">
        <v>72.92</v>
      </c>
      <c r="E326" s="51">
        <v>49.98</v>
      </c>
      <c r="F326" s="51">
        <v>30.67</v>
      </c>
      <c r="G326" s="52">
        <v>103.6</v>
      </c>
      <c r="H326" s="37">
        <f t="shared" ref="H326:L326" si="1607">B326-B325</f>
        <v>-3.1899999999999977</v>
      </c>
      <c r="I326" s="38">
        <f t="shared" si="1607"/>
        <v>-1.0599999999999881</v>
      </c>
      <c r="J326" s="38">
        <f t="shared" si="1607"/>
        <v>-0.20000000000000284</v>
      </c>
      <c r="K326" s="38">
        <f t="shared" si="1607"/>
        <v>-1.0600000000000023</v>
      </c>
      <c r="L326" s="39">
        <f t="shared" si="1607"/>
        <v>-0.32999999999999829</v>
      </c>
      <c r="M326" s="38"/>
      <c r="N326" s="40"/>
      <c r="O326" s="40"/>
      <c r="P326" s="40"/>
      <c r="Q326" s="40"/>
      <c r="R326" s="40"/>
      <c r="S326" s="40">
        <f t="shared" ref="S326:T326" si="1608">(B325+B326)/2</f>
        <v>103.72499999999999</v>
      </c>
      <c r="T326" s="40">
        <f t="shared" si="1608"/>
        <v>86.82</v>
      </c>
      <c r="U326" s="40">
        <f t="shared" si="1283"/>
        <v>73.02000000000001</v>
      </c>
      <c r="V326" s="40">
        <f t="shared" ref="V326:W326" si="1609">(E325+E326)/2</f>
        <v>50.51</v>
      </c>
      <c r="W326" s="40">
        <f t="shared" si="1609"/>
        <v>30.835000000000001</v>
      </c>
      <c r="X326" s="41">
        <f t="shared" ref="X326:AB326" si="1610">(SUM(B323:B326))/4</f>
        <v>103.2175</v>
      </c>
      <c r="Y326" s="40">
        <f t="shared" si="1610"/>
        <v>86.46</v>
      </c>
      <c r="Z326" s="40">
        <f t="shared" si="1610"/>
        <v>72.635000000000005</v>
      </c>
      <c r="AA326" s="40">
        <f t="shared" si="1610"/>
        <v>50.374999999999993</v>
      </c>
      <c r="AB326" s="47">
        <f t="shared" si="1610"/>
        <v>30.577500000000001</v>
      </c>
      <c r="AC326" s="42">
        <f t="shared" ref="AC326:AF326" si="1611">(B326+C326)/2</f>
        <v>94.210000000000008</v>
      </c>
      <c r="AD326" s="42">
        <f t="shared" si="1611"/>
        <v>79.605000000000004</v>
      </c>
      <c r="AE326" s="42">
        <f t="shared" si="1611"/>
        <v>61.45</v>
      </c>
      <c r="AF326" s="42">
        <f t="shared" si="1611"/>
        <v>40.325000000000003</v>
      </c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8"/>
      <c r="BK326" s="8"/>
      <c r="BL326" s="8"/>
      <c r="BM326" s="8"/>
    </row>
    <row r="327" spans="1:65" ht="15.75" hidden="1" customHeight="1" x14ac:dyDescent="0.45">
      <c r="A327" s="50">
        <f t="shared" si="1280"/>
        <v>43168</v>
      </c>
      <c r="B327" s="51">
        <v>100.29</v>
      </c>
      <c r="C327" s="51">
        <v>84.56</v>
      </c>
      <c r="D327" s="51">
        <v>71</v>
      </c>
      <c r="E327" s="51">
        <v>48.45</v>
      </c>
      <c r="F327" s="51">
        <v>29.43</v>
      </c>
      <c r="G327" s="52">
        <v>100.02</v>
      </c>
      <c r="H327" s="37">
        <f t="shared" ref="H327:L327" si="1612">B327-B326</f>
        <v>-1.8399999999999892</v>
      </c>
      <c r="I327" s="38">
        <f t="shared" si="1612"/>
        <v>-1.730000000000004</v>
      </c>
      <c r="J327" s="38">
        <f t="shared" si="1612"/>
        <v>-1.9200000000000017</v>
      </c>
      <c r="K327" s="38">
        <f t="shared" si="1612"/>
        <v>-1.529999999999994</v>
      </c>
      <c r="L327" s="39">
        <f t="shared" si="1612"/>
        <v>-1.240000000000002</v>
      </c>
      <c r="M327" s="38"/>
      <c r="N327" s="40"/>
      <c r="O327" s="40"/>
      <c r="P327" s="40"/>
      <c r="Q327" s="40"/>
      <c r="R327" s="40"/>
      <c r="S327" s="40">
        <f t="shared" ref="S327:T327" si="1613">(B326+B327)/2</f>
        <v>101.21000000000001</v>
      </c>
      <c r="T327" s="40">
        <f t="shared" si="1613"/>
        <v>85.425000000000011</v>
      </c>
      <c r="U327" s="40">
        <f t="shared" si="1283"/>
        <v>71.960000000000008</v>
      </c>
      <c r="V327" s="40">
        <f t="shared" ref="V327:W327" si="1614">(E326+E327)/2</f>
        <v>49.215000000000003</v>
      </c>
      <c r="W327" s="40">
        <f t="shared" si="1614"/>
        <v>30.05</v>
      </c>
      <c r="X327" s="41">
        <f t="shared" ref="X327:AB327" si="1615">(SUM(B324:B327))/4</f>
        <v>102.61499999999999</v>
      </c>
      <c r="Y327" s="40">
        <f t="shared" si="1615"/>
        <v>86.0625</v>
      </c>
      <c r="Z327" s="40">
        <f t="shared" si="1615"/>
        <v>72.352500000000006</v>
      </c>
      <c r="AA327" s="40">
        <f t="shared" si="1615"/>
        <v>49.947500000000005</v>
      </c>
      <c r="AB327" s="47">
        <f t="shared" si="1615"/>
        <v>30.352499999999999</v>
      </c>
      <c r="AC327" s="42">
        <f t="shared" ref="AC327:AF327" si="1616">(B327+C327)/2</f>
        <v>92.425000000000011</v>
      </c>
      <c r="AD327" s="42">
        <f t="shared" si="1616"/>
        <v>77.78</v>
      </c>
      <c r="AE327" s="42">
        <f t="shared" si="1616"/>
        <v>59.725000000000001</v>
      </c>
      <c r="AF327" s="42">
        <f t="shared" si="1616"/>
        <v>38.94</v>
      </c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8"/>
      <c r="BK327" s="8"/>
      <c r="BL327" s="8"/>
      <c r="BM327" s="8"/>
    </row>
    <row r="328" spans="1:65" ht="15.75" hidden="1" customHeight="1" x14ac:dyDescent="0.45">
      <c r="A328" s="50">
        <f t="shared" si="1280"/>
        <v>43175</v>
      </c>
      <c r="B328" s="51">
        <v>98.32</v>
      </c>
      <c r="C328" s="51">
        <v>81.96</v>
      </c>
      <c r="D328" s="51">
        <v>69.13</v>
      </c>
      <c r="E328" s="51">
        <v>46.12</v>
      </c>
      <c r="F328" s="51">
        <v>28.58</v>
      </c>
      <c r="G328" s="52">
        <v>95.2</v>
      </c>
      <c r="H328" s="37">
        <f t="shared" ref="H328:L328" si="1617">B328-B327</f>
        <v>-1.9700000000000131</v>
      </c>
      <c r="I328" s="38">
        <f t="shared" si="1617"/>
        <v>-2.6000000000000085</v>
      </c>
      <c r="J328" s="38">
        <f t="shared" si="1617"/>
        <v>-1.8700000000000045</v>
      </c>
      <c r="K328" s="38">
        <f t="shared" si="1617"/>
        <v>-2.3300000000000054</v>
      </c>
      <c r="L328" s="39">
        <f t="shared" si="1617"/>
        <v>-0.85000000000000142</v>
      </c>
      <c r="M328" s="38"/>
      <c r="N328" s="40"/>
      <c r="O328" s="40"/>
      <c r="P328" s="40"/>
      <c r="Q328" s="40"/>
      <c r="R328" s="40"/>
      <c r="S328" s="40">
        <f t="shared" ref="S328:T328" si="1618">(B327+B328)/2</f>
        <v>99.305000000000007</v>
      </c>
      <c r="T328" s="40">
        <f t="shared" si="1618"/>
        <v>83.259999999999991</v>
      </c>
      <c r="U328" s="40">
        <f t="shared" si="1283"/>
        <v>70.064999999999998</v>
      </c>
      <c r="V328" s="40">
        <f t="shared" ref="V328:W328" si="1619">(E327+E328)/2</f>
        <v>47.284999999999997</v>
      </c>
      <c r="W328" s="40">
        <f t="shared" si="1619"/>
        <v>29.004999999999999</v>
      </c>
      <c r="X328" s="41">
        <f t="shared" ref="X328:AB328" si="1620">(SUM(B325:B328))/4</f>
        <v>101.515</v>
      </c>
      <c r="Y328" s="40">
        <f t="shared" si="1620"/>
        <v>85.039999999999992</v>
      </c>
      <c r="Z328" s="40">
        <f t="shared" si="1620"/>
        <v>71.542500000000004</v>
      </c>
      <c r="AA328" s="40">
        <f t="shared" si="1620"/>
        <v>48.897500000000001</v>
      </c>
      <c r="AB328" s="47">
        <f t="shared" si="1620"/>
        <v>29.919999999999998</v>
      </c>
      <c r="AC328" s="42">
        <f t="shared" ref="AC328:AF328" si="1621">(B328+C328)/2</f>
        <v>90.139999999999986</v>
      </c>
      <c r="AD328" s="42">
        <f t="shared" si="1621"/>
        <v>75.544999999999987</v>
      </c>
      <c r="AE328" s="42">
        <f t="shared" si="1621"/>
        <v>57.625</v>
      </c>
      <c r="AF328" s="42">
        <f t="shared" si="1621"/>
        <v>37.349999999999994</v>
      </c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8"/>
      <c r="BK328" s="8"/>
      <c r="BL328" s="8"/>
      <c r="BM328" s="8"/>
    </row>
    <row r="329" spans="1:65" ht="15.75" hidden="1" customHeight="1" x14ac:dyDescent="0.45">
      <c r="A329" s="50">
        <f t="shared" si="1280"/>
        <v>43182</v>
      </c>
      <c r="B329" s="51">
        <v>93.95</v>
      </c>
      <c r="C329" s="51">
        <v>79.73</v>
      </c>
      <c r="D329" s="51">
        <v>66.650000000000006</v>
      </c>
      <c r="E329" s="51">
        <v>43.55</v>
      </c>
      <c r="F329" s="51">
        <v>27.47</v>
      </c>
      <c r="G329" s="52">
        <v>92.41</v>
      </c>
      <c r="H329" s="37">
        <f t="shared" ref="H329:L329" si="1622">B329-B328</f>
        <v>-4.3699999999999903</v>
      </c>
      <c r="I329" s="38">
        <f t="shared" si="1622"/>
        <v>-2.2299999999999898</v>
      </c>
      <c r="J329" s="38">
        <f t="shared" si="1622"/>
        <v>-2.4799999999999898</v>
      </c>
      <c r="K329" s="38">
        <f t="shared" si="1622"/>
        <v>-2.5700000000000003</v>
      </c>
      <c r="L329" s="39">
        <f t="shared" si="1622"/>
        <v>-1.1099999999999994</v>
      </c>
      <c r="M329" s="38"/>
      <c r="N329" s="40"/>
      <c r="O329" s="40"/>
      <c r="P329" s="40"/>
      <c r="Q329" s="40"/>
      <c r="R329" s="40"/>
      <c r="S329" s="40">
        <f t="shared" ref="S329:T329" si="1623">(B328+B329)/2</f>
        <v>96.134999999999991</v>
      </c>
      <c r="T329" s="40">
        <f t="shared" si="1623"/>
        <v>80.844999999999999</v>
      </c>
      <c r="U329" s="40">
        <f t="shared" si="1283"/>
        <v>67.89</v>
      </c>
      <c r="V329" s="40">
        <f t="shared" ref="V329:W329" si="1624">(E328+E329)/2</f>
        <v>44.834999999999994</v>
      </c>
      <c r="W329" s="40">
        <f t="shared" si="1624"/>
        <v>28.024999999999999</v>
      </c>
      <c r="X329" s="41">
        <f t="shared" ref="X329:AB329" si="1625">(SUM(B326:B329))/4</f>
        <v>98.672499999999999</v>
      </c>
      <c r="Y329" s="40">
        <f t="shared" si="1625"/>
        <v>83.135000000000005</v>
      </c>
      <c r="Z329" s="40">
        <f t="shared" si="1625"/>
        <v>69.925000000000011</v>
      </c>
      <c r="AA329" s="40">
        <f t="shared" si="1625"/>
        <v>47.025000000000006</v>
      </c>
      <c r="AB329" s="47">
        <f t="shared" si="1625"/>
        <v>29.037500000000001</v>
      </c>
      <c r="AC329" s="42">
        <f t="shared" ref="AC329:AF329" si="1626">(B329+C329)/2</f>
        <v>86.84</v>
      </c>
      <c r="AD329" s="42">
        <f t="shared" si="1626"/>
        <v>73.19</v>
      </c>
      <c r="AE329" s="42">
        <f t="shared" si="1626"/>
        <v>55.1</v>
      </c>
      <c r="AF329" s="42">
        <f t="shared" si="1626"/>
        <v>35.51</v>
      </c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8"/>
      <c r="BK329" s="8"/>
      <c r="BL329" s="8"/>
      <c r="BM329" s="8"/>
    </row>
    <row r="330" spans="1:65" ht="15.75" hidden="1" customHeight="1" x14ac:dyDescent="0.45">
      <c r="A330" s="50">
        <f t="shared" si="1280"/>
        <v>43189</v>
      </c>
      <c r="B330" s="51">
        <v>92.58</v>
      </c>
      <c r="C330" s="51">
        <v>77.31</v>
      </c>
      <c r="D330" s="51">
        <v>64.42</v>
      </c>
      <c r="E330" s="51">
        <v>42.19</v>
      </c>
      <c r="F330" s="51">
        <v>26.32</v>
      </c>
      <c r="G330" s="52">
        <v>90.68</v>
      </c>
      <c r="H330" s="37">
        <f t="shared" ref="H330:L330" si="1627">B330-B329</f>
        <v>-1.3700000000000045</v>
      </c>
      <c r="I330" s="38">
        <f t="shared" si="1627"/>
        <v>-2.4200000000000017</v>
      </c>
      <c r="J330" s="38">
        <f t="shared" si="1627"/>
        <v>-2.230000000000004</v>
      </c>
      <c r="K330" s="38">
        <f t="shared" si="1627"/>
        <v>-1.3599999999999994</v>
      </c>
      <c r="L330" s="39">
        <f t="shared" si="1627"/>
        <v>-1.1499999999999986</v>
      </c>
      <c r="M330" s="38"/>
      <c r="N330" s="40"/>
      <c r="O330" s="40"/>
      <c r="P330" s="40"/>
      <c r="Q330" s="40"/>
      <c r="R330" s="40"/>
      <c r="S330" s="40">
        <f t="shared" ref="S330:T330" si="1628">(B329+B330)/2</f>
        <v>93.265000000000001</v>
      </c>
      <c r="T330" s="40">
        <f t="shared" si="1628"/>
        <v>78.52000000000001</v>
      </c>
      <c r="U330" s="40">
        <f t="shared" si="1283"/>
        <v>65.534999999999997</v>
      </c>
      <c r="V330" s="40">
        <f t="shared" ref="V330:W330" si="1629">(E329+E330)/2</f>
        <v>42.87</v>
      </c>
      <c r="W330" s="40">
        <f t="shared" si="1629"/>
        <v>26.895</v>
      </c>
      <c r="X330" s="41">
        <f t="shared" ref="X330:AB330" si="1630">(SUM(B327:B330))/4</f>
        <v>96.284999999999997</v>
      </c>
      <c r="Y330" s="40">
        <f t="shared" si="1630"/>
        <v>80.89</v>
      </c>
      <c r="Z330" s="40">
        <f t="shared" si="1630"/>
        <v>67.8</v>
      </c>
      <c r="AA330" s="40">
        <f t="shared" si="1630"/>
        <v>45.077500000000001</v>
      </c>
      <c r="AB330" s="47">
        <f t="shared" si="1630"/>
        <v>27.949999999999996</v>
      </c>
      <c r="AC330" s="42">
        <f t="shared" ref="AC330:AF330" si="1631">(B330+C330)/2</f>
        <v>84.944999999999993</v>
      </c>
      <c r="AD330" s="42">
        <f t="shared" si="1631"/>
        <v>70.865000000000009</v>
      </c>
      <c r="AE330" s="42">
        <f t="shared" si="1631"/>
        <v>53.305</v>
      </c>
      <c r="AF330" s="42">
        <f t="shared" si="1631"/>
        <v>34.254999999999995</v>
      </c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8"/>
      <c r="BK330" s="8"/>
      <c r="BL330" s="8"/>
      <c r="BM330" s="8"/>
    </row>
    <row r="331" spans="1:65" ht="15.75" hidden="1" customHeight="1" x14ac:dyDescent="0.45">
      <c r="A331" s="50">
        <f t="shared" si="1280"/>
        <v>43196</v>
      </c>
      <c r="B331" s="51">
        <v>91.16</v>
      </c>
      <c r="C331" s="51">
        <v>75.77</v>
      </c>
      <c r="D331" s="51">
        <v>63.49</v>
      </c>
      <c r="E331" s="51">
        <v>41.48</v>
      </c>
      <c r="F331" s="51">
        <v>26.21</v>
      </c>
      <c r="G331" s="52">
        <v>92.43</v>
      </c>
      <c r="H331" s="37">
        <f t="shared" ref="H331:L331" si="1632">B331-B330</f>
        <v>-1.4200000000000017</v>
      </c>
      <c r="I331" s="38">
        <f t="shared" si="1632"/>
        <v>-1.5400000000000063</v>
      </c>
      <c r="J331" s="38">
        <f t="shared" si="1632"/>
        <v>-0.92999999999999972</v>
      </c>
      <c r="K331" s="38">
        <f t="shared" si="1632"/>
        <v>-0.71000000000000085</v>
      </c>
      <c r="L331" s="39">
        <f t="shared" si="1632"/>
        <v>-0.10999999999999943</v>
      </c>
      <c r="M331" s="38"/>
      <c r="N331" s="40"/>
      <c r="O331" s="40"/>
      <c r="P331" s="40"/>
      <c r="Q331" s="40"/>
      <c r="R331" s="40"/>
      <c r="S331" s="40">
        <f t="shared" ref="S331:T331" si="1633">(B330+B331)/2</f>
        <v>91.87</v>
      </c>
      <c r="T331" s="40">
        <f t="shared" si="1633"/>
        <v>76.539999999999992</v>
      </c>
      <c r="U331" s="40">
        <f t="shared" si="1283"/>
        <v>63.954999999999998</v>
      </c>
      <c r="V331" s="40">
        <f t="shared" ref="V331:W331" si="1634">(E330+E331)/2</f>
        <v>41.834999999999994</v>
      </c>
      <c r="W331" s="40">
        <f t="shared" si="1634"/>
        <v>26.265000000000001</v>
      </c>
      <c r="X331" s="41">
        <f t="shared" ref="X331:AB331" si="1635">(SUM(B328:B331))/4</f>
        <v>94.002499999999998</v>
      </c>
      <c r="Y331" s="40">
        <f t="shared" si="1635"/>
        <v>78.692499999999995</v>
      </c>
      <c r="Z331" s="40">
        <f t="shared" si="1635"/>
        <v>65.922499999999999</v>
      </c>
      <c r="AA331" s="40">
        <f t="shared" si="1635"/>
        <v>43.334999999999994</v>
      </c>
      <c r="AB331" s="47">
        <f t="shared" si="1635"/>
        <v>27.145000000000003</v>
      </c>
      <c r="AC331" s="42">
        <f t="shared" ref="AC331:AF331" si="1636">(B331+C331)/2</f>
        <v>83.465000000000003</v>
      </c>
      <c r="AD331" s="42">
        <f t="shared" si="1636"/>
        <v>69.63</v>
      </c>
      <c r="AE331" s="42">
        <f t="shared" si="1636"/>
        <v>52.484999999999999</v>
      </c>
      <c r="AF331" s="42">
        <f t="shared" si="1636"/>
        <v>33.844999999999999</v>
      </c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8"/>
      <c r="BK331" s="8"/>
      <c r="BL331" s="8"/>
      <c r="BM331" s="8"/>
    </row>
    <row r="332" spans="1:65" ht="15.75" hidden="1" customHeight="1" x14ac:dyDescent="0.45">
      <c r="A332" s="50">
        <f t="shared" si="1280"/>
        <v>43203</v>
      </c>
      <c r="B332" s="51">
        <v>90.96</v>
      </c>
      <c r="C332" s="51">
        <v>74.55</v>
      </c>
      <c r="D332" s="51">
        <v>62.37</v>
      </c>
      <c r="E332" s="51">
        <v>41.08</v>
      </c>
      <c r="F332" s="51">
        <v>25.68</v>
      </c>
      <c r="G332" s="52">
        <v>93.81</v>
      </c>
      <c r="H332" s="37">
        <f t="shared" ref="H332:L332" si="1637">B332-B331</f>
        <v>-0.20000000000000284</v>
      </c>
      <c r="I332" s="38">
        <f t="shared" si="1637"/>
        <v>-1.2199999999999989</v>
      </c>
      <c r="J332" s="38">
        <f t="shared" si="1637"/>
        <v>-1.1200000000000045</v>
      </c>
      <c r="K332" s="38">
        <f t="shared" si="1637"/>
        <v>-0.39999999999999858</v>
      </c>
      <c r="L332" s="39">
        <f t="shared" si="1637"/>
        <v>-0.53000000000000114</v>
      </c>
      <c r="M332" s="38"/>
      <c r="N332" s="40"/>
      <c r="O332" s="40"/>
      <c r="P332" s="40"/>
      <c r="Q332" s="40"/>
      <c r="R332" s="40"/>
      <c r="S332" s="40">
        <f t="shared" ref="S332:T332" si="1638">(B331+B332)/2</f>
        <v>91.06</v>
      </c>
      <c r="T332" s="40">
        <f t="shared" si="1638"/>
        <v>75.16</v>
      </c>
      <c r="U332" s="40">
        <f t="shared" si="1283"/>
        <v>62.93</v>
      </c>
      <c r="V332" s="40">
        <f t="shared" ref="V332:W332" si="1639">(E331+E332)/2</f>
        <v>41.28</v>
      </c>
      <c r="W332" s="40">
        <f t="shared" si="1639"/>
        <v>25.945</v>
      </c>
      <c r="X332" s="41">
        <f t="shared" ref="X332:AB332" si="1640">(SUM(B329:B332))/4</f>
        <v>92.162499999999994</v>
      </c>
      <c r="Y332" s="40">
        <f t="shared" si="1640"/>
        <v>76.84</v>
      </c>
      <c r="Z332" s="40">
        <f t="shared" si="1640"/>
        <v>64.232500000000002</v>
      </c>
      <c r="AA332" s="40">
        <f t="shared" si="1640"/>
        <v>42.075000000000003</v>
      </c>
      <c r="AB332" s="47">
        <f t="shared" si="1640"/>
        <v>26.42</v>
      </c>
      <c r="AC332" s="42">
        <f t="shared" ref="AC332:AF332" si="1641">(B332+C332)/2</f>
        <v>82.754999999999995</v>
      </c>
      <c r="AD332" s="42">
        <f t="shared" si="1641"/>
        <v>68.459999999999994</v>
      </c>
      <c r="AE332" s="42">
        <f t="shared" si="1641"/>
        <v>51.724999999999994</v>
      </c>
      <c r="AF332" s="42">
        <f t="shared" si="1641"/>
        <v>33.379999999999995</v>
      </c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8"/>
      <c r="BK332" s="8"/>
      <c r="BL332" s="8"/>
      <c r="BM332" s="8"/>
    </row>
    <row r="333" spans="1:65" ht="15.75" hidden="1" customHeight="1" x14ac:dyDescent="0.45">
      <c r="A333" s="50">
        <f t="shared" si="1280"/>
        <v>43210</v>
      </c>
      <c r="B333" s="51">
        <v>90.35</v>
      </c>
      <c r="C333" s="51">
        <v>73.98</v>
      </c>
      <c r="D333" s="51">
        <v>61.64</v>
      </c>
      <c r="E333" s="51">
        <v>41.13</v>
      </c>
      <c r="F333" s="51">
        <v>25.69</v>
      </c>
      <c r="G333" s="52">
        <v>93.26</v>
      </c>
      <c r="H333" s="37">
        <f t="shared" ref="H333:L333" si="1642">B333-B332</f>
        <v>-0.60999999999999943</v>
      </c>
      <c r="I333" s="38">
        <f t="shared" si="1642"/>
        <v>-0.56999999999999318</v>
      </c>
      <c r="J333" s="38">
        <f t="shared" si="1642"/>
        <v>-0.72999999999999687</v>
      </c>
      <c r="K333" s="38">
        <f t="shared" si="1642"/>
        <v>5.0000000000004263E-2</v>
      </c>
      <c r="L333" s="39">
        <f t="shared" si="1642"/>
        <v>1.0000000000001563E-2</v>
      </c>
      <c r="M333" s="38"/>
      <c r="N333" s="40"/>
      <c r="O333" s="40"/>
      <c r="P333" s="40"/>
      <c r="Q333" s="40"/>
      <c r="R333" s="40"/>
      <c r="S333" s="40">
        <f t="shared" ref="S333:T333" si="1643">(B332+B333)/2</f>
        <v>90.655000000000001</v>
      </c>
      <c r="T333" s="40">
        <f t="shared" si="1643"/>
        <v>74.265000000000001</v>
      </c>
      <c r="U333" s="40">
        <f t="shared" si="1283"/>
        <v>62.004999999999995</v>
      </c>
      <c r="V333" s="40">
        <f t="shared" ref="V333:W333" si="1644">(E332+E333)/2</f>
        <v>41.105000000000004</v>
      </c>
      <c r="W333" s="40">
        <f t="shared" si="1644"/>
        <v>25.685000000000002</v>
      </c>
      <c r="X333" s="41">
        <f t="shared" ref="X333:AB333" si="1645">(SUM(B330:B333))/4</f>
        <v>91.262499999999989</v>
      </c>
      <c r="Y333" s="40">
        <f t="shared" si="1645"/>
        <v>75.402500000000003</v>
      </c>
      <c r="Z333" s="40">
        <f t="shared" si="1645"/>
        <v>62.980000000000004</v>
      </c>
      <c r="AA333" s="40">
        <f t="shared" si="1645"/>
        <v>41.47</v>
      </c>
      <c r="AB333" s="47">
        <f t="shared" si="1645"/>
        <v>25.975000000000001</v>
      </c>
      <c r="AC333" s="42">
        <f t="shared" ref="AC333:AF333" si="1646">(B333+C333)/2</f>
        <v>82.164999999999992</v>
      </c>
      <c r="AD333" s="42">
        <f t="shared" si="1646"/>
        <v>67.81</v>
      </c>
      <c r="AE333" s="42">
        <f t="shared" si="1646"/>
        <v>51.385000000000005</v>
      </c>
      <c r="AF333" s="42">
        <f t="shared" si="1646"/>
        <v>33.410000000000004</v>
      </c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8"/>
      <c r="BK333" s="8"/>
      <c r="BL333" s="8"/>
      <c r="BM333" s="8"/>
    </row>
    <row r="334" spans="1:65" ht="15.75" hidden="1" customHeight="1" x14ac:dyDescent="0.45">
      <c r="A334" s="50">
        <f t="shared" si="1280"/>
        <v>43217</v>
      </c>
      <c r="B334" s="51">
        <v>91.26</v>
      </c>
      <c r="C334" s="51">
        <v>74.52</v>
      </c>
      <c r="D334" s="51">
        <v>61.88</v>
      </c>
      <c r="E334" s="51">
        <v>41.85</v>
      </c>
      <c r="F334" s="51">
        <v>25.85</v>
      </c>
      <c r="G334" s="52">
        <v>96.25</v>
      </c>
      <c r="H334" s="37">
        <f t="shared" ref="H334:L334" si="1647">B334-B333</f>
        <v>0.9100000000000108</v>
      </c>
      <c r="I334" s="38">
        <f t="shared" si="1647"/>
        <v>0.53999999999999204</v>
      </c>
      <c r="J334" s="38">
        <f t="shared" si="1647"/>
        <v>0.24000000000000199</v>
      </c>
      <c r="K334" s="38">
        <f t="shared" si="1647"/>
        <v>0.71999999999999886</v>
      </c>
      <c r="L334" s="39">
        <f t="shared" si="1647"/>
        <v>0.16000000000000014</v>
      </c>
      <c r="M334" s="38"/>
      <c r="N334" s="40"/>
      <c r="O334" s="40"/>
      <c r="P334" s="40"/>
      <c r="Q334" s="40"/>
      <c r="R334" s="40"/>
      <c r="S334" s="40">
        <f t="shared" ref="S334:T334" si="1648">(B333+B334)/2</f>
        <v>90.805000000000007</v>
      </c>
      <c r="T334" s="40">
        <f t="shared" si="1648"/>
        <v>74.25</v>
      </c>
      <c r="U334" s="40">
        <f t="shared" si="1283"/>
        <v>61.760000000000005</v>
      </c>
      <c r="V334" s="40">
        <f t="shared" ref="V334:W334" si="1649">(E333+E334)/2</f>
        <v>41.49</v>
      </c>
      <c r="W334" s="40">
        <f t="shared" si="1649"/>
        <v>25.770000000000003</v>
      </c>
      <c r="X334" s="41">
        <f t="shared" ref="X334:AB334" si="1650">(SUM(B331:B334))/4</f>
        <v>90.932500000000005</v>
      </c>
      <c r="Y334" s="40">
        <f t="shared" si="1650"/>
        <v>74.704999999999998</v>
      </c>
      <c r="Z334" s="40">
        <f t="shared" si="1650"/>
        <v>62.344999999999999</v>
      </c>
      <c r="AA334" s="40">
        <f t="shared" si="1650"/>
        <v>41.384999999999998</v>
      </c>
      <c r="AB334" s="47">
        <f t="shared" si="1650"/>
        <v>25.857500000000002</v>
      </c>
      <c r="AC334" s="42">
        <f t="shared" ref="AC334:AF334" si="1651">(B334+C334)/2</f>
        <v>82.89</v>
      </c>
      <c r="AD334" s="42">
        <f t="shared" si="1651"/>
        <v>68.2</v>
      </c>
      <c r="AE334" s="42">
        <f t="shared" si="1651"/>
        <v>51.865000000000002</v>
      </c>
      <c r="AF334" s="42">
        <f t="shared" si="1651"/>
        <v>33.85</v>
      </c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8"/>
      <c r="BK334" s="8"/>
      <c r="BL334" s="8"/>
      <c r="BM334" s="8"/>
    </row>
    <row r="335" spans="1:65" ht="15.75" hidden="1" customHeight="1" x14ac:dyDescent="0.45">
      <c r="A335" s="50">
        <f t="shared" si="1280"/>
        <v>43224</v>
      </c>
      <c r="B335" s="51">
        <v>93.6</v>
      </c>
      <c r="C335" s="51">
        <v>75.38</v>
      </c>
      <c r="D335" s="51">
        <v>62.78</v>
      </c>
      <c r="E335" s="51">
        <v>42.79</v>
      </c>
      <c r="F335" s="51">
        <v>26.18</v>
      </c>
      <c r="G335" s="52">
        <v>101.35</v>
      </c>
      <c r="H335" s="37">
        <f t="shared" ref="H335:L335" si="1652">B335-B334</f>
        <v>2.3399999999999892</v>
      </c>
      <c r="I335" s="38">
        <f t="shared" si="1652"/>
        <v>0.85999999999999943</v>
      </c>
      <c r="J335" s="38">
        <f t="shared" si="1652"/>
        <v>0.89999999999999858</v>
      </c>
      <c r="K335" s="38">
        <f t="shared" si="1652"/>
        <v>0.93999999999999773</v>
      </c>
      <c r="L335" s="39">
        <f t="shared" si="1652"/>
        <v>0.32999999999999829</v>
      </c>
      <c r="M335" s="38"/>
      <c r="N335" s="40"/>
      <c r="O335" s="40"/>
      <c r="P335" s="40"/>
      <c r="Q335" s="40"/>
      <c r="R335" s="40"/>
      <c r="S335" s="40">
        <f t="shared" ref="S335:T335" si="1653">(B334+B335)/2</f>
        <v>92.43</v>
      </c>
      <c r="T335" s="40">
        <f t="shared" si="1653"/>
        <v>74.949999999999989</v>
      </c>
      <c r="U335" s="40">
        <f t="shared" si="1283"/>
        <v>62.33</v>
      </c>
      <c r="V335" s="40">
        <f t="shared" ref="V335:W335" si="1654">(E334+E335)/2</f>
        <v>42.32</v>
      </c>
      <c r="W335" s="40">
        <f t="shared" si="1654"/>
        <v>26.015000000000001</v>
      </c>
      <c r="X335" s="41">
        <f t="shared" ref="X335:AB335" si="1655">(SUM(B332:B335))/4</f>
        <v>91.54249999999999</v>
      </c>
      <c r="Y335" s="40">
        <f t="shared" si="1655"/>
        <v>74.607500000000002</v>
      </c>
      <c r="Z335" s="40">
        <f t="shared" si="1655"/>
        <v>62.167499999999997</v>
      </c>
      <c r="AA335" s="40">
        <f t="shared" si="1655"/>
        <v>41.712499999999999</v>
      </c>
      <c r="AB335" s="47">
        <f t="shared" si="1655"/>
        <v>25.85</v>
      </c>
      <c r="AC335" s="42">
        <f t="shared" ref="AC335:AF335" si="1656">(B335+C335)/2</f>
        <v>84.49</v>
      </c>
      <c r="AD335" s="42">
        <f t="shared" si="1656"/>
        <v>69.08</v>
      </c>
      <c r="AE335" s="42">
        <f t="shared" si="1656"/>
        <v>52.784999999999997</v>
      </c>
      <c r="AF335" s="42">
        <f t="shared" si="1656"/>
        <v>34.484999999999999</v>
      </c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8"/>
      <c r="BK335" s="8"/>
      <c r="BL335" s="8"/>
      <c r="BM335" s="8"/>
    </row>
    <row r="336" spans="1:65" ht="15.75" hidden="1" customHeight="1" x14ac:dyDescent="0.45">
      <c r="A336" s="50">
        <f t="shared" si="1280"/>
        <v>43231</v>
      </c>
      <c r="B336" s="51">
        <v>94.89</v>
      </c>
      <c r="C336" s="51">
        <v>76.27</v>
      </c>
      <c r="D336" s="51">
        <v>63.35</v>
      </c>
      <c r="E336" s="51">
        <v>44.02</v>
      </c>
      <c r="F336" s="51">
        <v>26.89</v>
      </c>
      <c r="G336" s="52">
        <v>101.64</v>
      </c>
      <c r="H336" s="37">
        <f t="shared" ref="H336:L336" si="1657">B336-B335</f>
        <v>1.2900000000000063</v>
      </c>
      <c r="I336" s="38">
        <f t="shared" si="1657"/>
        <v>0.89000000000000057</v>
      </c>
      <c r="J336" s="38">
        <f t="shared" si="1657"/>
        <v>0.57000000000000028</v>
      </c>
      <c r="K336" s="38">
        <f t="shared" si="1657"/>
        <v>1.230000000000004</v>
      </c>
      <c r="L336" s="39">
        <f t="shared" si="1657"/>
        <v>0.71000000000000085</v>
      </c>
      <c r="M336" s="38"/>
      <c r="N336" s="40"/>
      <c r="O336" s="40"/>
      <c r="P336" s="40"/>
      <c r="Q336" s="40"/>
      <c r="R336" s="40"/>
      <c r="S336" s="40">
        <f t="shared" ref="S336:T336" si="1658">(B335+B336)/2</f>
        <v>94.245000000000005</v>
      </c>
      <c r="T336" s="40">
        <f t="shared" si="1658"/>
        <v>75.824999999999989</v>
      </c>
      <c r="U336" s="40">
        <f t="shared" si="1283"/>
        <v>63.064999999999998</v>
      </c>
      <c r="V336" s="40">
        <f t="shared" ref="V336:W336" si="1659">(E335+E336)/2</f>
        <v>43.405000000000001</v>
      </c>
      <c r="W336" s="40">
        <f t="shared" si="1659"/>
        <v>26.535</v>
      </c>
      <c r="X336" s="41">
        <f t="shared" ref="X336:AB336" si="1660">(SUM(B333:B336))/4</f>
        <v>92.525000000000006</v>
      </c>
      <c r="Y336" s="40">
        <f t="shared" si="1660"/>
        <v>75.037499999999994</v>
      </c>
      <c r="Z336" s="40">
        <f t="shared" si="1660"/>
        <v>62.412500000000001</v>
      </c>
      <c r="AA336" s="40">
        <f t="shared" si="1660"/>
        <v>42.447500000000005</v>
      </c>
      <c r="AB336" s="47">
        <f t="shared" si="1660"/>
        <v>26.1525</v>
      </c>
      <c r="AC336" s="42">
        <f t="shared" ref="AC336:AF336" si="1661">(B336+C336)/2</f>
        <v>85.58</v>
      </c>
      <c r="AD336" s="42">
        <f t="shared" si="1661"/>
        <v>69.81</v>
      </c>
      <c r="AE336" s="42">
        <f t="shared" si="1661"/>
        <v>53.685000000000002</v>
      </c>
      <c r="AF336" s="42">
        <f t="shared" si="1661"/>
        <v>35.454999999999998</v>
      </c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8"/>
      <c r="BK336" s="8"/>
      <c r="BL336" s="8"/>
      <c r="BM336" s="8"/>
    </row>
    <row r="337" spans="1:65" ht="15.75" hidden="1" customHeight="1" x14ac:dyDescent="0.45">
      <c r="A337" s="50">
        <f t="shared" si="1280"/>
        <v>43238</v>
      </c>
      <c r="B337" s="51">
        <v>98.37</v>
      </c>
      <c r="C337" s="51">
        <v>77.989999999999995</v>
      </c>
      <c r="D337" s="51">
        <v>64.88</v>
      </c>
      <c r="E337" s="51">
        <v>45.55</v>
      </c>
      <c r="F337" s="51">
        <v>27.55</v>
      </c>
      <c r="G337" s="52">
        <v>107.75</v>
      </c>
      <c r="H337" s="37">
        <f t="shared" ref="H337:L337" si="1662">B337-B336</f>
        <v>3.480000000000004</v>
      </c>
      <c r="I337" s="38">
        <f t="shared" si="1662"/>
        <v>1.7199999999999989</v>
      </c>
      <c r="J337" s="38">
        <f t="shared" si="1662"/>
        <v>1.529999999999994</v>
      </c>
      <c r="K337" s="38">
        <f t="shared" si="1662"/>
        <v>1.529999999999994</v>
      </c>
      <c r="L337" s="39">
        <f t="shared" si="1662"/>
        <v>0.66000000000000014</v>
      </c>
      <c r="M337" s="38"/>
      <c r="N337" s="40"/>
      <c r="O337" s="40"/>
      <c r="P337" s="40"/>
      <c r="Q337" s="40"/>
      <c r="R337" s="40"/>
      <c r="S337" s="40">
        <f t="shared" ref="S337:T337" si="1663">(B336+B337)/2</f>
        <v>96.63</v>
      </c>
      <c r="T337" s="40">
        <f t="shared" si="1663"/>
        <v>77.13</v>
      </c>
      <c r="U337" s="40">
        <f t="shared" si="1283"/>
        <v>64.114999999999995</v>
      </c>
      <c r="V337" s="40">
        <f t="shared" ref="V337:W337" si="1664">(E336+E337)/2</f>
        <v>44.784999999999997</v>
      </c>
      <c r="W337" s="40">
        <f t="shared" si="1664"/>
        <v>27.22</v>
      </c>
      <c r="X337" s="41">
        <f t="shared" ref="X337:AB337" si="1665">(SUM(B334:B337))/4</f>
        <v>94.53</v>
      </c>
      <c r="Y337" s="40">
        <f t="shared" si="1665"/>
        <v>76.039999999999992</v>
      </c>
      <c r="Z337" s="40">
        <f t="shared" si="1665"/>
        <v>63.222499999999997</v>
      </c>
      <c r="AA337" s="40">
        <f t="shared" si="1665"/>
        <v>43.552499999999995</v>
      </c>
      <c r="AB337" s="47">
        <f t="shared" si="1665"/>
        <v>26.6175</v>
      </c>
      <c r="AC337" s="42">
        <f t="shared" ref="AC337:AF337" si="1666">(B337+C337)/2</f>
        <v>88.18</v>
      </c>
      <c r="AD337" s="42">
        <f t="shared" si="1666"/>
        <v>71.435000000000002</v>
      </c>
      <c r="AE337" s="42">
        <f t="shared" si="1666"/>
        <v>55.214999999999996</v>
      </c>
      <c r="AF337" s="42">
        <f t="shared" si="1666"/>
        <v>36.549999999999997</v>
      </c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8"/>
      <c r="BK337" s="8"/>
      <c r="BL337" s="8"/>
      <c r="BM337" s="8"/>
    </row>
    <row r="338" spans="1:65" ht="15.75" hidden="1" customHeight="1" x14ac:dyDescent="0.45">
      <c r="A338" s="50">
        <f t="shared" si="1280"/>
        <v>43245</v>
      </c>
      <c r="B338" s="51">
        <v>98.86</v>
      </c>
      <c r="C338" s="51">
        <v>78.53</v>
      </c>
      <c r="D338" s="51">
        <v>65.260000000000005</v>
      </c>
      <c r="E338" s="51">
        <v>45.85</v>
      </c>
      <c r="F338" s="51">
        <v>27.72</v>
      </c>
      <c r="G338" s="52">
        <v>109.82</v>
      </c>
      <c r="H338" s="37">
        <f t="shared" ref="H338:L338" si="1667">B338-B337</f>
        <v>0.48999999999999488</v>
      </c>
      <c r="I338" s="38">
        <f t="shared" si="1667"/>
        <v>0.54000000000000625</v>
      </c>
      <c r="J338" s="38">
        <f t="shared" si="1667"/>
        <v>0.38000000000000966</v>
      </c>
      <c r="K338" s="38">
        <f t="shared" si="1667"/>
        <v>0.30000000000000426</v>
      </c>
      <c r="L338" s="39">
        <f t="shared" si="1667"/>
        <v>0.16999999999999815</v>
      </c>
      <c r="M338" s="38"/>
      <c r="N338" s="40"/>
      <c r="O338" s="40"/>
      <c r="P338" s="40"/>
      <c r="Q338" s="40"/>
      <c r="R338" s="40"/>
      <c r="S338" s="40">
        <f t="shared" ref="S338:T338" si="1668">(B337+B338)/2</f>
        <v>98.615000000000009</v>
      </c>
      <c r="T338" s="40">
        <f t="shared" si="1668"/>
        <v>78.259999999999991</v>
      </c>
      <c r="U338" s="40">
        <f t="shared" si="1283"/>
        <v>65.069999999999993</v>
      </c>
      <c r="V338" s="40">
        <f t="shared" ref="V338:W338" si="1669">(E337+E338)/2</f>
        <v>45.7</v>
      </c>
      <c r="W338" s="40">
        <f t="shared" si="1669"/>
        <v>27.634999999999998</v>
      </c>
      <c r="X338" s="41">
        <f t="shared" ref="X338:AB338" si="1670">(SUM(B335:B338))/4</f>
        <v>96.43</v>
      </c>
      <c r="Y338" s="40">
        <f t="shared" si="1670"/>
        <v>77.04249999999999</v>
      </c>
      <c r="Z338" s="40">
        <f t="shared" si="1670"/>
        <v>64.067499999999995</v>
      </c>
      <c r="AA338" s="40">
        <f t="shared" si="1670"/>
        <v>44.552500000000002</v>
      </c>
      <c r="AB338" s="47">
        <f t="shared" si="1670"/>
        <v>27.085000000000001</v>
      </c>
      <c r="AC338" s="42">
        <f t="shared" ref="AC338:AF338" si="1671">(B338+C338)/2</f>
        <v>88.694999999999993</v>
      </c>
      <c r="AD338" s="42">
        <f t="shared" si="1671"/>
        <v>71.89500000000001</v>
      </c>
      <c r="AE338" s="42">
        <f t="shared" si="1671"/>
        <v>55.555000000000007</v>
      </c>
      <c r="AF338" s="42">
        <f t="shared" si="1671"/>
        <v>36.784999999999997</v>
      </c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8"/>
      <c r="BK338" s="8"/>
      <c r="BL338" s="8"/>
      <c r="BM338" s="8"/>
    </row>
    <row r="339" spans="1:65" ht="15.75" hidden="1" customHeight="1" x14ac:dyDescent="0.45">
      <c r="A339" s="50">
        <f t="shared" si="1280"/>
        <v>43252</v>
      </c>
      <c r="B339" s="51">
        <v>98.92</v>
      </c>
      <c r="C339" s="51">
        <v>79.14</v>
      </c>
      <c r="D339" s="51">
        <v>65.680000000000007</v>
      </c>
      <c r="E339" s="51">
        <v>46.82</v>
      </c>
      <c r="F339" s="51">
        <v>28.08</v>
      </c>
      <c r="G339" s="52">
        <v>108.89</v>
      </c>
      <c r="H339" s="37">
        <f t="shared" ref="H339:L339" si="1672">B339-B338</f>
        <v>6.0000000000002274E-2</v>
      </c>
      <c r="I339" s="38">
        <f t="shared" si="1672"/>
        <v>0.60999999999999943</v>
      </c>
      <c r="J339" s="38">
        <f t="shared" si="1672"/>
        <v>0.42000000000000171</v>
      </c>
      <c r="K339" s="38">
        <f t="shared" si="1672"/>
        <v>0.96999999999999886</v>
      </c>
      <c r="L339" s="39">
        <f t="shared" si="1672"/>
        <v>0.35999999999999943</v>
      </c>
      <c r="M339" s="38"/>
      <c r="N339" s="40"/>
      <c r="O339" s="40"/>
      <c r="P339" s="40"/>
      <c r="Q339" s="40"/>
      <c r="R339" s="40"/>
      <c r="S339" s="40">
        <f t="shared" ref="S339:T339" si="1673">(B338+B339)/2</f>
        <v>98.89</v>
      </c>
      <c r="T339" s="40">
        <f t="shared" si="1673"/>
        <v>78.835000000000008</v>
      </c>
      <c r="U339" s="40">
        <f t="shared" si="1283"/>
        <v>65.47</v>
      </c>
      <c r="V339" s="40">
        <f t="shared" ref="V339:W339" si="1674">(E338+E339)/2</f>
        <v>46.335000000000001</v>
      </c>
      <c r="W339" s="40">
        <f t="shared" si="1674"/>
        <v>27.9</v>
      </c>
      <c r="X339" s="41">
        <f t="shared" ref="X339:AB339" si="1675">(SUM(B336:B339))/4</f>
        <v>97.76</v>
      </c>
      <c r="Y339" s="40">
        <f t="shared" si="1675"/>
        <v>77.982500000000002</v>
      </c>
      <c r="Z339" s="40">
        <f t="shared" si="1675"/>
        <v>64.792500000000004</v>
      </c>
      <c r="AA339" s="40">
        <f t="shared" si="1675"/>
        <v>45.559999999999995</v>
      </c>
      <c r="AB339" s="47">
        <f t="shared" si="1675"/>
        <v>27.56</v>
      </c>
      <c r="AC339" s="42">
        <f t="shared" ref="AC339:AF339" si="1676">(B339+C339)/2</f>
        <v>89.03</v>
      </c>
      <c r="AD339" s="42">
        <f t="shared" si="1676"/>
        <v>72.41</v>
      </c>
      <c r="AE339" s="42">
        <f t="shared" si="1676"/>
        <v>56.25</v>
      </c>
      <c r="AF339" s="42">
        <f t="shared" si="1676"/>
        <v>37.450000000000003</v>
      </c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8"/>
      <c r="BK339" s="8"/>
      <c r="BL339" s="8"/>
      <c r="BM339" s="8"/>
    </row>
    <row r="340" spans="1:65" ht="15.75" hidden="1" customHeight="1" x14ac:dyDescent="0.45">
      <c r="A340" s="50">
        <f t="shared" si="1280"/>
        <v>43259</v>
      </c>
      <c r="B340" s="51">
        <v>101.32</v>
      </c>
      <c r="C340" s="51">
        <v>80.13</v>
      </c>
      <c r="D340" s="51">
        <v>66.66</v>
      </c>
      <c r="E340" s="51">
        <v>47.74</v>
      </c>
      <c r="F340" s="51">
        <v>28.57</v>
      </c>
      <c r="G340" s="52">
        <v>113.3</v>
      </c>
      <c r="H340" s="37">
        <f t="shared" ref="H340:L340" si="1677">B340-B339</f>
        <v>2.3999999999999915</v>
      </c>
      <c r="I340" s="38">
        <f t="shared" si="1677"/>
        <v>0.98999999999999488</v>
      </c>
      <c r="J340" s="38">
        <f t="shared" si="1677"/>
        <v>0.97999999999998977</v>
      </c>
      <c r="K340" s="38">
        <f t="shared" si="1677"/>
        <v>0.92000000000000171</v>
      </c>
      <c r="L340" s="39">
        <f t="shared" si="1677"/>
        <v>0.49000000000000199</v>
      </c>
      <c r="M340" s="38"/>
      <c r="N340" s="40"/>
      <c r="O340" s="40"/>
      <c r="P340" s="40"/>
      <c r="Q340" s="40"/>
      <c r="R340" s="40"/>
      <c r="S340" s="40">
        <f t="shared" ref="S340:T340" si="1678">(B339+B340)/2</f>
        <v>100.12</v>
      </c>
      <c r="T340" s="40">
        <f t="shared" si="1678"/>
        <v>79.634999999999991</v>
      </c>
      <c r="U340" s="40">
        <f t="shared" si="1283"/>
        <v>66.17</v>
      </c>
      <c r="V340" s="40">
        <f t="shared" ref="V340:W340" si="1679">(E339+E340)/2</f>
        <v>47.28</v>
      </c>
      <c r="W340" s="40">
        <f t="shared" si="1679"/>
        <v>28.324999999999999</v>
      </c>
      <c r="X340" s="41">
        <f t="shared" ref="X340:AB340" si="1680">(SUM(B337:B340))/4</f>
        <v>99.367500000000007</v>
      </c>
      <c r="Y340" s="40">
        <f t="shared" si="1680"/>
        <v>78.947499999999991</v>
      </c>
      <c r="Z340" s="40">
        <f t="shared" si="1680"/>
        <v>65.62</v>
      </c>
      <c r="AA340" s="40">
        <f t="shared" si="1680"/>
        <v>46.49</v>
      </c>
      <c r="AB340" s="47">
        <f t="shared" si="1680"/>
        <v>27.979999999999997</v>
      </c>
      <c r="AC340" s="42">
        <f t="shared" ref="AC340:AF340" si="1681">(B340+C340)/2</f>
        <v>90.724999999999994</v>
      </c>
      <c r="AD340" s="42">
        <f t="shared" si="1681"/>
        <v>73.394999999999996</v>
      </c>
      <c r="AE340" s="42">
        <f t="shared" si="1681"/>
        <v>57.2</v>
      </c>
      <c r="AF340" s="42">
        <f t="shared" si="1681"/>
        <v>38.155000000000001</v>
      </c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8"/>
      <c r="BK340" s="8"/>
      <c r="BL340" s="8"/>
      <c r="BM340" s="8"/>
    </row>
    <row r="341" spans="1:65" ht="15.75" hidden="1" customHeight="1" x14ac:dyDescent="0.45">
      <c r="A341" s="50">
        <f t="shared" si="1280"/>
        <v>43266</v>
      </c>
      <c r="B341" s="51">
        <v>102.99</v>
      </c>
      <c r="C341" s="51">
        <v>80.5</v>
      </c>
      <c r="D341" s="51">
        <v>66.83</v>
      </c>
      <c r="E341" s="51">
        <v>48.08</v>
      </c>
      <c r="F341" s="51">
        <v>28.64</v>
      </c>
      <c r="G341" s="52">
        <v>118.09</v>
      </c>
      <c r="H341" s="37">
        <f t="shared" ref="H341:L341" si="1682">B341-B340</f>
        <v>1.6700000000000017</v>
      </c>
      <c r="I341" s="38">
        <f t="shared" si="1682"/>
        <v>0.37000000000000455</v>
      </c>
      <c r="J341" s="38">
        <f t="shared" si="1682"/>
        <v>0.17000000000000171</v>
      </c>
      <c r="K341" s="38">
        <f t="shared" si="1682"/>
        <v>0.33999999999999631</v>
      </c>
      <c r="L341" s="39">
        <f t="shared" si="1682"/>
        <v>7.0000000000000284E-2</v>
      </c>
      <c r="M341" s="38"/>
      <c r="N341" s="40"/>
      <c r="O341" s="40"/>
      <c r="P341" s="40"/>
      <c r="Q341" s="40"/>
      <c r="R341" s="40"/>
      <c r="S341" s="40">
        <f t="shared" ref="S341:T341" si="1683">(B340+B341)/2</f>
        <v>102.155</v>
      </c>
      <c r="T341" s="40">
        <f t="shared" si="1683"/>
        <v>80.314999999999998</v>
      </c>
      <c r="U341" s="40">
        <f t="shared" si="1283"/>
        <v>66.745000000000005</v>
      </c>
      <c r="V341" s="40">
        <f t="shared" ref="V341:W341" si="1684">(E340+E341)/2</f>
        <v>47.91</v>
      </c>
      <c r="W341" s="40">
        <f t="shared" si="1684"/>
        <v>28.605</v>
      </c>
      <c r="X341" s="41">
        <f t="shared" ref="X341:AB341" si="1685">(SUM(B338:B341))/4</f>
        <v>100.52250000000001</v>
      </c>
      <c r="Y341" s="40">
        <f t="shared" si="1685"/>
        <v>79.575000000000003</v>
      </c>
      <c r="Z341" s="40">
        <f t="shared" si="1685"/>
        <v>66.107500000000002</v>
      </c>
      <c r="AA341" s="40">
        <f t="shared" si="1685"/>
        <v>47.122500000000002</v>
      </c>
      <c r="AB341" s="47">
        <f t="shared" si="1685"/>
        <v>28.252500000000001</v>
      </c>
      <c r="AC341" s="42">
        <f t="shared" ref="AC341:AF341" si="1686">(B341+C341)/2</f>
        <v>91.745000000000005</v>
      </c>
      <c r="AD341" s="42">
        <f t="shared" si="1686"/>
        <v>73.664999999999992</v>
      </c>
      <c r="AE341" s="42">
        <f t="shared" si="1686"/>
        <v>57.454999999999998</v>
      </c>
      <c r="AF341" s="42">
        <f t="shared" si="1686"/>
        <v>38.36</v>
      </c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8"/>
      <c r="BK341" s="8"/>
      <c r="BL341" s="8"/>
      <c r="BM341" s="8"/>
    </row>
    <row r="342" spans="1:65" ht="15.75" hidden="1" customHeight="1" x14ac:dyDescent="0.45">
      <c r="A342" s="50">
        <f t="shared" si="1280"/>
        <v>43273</v>
      </c>
      <c r="B342" s="51">
        <v>102.79</v>
      </c>
      <c r="C342" s="51">
        <v>81.11</v>
      </c>
      <c r="D342" s="51">
        <v>67.680000000000007</v>
      </c>
      <c r="E342" s="51">
        <v>48.71</v>
      </c>
      <c r="F342" s="51">
        <v>29.5</v>
      </c>
      <c r="G342" s="52">
        <v>116.27</v>
      </c>
      <c r="H342" s="37">
        <f t="shared" ref="H342:L342" si="1687">B342-B341</f>
        <v>-0.19999999999998863</v>
      </c>
      <c r="I342" s="38">
        <f t="shared" si="1687"/>
        <v>0.60999999999999943</v>
      </c>
      <c r="J342" s="38">
        <f t="shared" si="1687"/>
        <v>0.85000000000000853</v>
      </c>
      <c r="K342" s="38">
        <f t="shared" si="1687"/>
        <v>0.63000000000000256</v>
      </c>
      <c r="L342" s="39">
        <f t="shared" si="1687"/>
        <v>0.85999999999999943</v>
      </c>
      <c r="M342" s="38"/>
      <c r="N342" s="40"/>
      <c r="O342" s="40"/>
      <c r="P342" s="40"/>
      <c r="Q342" s="40"/>
      <c r="R342" s="40"/>
      <c r="S342" s="40">
        <f t="shared" ref="S342:T342" si="1688">(B341+B342)/2</f>
        <v>102.89</v>
      </c>
      <c r="T342" s="40">
        <f t="shared" si="1688"/>
        <v>80.805000000000007</v>
      </c>
      <c r="U342" s="40">
        <f t="shared" si="1283"/>
        <v>67.254999999999995</v>
      </c>
      <c r="V342" s="40">
        <f t="shared" ref="V342:W342" si="1689">(E341+E342)/2</f>
        <v>48.394999999999996</v>
      </c>
      <c r="W342" s="40">
        <f t="shared" si="1689"/>
        <v>29.07</v>
      </c>
      <c r="X342" s="41">
        <f t="shared" ref="X342:AB342" si="1690">(SUM(B339:B342))/4</f>
        <v>101.50500000000001</v>
      </c>
      <c r="Y342" s="40">
        <f t="shared" si="1690"/>
        <v>80.22</v>
      </c>
      <c r="Z342" s="40">
        <f t="shared" si="1690"/>
        <v>66.712500000000006</v>
      </c>
      <c r="AA342" s="40">
        <f t="shared" si="1690"/>
        <v>47.837499999999999</v>
      </c>
      <c r="AB342" s="47">
        <f t="shared" si="1690"/>
        <v>28.697499999999998</v>
      </c>
      <c r="AC342" s="42">
        <f t="shared" ref="AC342:AF342" si="1691">(B342+C342)/2</f>
        <v>91.95</v>
      </c>
      <c r="AD342" s="42">
        <f t="shared" si="1691"/>
        <v>74.39500000000001</v>
      </c>
      <c r="AE342" s="42">
        <f t="shared" si="1691"/>
        <v>58.195000000000007</v>
      </c>
      <c r="AF342" s="42">
        <f t="shared" si="1691"/>
        <v>39.105000000000004</v>
      </c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8"/>
      <c r="BK342" s="8"/>
      <c r="BL342" s="8"/>
      <c r="BM342" s="8"/>
    </row>
    <row r="343" spans="1:65" ht="15.75" hidden="1" customHeight="1" x14ac:dyDescent="0.45">
      <c r="A343" s="50">
        <f t="shared" si="1280"/>
        <v>43280</v>
      </c>
      <c r="B343" s="51">
        <v>102.17</v>
      </c>
      <c r="C343" s="51">
        <v>81.14</v>
      </c>
      <c r="D343" s="51">
        <v>67.150000000000006</v>
      </c>
      <c r="E343" s="51">
        <v>47.82</v>
      </c>
      <c r="F343" s="51">
        <v>29.03</v>
      </c>
      <c r="G343" s="52">
        <v>117.26</v>
      </c>
      <c r="H343" s="37">
        <f t="shared" ref="H343:L343" si="1692">B343-B342</f>
        <v>-0.62000000000000455</v>
      </c>
      <c r="I343" s="38">
        <f t="shared" si="1692"/>
        <v>3.0000000000001137E-2</v>
      </c>
      <c r="J343" s="38">
        <f t="shared" si="1692"/>
        <v>-0.53000000000000114</v>
      </c>
      <c r="K343" s="38">
        <f t="shared" si="1692"/>
        <v>-0.89000000000000057</v>
      </c>
      <c r="L343" s="39">
        <f t="shared" si="1692"/>
        <v>-0.46999999999999886</v>
      </c>
      <c r="M343" s="38"/>
      <c r="N343" s="40"/>
      <c r="O343" s="40"/>
      <c r="P343" s="40"/>
      <c r="Q343" s="40"/>
      <c r="R343" s="40"/>
      <c r="S343" s="40">
        <f t="shared" ref="S343:T343" si="1693">(B342+B343)/2</f>
        <v>102.48</v>
      </c>
      <c r="T343" s="40">
        <f t="shared" si="1693"/>
        <v>81.125</v>
      </c>
      <c r="U343" s="40">
        <f t="shared" si="1283"/>
        <v>67.415000000000006</v>
      </c>
      <c r="V343" s="40">
        <f t="shared" ref="V343:W343" si="1694">(E342+E343)/2</f>
        <v>48.265000000000001</v>
      </c>
      <c r="W343" s="40">
        <f t="shared" si="1694"/>
        <v>29.265000000000001</v>
      </c>
      <c r="X343" s="41">
        <f t="shared" ref="X343:AB343" si="1695">(SUM(B340:B343))/4</f>
        <v>102.31750000000001</v>
      </c>
      <c r="Y343" s="40">
        <f t="shared" si="1695"/>
        <v>80.72</v>
      </c>
      <c r="Z343" s="40">
        <f t="shared" si="1695"/>
        <v>67.080000000000013</v>
      </c>
      <c r="AA343" s="40">
        <f t="shared" si="1695"/>
        <v>48.087499999999999</v>
      </c>
      <c r="AB343" s="47">
        <f t="shared" si="1695"/>
        <v>28.935000000000002</v>
      </c>
      <c r="AC343" s="42">
        <f t="shared" ref="AC343:AF343" si="1696">(B343+C343)/2</f>
        <v>91.655000000000001</v>
      </c>
      <c r="AD343" s="42">
        <f t="shared" si="1696"/>
        <v>74.14500000000001</v>
      </c>
      <c r="AE343" s="42">
        <f t="shared" si="1696"/>
        <v>57.484999999999999</v>
      </c>
      <c r="AF343" s="42">
        <f t="shared" si="1696"/>
        <v>38.424999999999997</v>
      </c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8"/>
      <c r="BK343" s="8"/>
      <c r="BL343" s="8"/>
      <c r="BM343" s="8"/>
    </row>
    <row r="344" spans="1:65" ht="15.75" hidden="1" customHeight="1" x14ac:dyDescent="0.45">
      <c r="A344" s="50">
        <f t="shared" si="1280"/>
        <v>43287</v>
      </c>
      <c r="B344" s="51">
        <v>102.18</v>
      </c>
      <c r="C344" s="51">
        <v>81.14</v>
      </c>
      <c r="D344" s="51">
        <v>66.760000000000005</v>
      </c>
      <c r="E344" s="51">
        <v>47.63</v>
      </c>
      <c r="F344" s="51">
        <v>28.69</v>
      </c>
      <c r="G344" s="52">
        <v>117.58</v>
      </c>
      <c r="H344" s="37">
        <f t="shared" ref="H344:L344" si="1697">B344-B343</f>
        <v>1.0000000000005116E-2</v>
      </c>
      <c r="I344" s="38">
        <f t="shared" si="1697"/>
        <v>0</v>
      </c>
      <c r="J344" s="38">
        <f t="shared" si="1697"/>
        <v>-0.39000000000000057</v>
      </c>
      <c r="K344" s="38">
        <f t="shared" si="1697"/>
        <v>-0.18999999999999773</v>
      </c>
      <c r="L344" s="39">
        <f t="shared" si="1697"/>
        <v>-0.33999999999999986</v>
      </c>
      <c r="M344" s="38"/>
      <c r="N344" s="40"/>
      <c r="O344" s="40"/>
      <c r="P344" s="40"/>
      <c r="Q344" s="40"/>
      <c r="R344" s="40"/>
      <c r="S344" s="40">
        <f t="shared" ref="S344:T344" si="1698">(B343+B344)/2</f>
        <v>102.17500000000001</v>
      </c>
      <c r="T344" s="40">
        <f t="shared" si="1698"/>
        <v>81.14</v>
      </c>
      <c r="U344" s="40">
        <f t="shared" si="1283"/>
        <v>66.955000000000013</v>
      </c>
      <c r="V344" s="40">
        <f t="shared" ref="V344:W344" si="1699">(E343+E344)/2</f>
        <v>47.725000000000001</v>
      </c>
      <c r="W344" s="40">
        <f t="shared" si="1699"/>
        <v>28.86</v>
      </c>
      <c r="X344" s="41">
        <f t="shared" ref="X344:AB344" si="1700">(SUM(B341:B344))/4</f>
        <v>102.5325</v>
      </c>
      <c r="Y344" s="40">
        <f t="shared" si="1700"/>
        <v>80.972499999999997</v>
      </c>
      <c r="Z344" s="40">
        <f t="shared" si="1700"/>
        <v>67.105000000000004</v>
      </c>
      <c r="AA344" s="40">
        <f t="shared" si="1700"/>
        <v>48.059999999999995</v>
      </c>
      <c r="AB344" s="47">
        <f t="shared" si="1700"/>
        <v>28.965</v>
      </c>
      <c r="AC344" s="42">
        <f t="shared" ref="AC344:AF344" si="1701">(B344+C344)/2</f>
        <v>91.66</v>
      </c>
      <c r="AD344" s="42">
        <f t="shared" si="1701"/>
        <v>73.95</v>
      </c>
      <c r="AE344" s="42">
        <f t="shared" si="1701"/>
        <v>57.195000000000007</v>
      </c>
      <c r="AF344" s="42">
        <f t="shared" si="1701"/>
        <v>38.160000000000004</v>
      </c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8"/>
      <c r="BK344" s="8"/>
      <c r="BL344" s="8"/>
      <c r="BM344" s="8"/>
    </row>
    <row r="345" spans="1:65" ht="15.75" hidden="1" customHeight="1" x14ac:dyDescent="0.45">
      <c r="A345" s="50">
        <f t="shared" si="1280"/>
        <v>43294</v>
      </c>
      <c r="B345" s="51">
        <v>103.92</v>
      </c>
      <c r="C345" s="51">
        <v>81.17</v>
      </c>
      <c r="D345" s="51">
        <v>67.23</v>
      </c>
      <c r="E345" s="51">
        <v>47.64</v>
      </c>
      <c r="F345" s="51">
        <v>28.42</v>
      </c>
      <c r="G345" s="52">
        <v>118.49</v>
      </c>
      <c r="H345" s="37">
        <f t="shared" ref="H345:L345" si="1702">B345-B344</f>
        <v>1.7399999999999949</v>
      </c>
      <c r="I345" s="38">
        <f t="shared" si="1702"/>
        <v>3.0000000000001137E-2</v>
      </c>
      <c r="J345" s="38">
        <f t="shared" si="1702"/>
        <v>0.46999999999999886</v>
      </c>
      <c r="K345" s="38">
        <f t="shared" si="1702"/>
        <v>9.9999999999980105E-3</v>
      </c>
      <c r="L345" s="39">
        <f t="shared" si="1702"/>
        <v>-0.26999999999999957</v>
      </c>
      <c r="M345" s="38"/>
      <c r="N345" s="40"/>
      <c r="O345" s="40"/>
      <c r="P345" s="40"/>
      <c r="Q345" s="40"/>
      <c r="R345" s="40"/>
      <c r="S345" s="40">
        <f t="shared" ref="S345:T345" si="1703">(B344+B345)/2</f>
        <v>103.05000000000001</v>
      </c>
      <c r="T345" s="40">
        <f t="shared" si="1703"/>
        <v>81.155000000000001</v>
      </c>
      <c r="U345" s="40">
        <f t="shared" si="1283"/>
        <v>66.995000000000005</v>
      </c>
      <c r="V345" s="40">
        <f t="shared" ref="V345:W345" si="1704">(E344+E345)/2</f>
        <v>47.635000000000005</v>
      </c>
      <c r="W345" s="40">
        <f t="shared" si="1704"/>
        <v>28.555</v>
      </c>
      <c r="X345" s="41">
        <f t="shared" ref="X345:AB345" si="1705">(SUM(B342:B345))/4</f>
        <v>102.765</v>
      </c>
      <c r="Y345" s="40">
        <f t="shared" si="1705"/>
        <v>81.14</v>
      </c>
      <c r="Z345" s="40">
        <f t="shared" si="1705"/>
        <v>67.205000000000013</v>
      </c>
      <c r="AA345" s="40">
        <f t="shared" si="1705"/>
        <v>47.95</v>
      </c>
      <c r="AB345" s="47">
        <f t="shared" si="1705"/>
        <v>28.91</v>
      </c>
      <c r="AC345" s="42">
        <f t="shared" ref="AC345:AF345" si="1706">(B345+C345)/2</f>
        <v>92.545000000000002</v>
      </c>
      <c r="AD345" s="42">
        <f t="shared" si="1706"/>
        <v>74.2</v>
      </c>
      <c r="AE345" s="42">
        <f t="shared" si="1706"/>
        <v>57.435000000000002</v>
      </c>
      <c r="AF345" s="42">
        <f t="shared" si="1706"/>
        <v>38.03</v>
      </c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8"/>
      <c r="BK345" s="8"/>
      <c r="BL345" s="8"/>
      <c r="BM345" s="8"/>
    </row>
    <row r="346" spans="1:65" ht="15.75" hidden="1" customHeight="1" x14ac:dyDescent="0.45">
      <c r="A346" s="50">
        <f t="shared" si="1280"/>
        <v>43301</v>
      </c>
      <c r="B346" s="51">
        <v>105.78</v>
      </c>
      <c r="C346" s="51">
        <v>80.459999999999994</v>
      </c>
      <c r="D346" s="51">
        <v>65.650000000000006</v>
      </c>
      <c r="E346" s="51">
        <v>47.48</v>
      </c>
      <c r="F346" s="51">
        <v>28.31</v>
      </c>
      <c r="G346" s="52">
        <v>122.57</v>
      </c>
      <c r="H346" s="37">
        <f t="shared" ref="H346:L346" si="1707">B346-B345</f>
        <v>1.8599999999999994</v>
      </c>
      <c r="I346" s="38">
        <f t="shared" si="1707"/>
        <v>-0.71000000000000796</v>
      </c>
      <c r="J346" s="38">
        <f t="shared" si="1707"/>
        <v>-1.5799999999999983</v>
      </c>
      <c r="K346" s="38">
        <f t="shared" si="1707"/>
        <v>-0.16000000000000369</v>
      </c>
      <c r="L346" s="39">
        <f t="shared" si="1707"/>
        <v>-0.11000000000000298</v>
      </c>
      <c r="M346" s="38"/>
      <c r="N346" s="40"/>
      <c r="O346" s="40"/>
      <c r="P346" s="40"/>
      <c r="Q346" s="40"/>
      <c r="R346" s="40"/>
      <c r="S346" s="40">
        <f t="shared" ref="S346:T346" si="1708">(B345+B346)/2</f>
        <v>104.85</v>
      </c>
      <c r="T346" s="40">
        <f t="shared" si="1708"/>
        <v>80.814999999999998</v>
      </c>
      <c r="U346" s="40">
        <f t="shared" si="1283"/>
        <v>66.44</v>
      </c>
      <c r="V346" s="40">
        <f t="shared" ref="V346:W346" si="1709">(E345+E346)/2</f>
        <v>47.56</v>
      </c>
      <c r="W346" s="40">
        <f t="shared" si="1709"/>
        <v>28.365000000000002</v>
      </c>
      <c r="X346" s="41">
        <f t="shared" ref="X346:AB346" si="1710">(SUM(B343:B346))/4</f>
        <v>103.51250000000002</v>
      </c>
      <c r="Y346" s="40">
        <f t="shared" si="1710"/>
        <v>80.977499999999992</v>
      </c>
      <c r="Z346" s="40">
        <f t="shared" si="1710"/>
        <v>66.697500000000019</v>
      </c>
      <c r="AA346" s="40">
        <f t="shared" si="1710"/>
        <v>47.642499999999998</v>
      </c>
      <c r="AB346" s="47">
        <f t="shared" si="1710"/>
        <v>28.612500000000001</v>
      </c>
      <c r="AC346" s="42">
        <f t="shared" ref="AC346:AF346" si="1711">(B346+C346)/2</f>
        <v>93.12</v>
      </c>
      <c r="AD346" s="42">
        <f t="shared" si="1711"/>
        <v>73.055000000000007</v>
      </c>
      <c r="AE346" s="42">
        <f t="shared" si="1711"/>
        <v>56.564999999999998</v>
      </c>
      <c r="AF346" s="42">
        <f t="shared" si="1711"/>
        <v>37.894999999999996</v>
      </c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8"/>
      <c r="BK346" s="8"/>
      <c r="BL346" s="8"/>
      <c r="BM346" s="8"/>
    </row>
    <row r="347" spans="1:65" ht="15.75" hidden="1" customHeight="1" x14ac:dyDescent="0.45">
      <c r="A347" s="50">
        <f t="shared" si="1280"/>
        <v>43308</v>
      </c>
      <c r="B347" s="51">
        <v>105.17</v>
      </c>
      <c r="C347" s="51">
        <v>79.78</v>
      </c>
      <c r="D347" s="51">
        <v>63.35</v>
      </c>
      <c r="E347" s="51">
        <v>45.06</v>
      </c>
      <c r="F347" s="51">
        <v>27.48</v>
      </c>
      <c r="G347" s="52">
        <v>120.7</v>
      </c>
      <c r="H347" s="37">
        <f t="shared" ref="H347:L347" si="1712">B347-B346</f>
        <v>-0.60999999999999943</v>
      </c>
      <c r="I347" s="38">
        <f t="shared" si="1712"/>
        <v>-0.67999999999999261</v>
      </c>
      <c r="J347" s="38">
        <f t="shared" si="1712"/>
        <v>-2.3000000000000043</v>
      </c>
      <c r="K347" s="38">
        <f t="shared" si="1712"/>
        <v>-2.4199999999999946</v>
      </c>
      <c r="L347" s="39">
        <f t="shared" si="1712"/>
        <v>-0.82999999999999829</v>
      </c>
      <c r="M347" s="38"/>
      <c r="N347" s="40"/>
      <c r="O347" s="40"/>
      <c r="P347" s="40"/>
      <c r="Q347" s="40"/>
      <c r="R347" s="40"/>
      <c r="S347" s="40">
        <f t="shared" ref="S347:T347" si="1713">(B346+B347)/2</f>
        <v>105.47499999999999</v>
      </c>
      <c r="T347" s="40">
        <f t="shared" si="1713"/>
        <v>80.12</v>
      </c>
      <c r="U347" s="40">
        <f t="shared" si="1283"/>
        <v>64.5</v>
      </c>
      <c r="V347" s="40">
        <f t="shared" ref="V347:W347" si="1714">(E346+E347)/2</f>
        <v>46.269999999999996</v>
      </c>
      <c r="W347" s="40">
        <f t="shared" si="1714"/>
        <v>27.895</v>
      </c>
      <c r="X347" s="41">
        <f t="shared" ref="X347:AB347" si="1715">(SUM(B344:B347))/4</f>
        <v>104.2625</v>
      </c>
      <c r="Y347" s="40">
        <f t="shared" si="1715"/>
        <v>80.637499999999989</v>
      </c>
      <c r="Z347" s="40">
        <f t="shared" si="1715"/>
        <v>65.747500000000002</v>
      </c>
      <c r="AA347" s="40">
        <f t="shared" si="1715"/>
        <v>46.952500000000001</v>
      </c>
      <c r="AB347" s="47">
        <f t="shared" si="1715"/>
        <v>28.225000000000001</v>
      </c>
      <c r="AC347" s="42">
        <f t="shared" ref="AC347:AF347" si="1716">(B347+C347)/2</f>
        <v>92.474999999999994</v>
      </c>
      <c r="AD347" s="42">
        <f t="shared" si="1716"/>
        <v>71.564999999999998</v>
      </c>
      <c r="AE347" s="42">
        <f t="shared" si="1716"/>
        <v>54.204999999999998</v>
      </c>
      <c r="AF347" s="42">
        <f t="shared" si="1716"/>
        <v>36.270000000000003</v>
      </c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8"/>
      <c r="BK347" s="8"/>
      <c r="BL347" s="8"/>
      <c r="BM347" s="8"/>
    </row>
    <row r="348" spans="1:65" ht="15.75" hidden="1" customHeight="1" x14ac:dyDescent="0.45">
      <c r="A348" s="50">
        <f t="shared" si="1280"/>
        <v>43315</v>
      </c>
      <c r="B348" s="51">
        <v>104.26</v>
      </c>
      <c r="C348" s="51">
        <v>76.650000000000006</v>
      </c>
      <c r="D348" s="51">
        <v>61.02</v>
      </c>
      <c r="E348" s="51">
        <v>42</v>
      </c>
      <c r="F348" s="51">
        <v>26.72</v>
      </c>
      <c r="G348" s="52">
        <v>120.41</v>
      </c>
      <c r="H348" s="37">
        <f t="shared" ref="H348:L348" si="1717">B348-B347</f>
        <v>-0.90999999999999659</v>
      </c>
      <c r="I348" s="38">
        <f t="shared" si="1717"/>
        <v>-3.1299999999999955</v>
      </c>
      <c r="J348" s="38">
        <f t="shared" si="1717"/>
        <v>-2.3299999999999983</v>
      </c>
      <c r="K348" s="38">
        <f t="shared" si="1717"/>
        <v>-3.0600000000000023</v>
      </c>
      <c r="L348" s="39">
        <f t="shared" si="1717"/>
        <v>-0.76000000000000156</v>
      </c>
      <c r="M348" s="38"/>
      <c r="N348" s="40"/>
      <c r="O348" s="40"/>
      <c r="P348" s="40"/>
      <c r="Q348" s="40"/>
      <c r="R348" s="40"/>
      <c r="S348" s="40">
        <f t="shared" ref="S348:T348" si="1718">(B347+B348)/2</f>
        <v>104.715</v>
      </c>
      <c r="T348" s="40">
        <f t="shared" si="1718"/>
        <v>78.215000000000003</v>
      </c>
      <c r="U348" s="40">
        <f t="shared" si="1283"/>
        <v>62.185000000000002</v>
      </c>
      <c r="V348" s="40">
        <f t="shared" ref="V348:W348" si="1719">(E347+E348)/2</f>
        <v>43.53</v>
      </c>
      <c r="W348" s="40">
        <f t="shared" si="1719"/>
        <v>27.1</v>
      </c>
      <c r="X348" s="41">
        <f t="shared" ref="X348:AB348" si="1720">(SUM(B345:B348))/4</f>
        <v>104.7825</v>
      </c>
      <c r="Y348" s="40">
        <f t="shared" si="1720"/>
        <v>79.515000000000001</v>
      </c>
      <c r="Z348" s="40">
        <f t="shared" si="1720"/>
        <v>64.3125</v>
      </c>
      <c r="AA348" s="40">
        <f t="shared" si="1720"/>
        <v>45.545000000000002</v>
      </c>
      <c r="AB348" s="47">
        <f t="shared" si="1720"/>
        <v>27.732500000000002</v>
      </c>
      <c r="AC348" s="42">
        <f t="shared" ref="AC348:AF348" si="1721">(B348+C348)/2</f>
        <v>90.455000000000013</v>
      </c>
      <c r="AD348" s="42">
        <f t="shared" si="1721"/>
        <v>68.835000000000008</v>
      </c>
      <c r="AE348" s="42">
        <f t="shared" si="1721"/>
        <v>51.510000000000005</v>
      </c>
      <c r="AF348" s="42">
        <f t="shared" si="1721"/>
        <v>34.36</v>
      </c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8"/>
      <c r="BK348" s="8"/>
      <c r="BL348" s="8"/>
      <c r="BM348" s="8"/>
    </row>
    <row r="349" spans="1:65" ht="15.75" hidden="1" customHeight="1" x14ac:dyDescent="0.45">
      <c r="A349" s="50">
        <f t="shared" si="1280"/>
        <v>43322</v>
      </c>
      <c r="B349" s="51">
        <v>102.55</v>
      </c>
      <c r="C349" s="51">
        <v>75.16</v>
      </c>
      <c r="D349" s="51">
        <v>59.98</v>
      </c>
      <c r="E349" s="51">
        <v>40.479999999999997</v>
      </c>
      <c r="F349" s="51">
        <v>26.25</v>
      </c>
      <c r="G349" s="52">
        <v>118.29</v>
      </c>
      <c r="H349" s="37">
        <f t="shared" ref="H349:L349" si="1722">B349-B348</f>
        <v>-1.710000000000008</v>
      </c>
      <c r="I349" s="38">
        <f t="shared" si="1722"/>
        <v>-1.4900000000000091</v>
      </c>
      <c r="J349" s="38">
        <f t="shared" si="1722"/>
        <v>-1.0400000000000063</v>
      </c>
      <c r="K349" s="38">
        <f t="shared" si="1722"/>
        <v>-1.5200000000000031</v>
      </c>
      <c r="L349" s="39">
        <f t="shared" si="1722"/>
        <v>-0.46999999999999886</v>
      </c>
      <c r="M349" s="38"/>
      <c r="N349" s="40"/>
      <c r="O349" s="40"/>
      <c r="P349" s="40"/>
      <c r="Q349" s="40"/>
      <c r="R349" s="40"/>
      <c r="S349" s="40">
        <f t="shared" ref="S349:T349" si="1723">(B348+B349)/2</f>
        <v>103.405</v>
      </c>
      <c r="T349" s="40">
        <f t="shared" si="1723"/>
        <v>75.905000000000001</v>
      </c>
      <c r="U349" s="40">
        <f t="shared" si="1283"/>
        <v>60.5</v>
      </c>
      <c r="V349" s="40">
        <f t="shared" ref="V349:W349" si="1724">(E348+E349)/2</f>
        <v>41.239999999999995</v>
      </c>
      <c r="W349" s="40">
        <f t="shared" si="1724"/>
        <v>26.484999999999999</v>
      </c>
      <c r="X349" s="41">
        <f t="shared" ref="X349:AB349" si="1725">(SUM(B346:B349))/4</f>
        <v>104.44</v>
      </c>
      <c r="Y349" s="40">
        <f t="shared" si="1725"/>
        <v>78.012500000000003</v>
      </c>
      <c r="Z349" s="40">
        <f t="shared" si="1725"/>
        <v>62.5</v>
      </c>
      <c r="AA349" s="40">
        <f t="shared" si="1725"/>
        <v>43.754999999999995</v>
      </c>
      <c r="AB349" s="47">
        <f t="shared" si="1725"/>
        <v>27.189999999999998</v>
      </c>
      <c r="AC349" s="42">
        <f t="shared" ref="AC349:AF349" si="1726">(B349+C349)/2</f>
        <v>88.85499999999999</v>
      </c>
      <c r="AD349" s="42">
        <f t="shared" si="1726"/>
        <v>67.569999999999993</v>
      </c>
      <c r="AE349" s="42">
        <f t="shared" si="1726"/>
        <v>50.23</v>
      </c>
      <c r="AF349" s="42">
        <f t="shared" si="1726"/>
        <v>33.364999999999995</v>
      </c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8"/>
      <c r="BK349" s="8"/>
      <c r="BL349" s="8"/>
      <c r="BM349" s="8"/>
    </row>
    <row r="350" spans="1:65" ht="15.75" hidden="1" customHeight="1" x14ac:dyDescent="0.45">
      <c r="A350" s="50">
        <f t="shared" si="1280"/>
        <v>43329</v>
      </c>
      <c r="B350" s="51">
        <v>100.73</v>
      </c>
      <c r="C350" s="51">
        <v>73.62</v>
      </c>
      <c r="D350" s="51">
        <v>58.18</v>
      </c>
      <c r="E350" s="51">
        <v>39.74</v>
      </c>
      <c r="F350" s="51">
        <v>25.84</v>
      </c>
      <c r="G350" s="52">
        <v>117.68</v>
      </c>
      <c r="H350" s="37">
        <f t="shared" ref="H350:L350" si="1727">B350-B349</f>
        <v>-1.8199999999999932</v>
      </c>
      <c r="I350" s="38">
        <f t="shared" si="1727"/>
        <v>-1.539999999999992</v>
      </c>
      <c r="J350" s="38">
        <f t="shared" si="1727"/>
        <v>-1.7999999999999972</v>
      </c>
      <c r="K350" s="38">
        <f t="shared" si="1727"/>
        <v>-0.73999999999999488</v>
      </c>
      <c r="L350" s="39">
        <f t="shared" si="1727"/>
        <v>-0.41000000000000014</v>
      </c>
      <c r="M350" s="38"/>
      <c r="N350" s="40"/>
      <c r="O350" s="40"/>
      <c r="P350" s="40"/>
      <c r="Q350" s="40"/>
      <c r="R350" s="40"/>
      <c r="S350" s="40">
        <f t="shared" ref="S350:T350" si="1728">(B349+B350)/2</f>
        <v>101.64</v>
      </c>
      <c r="T350" s="40">
        <f t="shared" si="1728"/>
        <v>74.39</v>
      </c>
      <c r="U350" s="40">
        <f t="shared" si="1283"/>
        <v>59.08</v>
      </c>
      <c r="V350" s="40">
        <f t="shared" ref="V350:W350" si="1729">(E349+E350)/2</f>
        <v>40.11</v>
      </c>
      <c r="W350" s="40">
        <f t="shared" si="1729"/>
        <v>26.045000000000002</v>
      </c>
      <c r="X350" s="41">
        <f t="shared" ref="X350:AB350" si="1730">(SUM(B347:B350))/4</f>
        <v>103.17750000000001</v>
      </c>
      <c r="Y350" s="40">
        <f t="shared" si="1730"/>
        <v>76.302500000000009</v>
      </c>
      <c r="Z350" s="40">
        <f t="shared" si="1730"/>
        <v>60.6325</v>
      </c>
      <c r="AA350" s="40">
        <f t="shared" si="1730"/>
        <v>41.82</v>
      </c>
      <c r="AB350" s="47">
        <f t="shared" si="1730"/>
        <v>26.572500000000002</v>
      </c>
      <c r="AC350" s="42">
        <f t="shared" ref="AC350:AF350" si="1731">(B350+C350)/2</f>
        <v>87.175000000000011</v>
      </c>
      <c r="AD350" s="42">
        <f t="shared" si="1731"/>
        <v>65.900000000000006</v>
      </c>
      <c r="AE350" s="42">
        <f t="shared" si="1731"/>
        <v>48.96</v>
      </c>
      <c r="AF350" s="42">
        <f t="shared" si="1731"/>
        <v>32.79</v>
      </c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8"/>
      <c r="BK350" s="8"/>
      <c r="BL350" s="8"/>
      <c r="BM350" s="8"/>
    </row>
    <row r="351" spans="1:65" ht="15.75" hidden="1" customHeight="1" x14ac:dyDescent="0.45">
      <c r="A351" s="50">
        <f t="shared" si="1280"/>
        <v>43336</v>
      </c>
      <c r="B351" s="51">
        <v>99.78</v>
      </c>
      <c r="C351" s="51">
        <v>71.959999999999994</v>
      </c>
      <c r="D351" s="51">
        <v>55.88</v>
      </c>
      <c r="E351" s="51">
        <v>38.090000000000003</v>
      </c>
      <c r="F351" s="51">
        <v>25.09</v>
      </c>
      <c r="G351" s="52">
        <v>117.39</v>
      </c>
      <c r="H351" s="37">
        <f t="shared" ref="H351:L351" si="1732">B351-B350</f>
        <v>-0.95000000000000284</v>
      </c>
      <c r="I351" s="38">
        <f t="shared" si="1732"/>
        <v>-1.6600000000000108</v>
      </c>
      <c r="J351" s="38">
        <f t="shared" si="1732"/>
        <v>-2.2999999999999972</v>
      </c>
      <c r="K351" s="38">
        <f t="shared" si="1732"/>
        <v>-1.6499999999999986</v>
      </c>
      <c r="L351" s="39">
        <f t="shared" si="1732"/>
        <v>-0.75</v>
      </c>
      <c r="M351" s="38"/>
      <c r="N351" s="40"/>
      <c r="O351" s="40"/>
      <c r="P351" s="40"/>
      <c r="Q351" s="40"/>
      <c r="R351" s="40"/>
      <c r="S351" s="40">
        <f t="shared" ref="S351:T351" si="1733">(B350+B351)/2</f>
        <v>100.255</v>
      </c>
      <c r="T351" s="40">
        <f t="shared" si="1733"/>
        <v>72.789999999999992</v>
      </c>
      <c r="U351" s="40">
        <f t="shared" si="1283"/>
        <v>57.03</v>
      </c>
      <c r="V351" s="40">
        <f t="shared" ref="V351:W351" si="1734">(E350+E351)/2</f>
        <v>38.915000000000006</v>
      </c>
      <c r="W351" s="40">
        <f t="shared" si="1734"/>
        <v>25.465</v>
      </c>
      <c r="X351" s="41">
        <f t="shared" ref="X351:AB351" si="1735">(SUM(B348:B351))/4</f>
        <v>101.83000000000001</v>
      </c>
      <c r="Y351" s="40">
        <f t="shared" si="1735"/>
        <v>74.347499999999997</v>
      </c>
      <c r="Z351" s="40">
        <f t="shared" si="1735"/>
        <v>58.765000000000001</v>
      </c>
      <c r="AA351" s="40">
        <f t="shared" si="1735"/>
        <v>40.077500000000001</v>
      </c>
      <c r="AB351" s="47">
        <f t="shared" si="1735"/>
        <v>25.975000000000001</v>
      </c>
      <c r="AC351" s="42">
        <f t="shared" ref="AC351:AF351" si="1736">(B351+C351)/2</f>
        <v>85.87</v>
      </c>
      <c r="AD351" s="42">
        <f t="shared" si="1736"/>
        <v>63.92</v>
      </c>
      <c r="AE351" s="42">
        <f t="shared" si="1736"/>
        <v>46.984999999999999</v>
      </c>
      <c r="AF351" s="42">
        <f t="shared" si="1736"/>
        <v>31.590000000000003</v>
      </c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8"/>
      <c r="BK351" s="8"/>
      <c r="BL351" s="8"/>
      <c r="BM351" s="8"/>
    </row>
    <row r="352" spans="1:65" ht="15.75" hidden="1" customHeight="1" x14ac:dyDescent="0.45">
      <c r="A352" s="50">
        <f t="shared" si="1280"/>
        <v>43343</v>
      </c>
      <c r="B352" s="51">
        <v>98.35</v>
      </c>
      <c r="C352" s="51">
        <v>71.33</v>
      </c>
      <c r="D352" s="51">
        <v>54.69</v>
      </c>
      <c r="E352" s="51">
        <v>37.72</v>
      </c>
      <c r="F352" s="51">
        <v>24.36</v>
      </c>
      <c r="G352" s="52">
        <v>118.73</v>
      </c>
      <c r="H352" s="37">
        <f t="shared" ref="H352:L352" si="1737">B352-B351</f>
        <v>-1.4300000000000068</v>
      </c>
      <c r="I352" s="38">
        <f t="shared" si="1737"/>
        <v>-0.62999999999999545</v>
      </c>
      <c r="J352" s="38">
        <f t="shared" si="1737"/>
        <v>-1.1900000000000048</v>
      </c>
      <c r="K352" s="38">
        <f t="shared" si="1737"/>
        <v>-0.37000000000000455</v>
      </c>
      <c r="L352" s="39">
        <f t="shared" si="1737"/>
        <v>-0.73000000000000043</v>
      </c>
      <c r="M352" s="38"/>
      <c r="N352" s="40"/>
      <c r="O352" s="40"/>
      <c r="P352" s="40"/>
      <c r="Q352" s="40"/>
      <c r="R352" s="40"/>
      <c r="S352" s="40">
        <f t="shared" ref="S352:T352" si="1738">(B351+B352)/2</f>
        <v>99.064999999999998</v>
      </c>
      <c r="T352" s="40">
        <f t="shared" si="1738"/>
        <v>71.644999999999996</v>
      </c>
      <c r="U352" s="40">
        <f t="shared" si="1283"/>
        <v>55.284999999999997</v>
      </c>
      <c r="V352" s="40">
        <f t="shared" ref="V352:W352" si="1739">(E351+E352)/2</f>
        <v>37.905000000000001</v>
      </c>
      <c r="W352" s="40">
        <f t="shared" si="1739"/>
        <v>24.725000000000001</v>
      </c>
      <c r="X352" s="41">
        <f t="shared" ref="X352:AB352" si="1740">(SUM(B349:B352))/4</f>
        <v>100.35249999999999</v>
      </c>
      <c r="Y352" s="40">
        <f t="shared" si="1740"/>
        <v>73.017499999999998</v>
      </c>
      <c r="Z352" s="40">
        <f t="shared" si="1740"/>
        <v>57.182499999999997</v>
      </c>
      <c r="AA352" s="40">
        <f t="shared" si="1740"/>
        <v>39.0075</v>
      </c>
      <c r="AB352" s="47">
        <f t="shared" si="1740"/>
        <v>25.385000000000002</v>
      </c>
      <c r="AC352" s="42">
        <f t="shared" ref="AC352:AF352" si="1741">(B352+C352)/2</f>
        <v>84.84</v>
      </c>
      <c r="AD352" s="42">
        <f t="shared" si="1741"/>
        <v>63.01</v>
      </c>
      <c r="AE352" s="42">
        <f t="shared" si="1741"/>
        <v>46.204999999999998</v>
      </c>
      <c r="AF352" s="42">
        <f t="shared" si="1741"/>
        <v>31.04</v>
      </c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8"/>
      <c r="BK352" s="8"/>
      <c r="BL352" s="8"/>
      <c r="BM352" s="8"/>
    </row>
    <row r="353" spans="1:65" ht="15.75" hidden="1" customHeight="1" x14ac:dyDescent="0.45">
      <c r="A353" s="50">
        <f t="shared" si="1280"/>
        <v>43350</v>
      </c>
      <c r="B353" s="51">
        <v>97.14</v>
      </c>
      <c r="C353" s="51">
        <v>70.680000000000007</v>
      </c>
      <c r="D353" s="51">
        <v>54.35</v>
      </c>
      <c r="E353" s="51">
        <v>38.01</v>
      </c>
      <c r="F353" s="51">
        <v>24.34</v>
      </c>
      <c r="G353" s="52">
        <v>114.48</v>
      </c>
      <c r="H353" s="37">
        <f t="shared" ref="H353:L353" si="1742">B353-B352</f>
        <v>-1.2099999999999937</v>
      </c>
      <c r="I353" s="38">
        <f t="shared" si="1742"/>
        <v>-0.64999999999999147</v>
      </c>
      <c r="J353" s="38">
        <f t="shared" si="1742"/>
        <v>-0.33999999999999631</v>
      </c>
      <c r="K353" s="38">
        <f t="shared" si="1742"/>
        <v>0.28999999999999915</v>
      </c>
      <c r="L353" s="39">
        <f t="shared" si="1742"/>
        <v>-1.9999999999999574E-2</v>
      </c>
      <c r="M353" s="38"/>
      <c r="N353" s="40"/>
      <c r="O353" s="40"/>
      <c r="P353" s="40"/>
      <c r="Q353" s="40"/>
      <c r="R353" s="40"/>
      <c r="S353" s="40">
        <f t="shared" ref="S353:T353" si="1743">(B352+B353)/2</f>
        <v>97.745000000000005</v>
      </c>
      <c r="T353" s="40">
        <f t="shared" si="1743"/>
        <v>71.004999999999995</v>
      </c>
      <c r="U353" s="40">
        <f t="shared" si="1283"/>
        <v>54.519999999999996</v>
      </c>
      <c r="V353" s="40">
        <f t="shared" ref="V353:W353" si="1744">(E352+E353)/2</f>
        <v>37.864999999999995</v>
      </c>
      <c r="W353" s="40">
        <f t="shared" si="1744"/>
        <v>24.35</v>
      </c>
      <c r="X353" s="41">
        <f t="shared" ref="X353:AB353" si="1745">(SUM(B350:B353))/4</f>
        <v>99</v>
      </c>
      <c r="Y353" s="40">
        <f t="shared" si="1745"/>
        <v>71.897499999999994</v>
      </c>
      <c r="Z353" s="40">
        <f t="shared" si="1745"/>
        <v>55.774999999999999</v>
      </c>
      <c r="AA353" s="40">
        <f t="shared" si="1745"/>
        <v>38.39</v>
      </c>
      <c r="AB353" s="47">
        <f t="shared" si="1745"/>
        <v>24.907499999999999</v>
      </c>
      <c r="AC353" s="42">
        <f t="shared" ref="AC353:AF353" si="1746">(B353+C353)/2</f>
        <v>83.91</v>
      </c>
      <c r="AD353" s="42">
        <f t="shared" si="1746"/>
        <v>62.515000000000001</v>
      </c>
      <c r="AE353" s="42">
        <f t="shared" si="1746"/>
        <v>46.18</v>
      </c>
      <c r="AF353" s="42">
        <f t="shared" si="1746"/>
        <v>31.174999999999997</v>
      </c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8"/>
      <c r="BK353" s="8"/>
      <c r="BL353" s="8"/>
      <c r="BM353" s="8"/>
    </row>
    <row r="354" spans="1:65" ht="15.75" hidden="1" customHeight="1" x14ac:dyDescent="0.45">
      <c r="A354" s="50">
        <f t="shared" si="1280"/>
        <v>43357</v>
      </c>
      <c r="B354" s="51">
        <v>97.37</v>
      </c>
      <c r="C354" s="51">
        <v>70.349999999999994</v>
      </c>
      <c r="D354" s="51">
        <v>54.05</v>
      </c>
      <c r="E354" s="51">
        <v>38.39</v>
      </c>
      <c r="F354" s="51">
        <v>24.21</v>
      </c>
      <c r="G354" s="52">
        <v>115.74</v>
      </c>
      <c r="H354" s="37">
        <f t="shared" ref="H354:L354" si="1747">B354-B353</f>
        <v>0.23000000000000398</v>
      </c>
      <c r="I354" s="38">
        <f t="shared" si="1747"/>
        <v>-0.33000000000001251</v>
      </c>
      <c r="J354" s="38">
        <f t="shared" si="1747"/>
        <v>-0.30000000000000426</v>
      </c>
      <c r="K354" s="38">
        <f t="shared" si="1747"/>
        <v>0.38000000000000256</v>
      </c>
      <c r="L354" s="39">
        <f t="shared" si="1747"/>
        <v>-0.12999999999999901</v>
      </c>
      <c r="M354" s="38"/>
      <c r="N354" s="40"/>
      <c r="O354" s="40"/>
      <c r="P354" s="40"/>
      <c r="Q354" s="40"/>
      <c r="R354" s="40"/>
      <c r="S354" s="40">
        <f t="shared" ref="S354:T354" si="1748">(B353+B354)/2</f>
        <v>97.254999999999995</v>
      </c>
      <c r="T354" s="40">
        <f t="shared" si="1748"/>
        <v>70.515000000000001</v>
      </c>
      <c r="U354" s="40">
        <f t="shared" si="1283"/>
        <v>54.2</v>
      </c>
      <c r="V354" s="40">
        <f t="shared" ref="V354:W354" si="1749">(E353+E354)/2</f>
        <v>38.200000000000003</v>
      </c>
      <c r="W354" s="40">
        <f t="shared" si="1749"/>
        <v>24.274999999999999</v>
      </c>
      <c r="X354" s="41">
        <f t="shared" ref="X354:AB354" si="1750">(SUM(B351:B354))/4</f>
        <v>98.16</v>
      </c>
      <c r="Y354" s="40">
        <f t="shared" si="1750"/>
        <v>71.08</v>
      </c>
      <c r="Z354" s="40">
        <f t="shared" si="1750"/>
        <v>54.742499999999993</v>
      </c>
      <c r="AA354" s="40">
        <f t="shared" si="1750"/>
        <v>38.052499999999995</v>
      </c>
      <c r="AB354" s="47">
        <f t="shared" si="1750"/>
        <v>24.5</v>
      </c>
      <c r="AC354" s="42">
        <f t="shared" ref="AC354:AF354" si="1751">(B354+C354)/2</f>
        <v>83.86</v>
      </c>
      <c r="AD354" s="42">
        <f t="shared" si="1751"/>
        <v>62.199999999999996</v>
      </c>
      <c r="AE354" s="42">
        <f t="shared" si="1751"/>
        <v>46.22</v>
      </c>
      <c r="AF354" s="42">
        <f t="shared" si="1751"/>
        <v>31.3</v>
      </c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8"/>
      <c r="BK354" s="8"/>
      <c r="BL354" s="8"/>
      <c r="BM354" s="8"/>
    </row>
    <row r="355" spans="1:65" ht="15.75" hidden="1" customHeight="1" x14ac:dyDescent="0.45">
      <c r="A355" s="50">
        <f t="shared" si="1280"/>
        <v>43364</v>
      </c>
      <c r="B355" s="51">
        <v>99.41</v>
      </c>
      <c r="C355" s="51">
        <v>70.67</v>
      </c>
      <c r="D355" s="51">
        <v>53.59</v>
      </c>
      <c r="E355" s="51">
        <v>38.72</v>
      </c>
      <c r="F355" s="51">
        <v>23.94</v>
      </c>
      <c r="G355" s="52">
        <v>113.01</v>
      </c>
      <c r="H355" s="37">
        <f t="shared" ref="H355:L355" si="1752">B355-B354</f>
        <v>2.039999999999992</v>
      </c>
      <c r="I355" s="38">
        <f t="shared" si="1752"/>
        <v>0.32000000000000739</v>
      </c>
      <c r="J355" s="38">
        <f t="shared" si="1752"/>
        <v>-0.45999999999999375</v>
      </c>
      <c r="K355" s="38">
        <f t="shared" si="1752"/>
        <v>0.32999999999999829</v>
      </c>
      <c r="L355" s="39">
        <f t="shared" si="1752"/>
        <v>-0.26999999999999957</v>
      </c>
      <c r="M355" s="38"/>
      <c r="N355" s="40"/>
      <c r="O355" s="40"/>
      <c r="P355" s="40"/>
      <c r="Q355" s="40"/>
      <c r="R355" s="40"/>
      <c r="S355" s="40">
        <f t="shared" ref="S355:T355" si="1753">(B354+B355)/2</f>
        <v>98.39</v>
      </c>
      <c r="T355" s="40">
        <f t="shared" si="1753"/>
        <v>70.509999999999991</v>
      </c>
      <c r="U355" s="40">
        <f t="shared" si="1283"/>
        <v>53.82</v>
      </c>
      <c r="V355" s="40">
        <f t="shared" ref="V355:W355" si="1754">(E354+E355)/2</f>
        <v>38.555</v>
      </c>
      <c r="W355" s="40">
        <f t="shared" si="1754"/>
        <v>24.075000000000003</v>
      </c>
      <c r="X355" s="41">
        <f t="shared" ref="X355:AB355" si="1755">(SUM(B352:B355))/4</f>
        <v>98.067499999999995</v>
      </c>
      <c r="Y355" s="40">
        <f t="shared" si="1755"/>
        <v>70.757499999999993</v>
      </c>
      <c r="Z355" s="40">
        <f t="shared" si="1755"/>
        <v>54.169999999999995</v>
      </c>
      <c r="AA355" s="40">
        <f t="shared" si="1755"/>
        <v>38.209999999999994</v>
      </c>
      <c r="AB355" s="47">
        <f t="shared" si="1755"/>
        <v>24.212499999999999</v>
      </c>
      <c r="AC355" s="42">
        <f t="shared" ref="AC355:AF355" si="1756">(B355+C355)/2</f>
        <v>85.039999999999992</v>
      </c>
      <c r="AD355" s="42">
        <f t="shared" si="1756"/>
        <v>62.13</v>
      </c>
      <c r="AE355" s="42">
        <f t="shared" si="1756"/>
        <v>46.155000000000001</v>
      </c>
      <c r="AF355" s="42">
        <f t="shared" si="1756"/>
        <v>31.33</v>
      </c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8"/>
      <c r="BK355" s="8"/>
      <c r="BL355" s="8"/>
      <c r="BM355" s="8"/>
    </row>
    <row r="356" spans="1:65" ht="15.75" hidden="1" customHeight="1" x14ac:dyDescent="0.45">
      <c r="A356" s="50">
        <f t="shared" si="1280"/>
        <v>43371</v>
      </c>
      <c r="B356" s="51">
        <v>98.98</v>
      </c>
      <c r="C356" s="51">
        <v>70.36</v>
      </c>
      <c r="D356" s="51">
        <v>53.28</v>
      </c>
      <c r="E356" s="51">
        <v>38.56</v>
      </c>
      <c r="F356" s="51">
        <v>24.03</v>
      </c>
      <c r="G356" s="52">
        <v>113.58</v>
      </c>
      <c r="H356" s="37">
        <f t="shared" ref="H356:L356" si="1757">B356-B355</f>
        <v>-0.42999999999999261</v>
      </c>
      <c r="I356" s="38">
        <f t="shared" si="1757"/>
        <v>-0.31000000000000227</v>
      </c>
      <c r="J356" s="38">
        <f t="shared" si="1757"/>
        <v>-0.31000000000000227</v>
      </c>
      <c r="K356" s="38">
        <f t="shared" si="1757"/>
        <v>-0.15999999999999659</v>
      </c>
      <c r="L356" s="39">
        <f t="shared" si="1757"/>
        <v>8.9999999999999858E-2</v>
      </c>
      <c r="M356" s="38"/>
      <c r="N356" s="40"/>
      <c r="O356" s="40"/>
      <c r="P356" s="40"/>
      <c r="Q356" s="40"/>
      <c r="R356" s="40"/>
      <c r="S356" s="40">
        <f t="shared" ref="S356:T356" si="1758">(B355+B356)/2</f>
        <v>99.194999999999993</v>
      </c>
      <c r="T356" s="40">
        <f t="shared" si="1758"/>
        <v>70.515000000000001</v>
      </c>
      <c r="U356" s="40">
        <f t="shared" si="1283"/>
        <v>53.435000000000002</v>
      </c>
      <c r="V356" s="40">
        <f t="shared" ref="V356:W356" si="1759">(E355+E356)/2</f>
        <v>38.64</v>
      </c>
      <c r="W356" s="40">
        <f t="shared" si="1759"/>
        <v>23.984999999999999</v>
      </c>
      <c r="X356" s="41">
        <f t="shared" ref="X356:AB356" si="1760">(SUM(B353:B356))/4</f>
        <v>98.224999999999994</v>
      </c>
      <c r="Y356" s="40">
        <f t="shared" si="1760"/>
        <v>70.515000000000001</v>
      </c>
      <c r="Z356" s="40">
        <f t="shared" si="1760"/>
        <v>53.817500000000003</v>
      </c>
      <c r="AA356" s="40">
        <f t="shared" si="1760"/>
        <v>38.42</v>
      </c>
      <c r="AB356" s="47">
        <f t="shared" si="1760"/>
        <v>24.13</v>
      </c>
      <c r="AC356" s="42">
        <f t="shared" ref="AC356:AF356" si="1761">(B356+C356)/2</f>
        <v>84.67</v>
      </c>
      <c r="AD356" s="42">
        <f t="shared" si="1761"/>
        <v>61.82</v>
      </c>
      <c r="AE356" s="42">
        <f t="shared" si="1761"/>
        <v>45.92</v>
      </c>
      <c r="AF356" s="42">
        <f t="shared" si="1761"/>
        <v>31.295000000000002</v>
      </c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8"/>
      <c r="BK356" s="8"/>
      <c r="BL356" s="8"/>
      <c r="BM356" s="8"/>
    </row>
    <row r="357" spans="1:65" ht="15.75" hidden="1" customHeight="1" x14ac:dyDescent="0.45">
      <c r="A357" s="50">
        <f t="shared" si="1280"/>
        <v>43378</v>
      </c>
      <c r="B357" s="51">
        <v>98.2</v>
      </c>
      <c r="C357" s="51">
        <v>70.290000000000006</v>
      </c>
      <c r="D357" s="51">
        <v>53.61</v>
      </c>
      <c r="E357" s="51">
        <v>38.880000000000003</v>
      </c>
      <c r="F357" s="51">
        <v>24.12</v>
      </c>
      <c r="G357" s="52">
        <v>113.98</v>
      </c>
      <c r="H357" s="37">
        <f t="shared" ref="H357:L357" si="1762">B357-B356</f>
        <v>-0.78000000000000114</v>
      </c>
      <c r="I357" s="38">
        <f t="shared" si="1762"/>
        <v>-6.9999999999993179E-2</v>
      </c>
      <c r="J357" s="38">
        <f t="shared" si="1762"/>
        <v>0.32999999999999829</v>
      </c>
      <c r="K357" s="38">
        <f t="shared" si="1762"/>
        <v>0.32000000000000028</v>
      </c>
      <c r="L357" s="39">
        <f t="shared" si="1762"/>
        <v>8.9999999999999858E-2</v>
      </c>
      <c r="M357" s="38"/>
      <c r="N357" s="40"/>
      <c r="O357" s="40"/>
      <c r="P357" s="40"/>
      <c r="Q357" s="40"/>
      <c r="R357" s="40"/>
      <c r="S357" s="40">
        <f t="shared" ref="S357:T357" si="1763">(B356+B357)/2</f>
        <v>98.59</v>
      </c>
      <c r="T357" s="40">
        <f t="shared" si="1763"/>
        <v>70.325000000000003</v>
      </c>
      <c r="U357" s="40">
        <f t="shared" si="1283"/>
        <v>53.445</v>
      </c>
      <c r="V357" s="40">
        <f t="shared" ref="V357:W357" si="1764">(E356+E357)/2</f>
        <v>38.72</v>
      </c>
      <c r="W357" s="40">
        <f t="shared" si="1764"/>
        <v>24.075000000000003</v>
      </c>
      <c r="X357" s="41">
        <f t="shared" ref="X357:AB357" si="1765">(SUM(B354:B357))/4</f>
        <v>98.49</v>
      </c>
      <c r="Y357" s="40">
        <f t="shared" si="1765"/>
        <v>70.417500000000004</v>
      </c>
      <c r="Z357" s="40">
        <f t="shared" si="1765"/>
        <v>53.632500000000007</v>
      </c>
      <c r="AA357" s="40">
        <f t="shared" si="1765"/>
        <v>38.637500000000003</v>
      </c>
      <c r="AB357" s="47">
        <f t="shared" si="1765"/>
        <v>24.075000000000003</v>
      </c>
      <c r="AC357" s="42">
        <f t="shared" ref="AC357:AF357" si="1766">(B357+C357)/2</f>
        <v>84.245000000000005</v>
      </c>
      <c r="AD357" s="42">
        <f t="shared" si="1766"/>
        <v>61.95</v>
      </c>
      <c r="AE357" s="42">
        <f t="shared" si="1766"/>
        <v>46.245000000000005</v>
      </c>
      <c r="AF357" s="42">
        <f t="shared" si="1766"/>
        <v>31.5</v>
      </c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8"/>
      <c r="BK357" s="8"/>
      <c r="BL357" s="8"/>
      <c r="BM357" s="8"/>
    </row>
    <row r="358" spans="1:65" ht="15.75" hidden="1" customHeight="1" x14ac:dyDescent="0.45">
      <c r="A358" s="50">
        <f t="shared" si="1280"/>
        <v>43385</v>
      </c>
      <c r="B358" s="51">
        <v>97.92</v>
      </c>
      <c r="C358" s="51">
        <v>70.25</v>
      </c>
      <c r="D358" s="51">
        <v>53.46</v>
      </c>
      <c r="E358" s="51">
        <v>38.43</v>
      </c>
      <c r="F358" s="51">
        <v>23.78</v>
      </c>
      <c r="G358" s="52">
        <v>108.81</v>
      </c>
      <c r="H358" s="37">
        <f t="shared" ref="H358:L358" si="1767">B358-B357</f>
        <v>-0.28000000000000114</v>
      </c>
      <c r="I358" s="38">
        <f t="shared" si="1767"/>
        <v>-4.0000000000006253E-2</v>
      </c>
      <c r="J358" s="38">
        <f t="shared" si="1767"/>
        <v>-0.14999999999999858</v>
      </c>
      <c r="K358" s="38">
        <f t="shared" si="1767"/>
        <v>-0.45000000000000284</v>
      </c>
      <c r="L358" s="39">
        <f t="shared" si="1767"/>
        <v>-0.33999999999999986</v>
      </c>
      <c r="M358" s="38"/>
      <c r="N358" s="40"/>
      <c r="O358" s="40"/>
      <c r="P358" s="40"/>
      <c r="Q358" s="40"/>
      <c r="R358" s="40"/>
      <c r="S358" s="40">
        <f t="shared" ref="S358:T358" si="1768">(B357+B358)/2</f>
        <v>98.06</v>
      </c>
      <c r="T358" s="40">
        <f t="shared" si="1768"/>
        <v>70.27000000000001</v>
      </c>
      <c r="U358" s="40">
        <f t="shared" si="1283"/>
        <v>53.534999999999997</v>
      </c>
      <c r="V358" s="40">
        <f t="shared" ref="V358:W358" si="1769">(E357+E358)/2</f>
        <v>38.655000000000001</v>
      </c>
      <c r="W358" s="40">
        <f t="shared" si="1769"/>
        <v>23.950000000000003</v>
      </c>
      <c r="X358" s="41">
        <f t="shared" ref="X358:AB358" si="1770">(SUM(B355:B358))/4</f>
        <v>98.627499999999998</v>
      </c>
      <c r="Y358" s="40">
        <f t="shared" si="1770"/>
        <v>70.392499999999998</v>
      </c>
      <c r="Z358" s="40">
        <f t="shared" si="1770"/>
        <v>53.485000000000007</v>
      </c>
      <c r="AA358" s="40">
        <f t="shared" si="1770"/>
        <v>38.647500000000001</v>
      </c>
      <c r="AB358" s="47">
        <f t="shared" si="1770"/>
        <v>23.967500000000001</v>
      </c>
      <c r="AC358" s="42">
        <f t="shared" ref="AC358:AF358" si="1771">(B358+C358)/2</f>
        <v>84.085000000000008</v>
      </c>
      <c r="AD358" s="42">
        <f t="shared" si="1771"/>
        <v>61.855000000000004</v>
      </c>
      <c r="AE358" s="42">
        <f t="shared" si="1771"/>
        <v>45.945</v>
      </c>
      <c r="AF358" s="42">
        <f t="shared" si="1771"/>
        <v>31.105</v>
      </c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8"/>
      <c r="BK358" s="8"/>
      <c r="BL358" s="8"/>
      <c r="BM358" s="8"/>
    </row>
    <row r="359" spans="1:65" ht="15.75" hidden="1" customHeight="1" x14ac:dyDescent="0.45">
      <c r="A359" s="50">
        <f t="shared" si="1280"/>
        <v>43392</v>
      </c>
      <c r="B359" s="51">
        <v>97.69</v>
      </c>
      <c r="C359" s="51">
        <v>70.34</v>
      </c>
      <c r="D359" s="51">
        <v>52.52</v>
      </c>
      <c r="E359" s="51">
        <v>38.130000000000003</v>
      </c>
      <c r="F359" s="51">
        <v>23.52</v>
      </c>
      <c r="G359" s="52">
        <v>107.05</v>
      </c>
      <c r="H359" s="37">
        <f t="shared" ref="H359:L359" si="1772">B359-B358</f>
        <v>-0.23000000000000398</v>
      </c>
      <c r="I359" s="38">
        <f t="shared" si="1772"/>
        <v>9.0000000000003411E-2</v>
      </c>
      <c r="J359" s="38">
        <f t="shared" si="1772"/>
        <v>-0.93999999999999773</v>
      </c>
      <c r="K359" s="38">
        <f t="shared" si="1772"/>
        <v>-0.29999999999999716</v>
      </c>
      <c r="L359" s="39">
        <f t="shared" si="1772"/>
        <v>-0.26000000000000156</v>
      </c>
      <c r="M359" s="38"/>
      <c r="N359" s="40"/>
      <c r="O359" s="40"/>
      <c r="P359" s="40"/>
      <c r="Q359" s="40"/>
      <c r="R359" s="40"/>
      <c r="S359" s="40">
        <f t="shared" ref="S359:T359" si="1773">(B358+B359)/2</f>
        <v>97.805000000000007</v>
      </c>
      <c r="T359" s="40">
        <f t="shared" si="1773"/>
        <v>70.295000000000002</v>
      </c>
      <c r="U359" s="40">
        <f t="shared" si="1283"/>
        <v>52.99</v>
      </c>
      <c r="V359" s="40">
        <f t="shared" ref="V359:W359" si="1774">(E358+E359)/2</f>
        <v>38.28</v>
      </c>
      <c r="W359" s="40">
        <f t="shared" si="1774"/>
        <v>23.65</v>
      </c>
      <c r="X359" s="41">
        <f t="shared" ref="X359:AB359" si="1775">(SUM(B356:B359))/4</f>
        <v>98.197500000000005</v>
      </c>
      <c r="Y359" s="40">
        <f t="shared" si="1775"/>
        <v>70.31</v>
      </c>
      <c r="Z359" s="40">
        <f t="shared" si="1775"/>
        <v>53.217500000000001</v>
      </c>
      <c r="AA359" s="40">
        <f t="shared" si="1775"/>
        <v>38.5</v>
      </c>
      <c r="AB359" s="47">
        <f t="shared" si="1775"/>
        <v>23.862500000000001</v>
      </c>
      <c r="AC359" s="42">
        <f t="shared" ref="AC359:AF359" si="1776">(B359+C359)/2</f>
        <v>84.015000000000001</v>
      </c>
      <c r="AD359" s="42">
        <f t="shared" si="1776"/>
        <v>61.430000000000007</v>
      </c>
      <c r="AE359" s="42">
        <f t="shared" si="1776"/>
        <v>45.325000000000003</v>
      </c>
      <c r="AF359" s="42">
        <f t="shared" si="1776"/>
        <v>30.825000000000003</v>
      </c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8"/>
      <c r="BK359" s="8"/>
      <c r="BL359" s="8"/>
      <c r="BM359" s="8"/>
    </row>
    <row r="360" spans="1:65" ht="15.75" hidden="1" customHeight="1" x14ac:dyDescent="0.45">
      <c r="A360" s="50">
        <f t="shared" si="1280"/>
        <v>43399</v>
      </c>
      <c r="B360" s="51">
        <v>97.43</v>
      </c>
      <c r="C360" s="51">
        <v>70.069999999999993</v>
      </c>
      <c r="D360" s="51">
        <v>51.76</v>
      </c>
      <c r="E360" s="51">
        <v>37.31</v>
      </c>
      <c r="F360" s="51">
        <v>23.2</v>
      </c>
      <c r="G360" s="52">
        <v>108.23</v>
      </c>
      <c r="H360" s="37">
        <f t="shared" ref="H360:L360" si="1777">B360-B359</f>
        <v>-0.25999999999999091</v>
      </c>
      <c r="I360" s="38">
        <f t="shared" si="1777"/>
        <v>-0.27000000000001023</v>
      </c>
      <c r="J360" s="38">
        <f t="shared" si="1777"/>
        <v>-0.76000000000000512</v>
      </c>
      <c r="K360" s="38">
        <f t="shared" si="1777"/>
        <v>-0.82000000000000028</v>
      </c>
      <c r="L360" s="39">
        <f t="shared" si="1777"/>
        <v>-0.32000000000000028</v>
      </c>
      <c r="M360" s="38"/>
      <c r="N360" s="40"/>
      <c r="O360" s="40"/>
      <c r="P360" s="40"/>
      <c r="Q360" s="40"/>
      <c r="R360" s="40"/>
      <c r="S360" s="40">
        <f t="shared" ref="S360:T360" si="1778">(B359+B360)/2</f>
        <v>97.56</v>
      </c>
      <c r="T360" s="40">
        <f t="shared" si="1778"/>
        <v>70.204999999999998</v>
      </c>
      <c r="U360" s="40">
        <f t="shared" si="1283"/>
        <v>52.14</v>
      </c>
      <c r="V360" s="40">
        <f t="shared" ref="V360:W360" si="1779">(E359+E360)/2</f>
        <v>37.72</v>
      </c>
      <c r="W360" s="40">
        <f t="shared" si="1779"/>
        <v>23.36</v>
      </c>
      <c r="X360" s="41">
        <f t="shared" ref="X360:AB360" si="1780">(SUM(B357:B360))/4</f>
        <v>97.81</v>
      </c>
      <c r="Y360" s="40">
        <f t="shared" si="1780"/>
        <v>70.237500000000011</v>
      </c>
      <c r="Z360" s="40">
        <f t="shared" si="1780"/>
        <v>52.837499999999999</v>
      </c>
      <c r="AA360" s="40">
        <f t="shared" si="1780"/>
        <v>38.1875</v>
      </c>
      <c r="AB360" s="47">
        <f t="shared" si="1780"/>
        <v>23.655000000000001</v>
      </c>
      <c r="AC360" s="42">
        <f t="shared" ref="AC360:AF360" si="1781">(B360+C360)/2</f>
        <v>83.75</v>
      </c>
      <c r="AD360" s="42">
        <f t="shared" si="1781"/>
        <v>60.914999999999992</v>
      </c>
      <c r="AE360" s="42">
        <f t="shared" si="1781"/>
        <v>44.534999999999997</v>
      </c>
      <c r="AF360" s="42">
        <f t="shared" si="1781"/>
        <v>30.255000000000003</v>
      </c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8"/>
      <c r="BK360" s="8"/>
      <c r="BL360" s="8"/>
      <c r="BM360" s="8"/>
    </row>
    <row r="361" spans="1:65" ht="15.75" hidden="1" customHeight="1" x14ac:dyDescent="0.45">
      <c r="A361" s="50">
        <f t="shared" si="1280"/>
        <v>43406</v>
      </c>
      <c r="B361" s="51">
        <v>96.01</v>
      </c>
      <c r="C361" s="51">
        <v>69.540000000000006</v>
      </c>
      <c r="D361" s="51">
        <v>50.63</v>
      </c>
      <c r="E361" s="51">
        <v>36.07</v>
      </c>
      <c r="F361" s="51">
        <v>22.71</v>
      </c>
      <c r="G361" s="52">
        <v>103.08</v>
      </c>
      <c r="H361" s="37">
        <f t="shared" ref="H361:L361" si="1782">B361-B360</f>
        <v>-1.4200000000000017</v>
      </c>
      <c r="I361" s="38">
        <f t="shared" si="1782"/>
        <v>-0.52999999999998693</v>
      </c>
      <c r="J361" s="38">
        <f t="shared" si="1782"/>
        <v>-1.1299999999999955</v>
      </c>
      <c r="K361" s="38">
        <f t="shared" si="1782"/>
        <v>-1.240000000000002</v>
      </c>
      <c r="L361" s="39">
        <f t="shared" si="1782"/>
        <v>-0.48999999999999844</v>
      </c>
      <c r="M361" s="38"/>
      <c r="N361" s="40"/>
      <c r="O361" s="40"/>
      <c r="P361" s="40"/>
      <c r="Q361" s="40"/>
      <c r="R361" s="40"/>
      <c r="S361" s="40">
        <f t="shared" ref="S361:T361" si="1783">(B360+B361)/2</f>
        <v>96.72</v>
      </c>
      <c r="T361" s="40">
        <f t="shared" si="1783"/>
        <v>69.805000000000007</v>
      </c>
      <c r="U361" s="40">
        <f t="shared" si="1283"/>
        <v>51.195</v>
      </c>
      <c r="V361" s="40">
        <f t="shared" ref="V361:W361" si="1784">(E360+E361)/2</f>
        <v>36.69</v>
      </c>
      <c r="W361" s="40">
        <f t="shared" si="1784"/>
        <v>22.954999999999998</v>
      </c>
      <c r="X361" s="41">
        <f t="shared" ref="X361:AB361" si="1785">(SUM(B358:B361))/4</f>
        <v>97.262500000000003</v>
      </c>
      <c r="Y361" s="40">
        <f t="shared" si="1785"/>
        <v>70.05</v>
      </c>
      <c r="Z361" s="40">
        <f t="shared" si="1785"/>
        <v>52.092500000000001</v>
      </c>
      <c r="AA361" s="40">
        <f t="shared" si="1785"/>
        <v>37.484999999999999</v>
      </c>
      <c r="AB361" s="47">
        <f t="shared" si="1785"/>
        <v>23.302500000000002</v>
      </c>
      <c r="AC361" s="42">
        <f t="shared" ref="AC361:AF361" si="1786">(B361+C361)/2</f>
        <v>82.775000000000006</v>
      </c>
      <c r="AD361" s="42">
        <f t="shared" si="1786"/>
        <v>60.085000000000008</v>
      </c>
      <c r="AE361" s="42">
        <f t="shared" si="1786"/>
        <v>43.35</v>
      </c>
      <c r="AF361" s="42">
        <f t="shared" si="1786"/>
        <v>29.39</v>
      </c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8"/>
      <c r="BK361" s="8"/>
      <c r="BL361" s="8"/>
      <c r="BM361" s="8"/>
    </row>
    <row r="362" spans="1:65" ht="15.75" hidden="1" customHeight="1" x14ac:dyDescent="0.45">
      <c r="A362" s="50">
        <f t="shared" si="1280"/>
        <v>43413</v>
      </c>
      <c r="B362" s="51">
        <v>97.81</v>
      </c>
      <c r="C362" s="51">
        <v>70.239999999999995</v>
      </c>
      <c r="D362" s="51">
        <v>52.84</v>
      </c>
      <c r="E362" s="51">
        <v>38.19</v>
      </c>
      <c r="F362" s="51">
        <v>23.66</v>
      </c>
      <c r="G362" s="52">
        <v>103.66</v>
      </c>
      <c r="H362" s="37">
        <f t="shared" ref="H362:L362" si="1787">B362-B361</f>
        <v>1.7999999999999972</v>
      </c>
      <c r="I362" s="38">
        <f t="shared" si="1787"/>
        <v>0.69999999999998863</v>
      </c>
      <c r="J362" s="38">
        <f t="shared" si="1787"/>
        <v>2.2100000000000009</v>
      </c>
      <c r="K362" s="38">
        <f t="shared" si="1787"/>
        <v>2.1199999999999974</v>
      </c>
      <c r="L362" s="39">
        <f t="shared" si="1787"/>
        <v>0.94999999999999929</v>
      </c>
      <c r="M362" s="38"/>
      <c r="N362" s="40"/>
      <c r="O362" s="40"/>
      <c r="P362" s="40"/>
      <c r="Q362" s="40"/>
      <c r="R362" s="40"/>
      <c r="S362" s="40">
        <f t="shared" ref="S362:T362" si="1788">(B361+B362)/2</f>
        <v>96.91</v>
      </c>
      <c r="T362" s="40">
        <f t="shared" si="1788"/>
        <v>69.89</v>
      </c>
      <c r="U362" s="40">
        <f t="shared" si="1283"/>
        <v>51.734999999999999</v>
      </c>
      <c r="V362" s="40">
        <f t="shared" ref="V362:W362" si="1789">(E361+E362)/2</f>
        <v>37.129999999999995</v>
      </c>
      <c r="W362" s="40">
        <f t="shared" si="1789"/>
        <v>23.185000000000002</v>
      </c>
      <c r="X362" s="41">
        <f t="shared" ref="X362:AB362" si="1790">(SUM(B359:B362))/4</f>
        <v>97.234999999999999</v>
      </c>
      <c r="Y362" s="40">
        <f t="shared" si="1790"/>
        <v>70.047499999999999</v>
      </c>
      <c r="Z362" s="40">
        <f t="shared" si="1790"/>
        <v>51.9375</v>
      </c>
      <c r="AA362" s="40">
        <f t="shared" si="1790"/>
        <v>37.424999999999997</v>
      </c>
      <c r="AB362" s="47">
        <f t="shared" si="1790"/>
        <v>23.272500000000001</v>
      </c>
      <c r="AC362" s="42">
        <f t="shared" ref="AC362:AF362" si="1791">(B362+C362)/2</f>
        <v>84.025000000000006</v>
      </c>
      <c r="AD362" s="42">
        <f t="shared" si="1791"/>
        <v>61.54</v>
      </c>
      <c r="AE362" s="42">
        <f t="shared" si="1791"/>
        <v>45.515000000000001</v>
      </c>
      <c r="AF362" s="42">
        <f t="shared" si="1791"/>
        <v>30.924999999999997</v>
      </c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8"/>
      <c r="BK362" s="8"/>
      <c r="BL362" s="8"/>
      <c r="BM362" s="8"/>
    </row>
    <row r="363" spans="1:65" ht="15.75" hidden="1" customHeight="1" x14ac:dyDescent="0.45">
      <c r="A363" s="50">
        <f t="shared" si="1280"/>
        <v>43420</v>
      </c>
      <c r="B363" s="51">
        <v>94.59</v>
      </c>
      <c r="C363" s="51">
        <v>66.900000000000006</v>
      </c>
      <c r="D363" s="51">
        <v>48.64</v>
      </c>
      <c r="E363" s="51">
        <v>32.29</v>
      </c>
      <c r="F363" s="51">
        <v>21.59</v>
      </c>
      <c r="G363" s="52">
        <v>103.59</v>
      </c>
      <c r="H363" s="37">
        <f t="shared" ref="H363:L363" si="1792">B363-B362</f>
        <v>-3.2199999999999989</v>
      </c>
      <c r="I363" s="38">
        <f t="shared" si="1792"/>
        <v>-3.3399999999999892</v>
      </c>
      <c r="J363" s="38">
        <f t="shared" si="1792"/>
        <v>-4.2000000000000028</v>
      </c>
      <c r="K363" s="38">
        <f t="shared" si="1792"/>
        <v>-5.8999999999999986</v>
      </c>
      <c r="L363" s="39">
        <f t="shared" si="1792"/>
        <v>-2.0700000000000003</v>
      </c>
      <c r="M363" s="38"/>
      <c r="N363" s="40"/>
      <c r="O363" s="40"/>
      <c r="P363" s="40"/>
      <c r="Q363" s="40"/>
      <c r="R363" s="40"/>
      <c r="S363" s="40">
        <f t="shared" ref="S363:T363" si="1793">(B362+B363)/2</f>
        <v>96.2</v>
      </c>
      <c r="T363" s="40">
        <f t="shared" si="1793"/>
        <v>68.569999999999993</v>
      </c>
      <c r="U363" s="40">
        <f t="shared" si="1283"/>
        <v>50.74</v>
      </c>
      <c r="V363" s="40">
        <f t="shared" ref="V363:W363" si="1794">(E362+E363)/2</f>
        <v>35.239999999999995</v>
      </c>
      <c r="W363" s="40">
        <f t="shared" si="1794"/>
        <v>22.625</v>
      </c>
      <c r="X363" s="41">
        <f t="shared" ref="X363:AB363" si="1795">(SUM(B360:B363))/4</f>
        <v>96.460000000000008</v>
      </c>
      <c r="Y363" s="40">
        <f t="shared" si="1795"/>
        <v>69.1875</v>
      </c>
      <c r="Z363" s="40">
        <f t="shared" si="1795"/>
        <v>50.967500000000001</v>
      </c>
      <c r="AA363" s="40">
        <f t="shared" si="1795"/>
        <v>35.964999999999996</v>
      </c>
      <c r="AB363" s="47">
        <f t="shared" si="1795"/>
        <v>22.79</v>
      </c>
      <c r="AC363" s="42">
        <f t="shared" ref="AC363:AF363" si="1796">(B363+C363)/2</f>
        <v>80.745000000000005</v>
      </c>
      <c r="AD363" s="42">
        <f t="shared" si="1796"/>
        <v>57.77</v>
      </c>
      <c r="AE363" s="42">
        <f t="shared" si="1796"/>
        <v>40.465000000000003</v>
      </c>
      <c r="AF363" s="42">
        <f t="shared" si="1796"/>
        <v>26.939999999999998</v>
      </c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8"/>
      <c r="BK363" s="8"/>
      <c r="BL363" s="8"/>
      <c r="BM363" s="8"/>
    </row>
    <row r="364" spans="1:65" ht="15.75" hidden="1" customHeight="1" x14ac:dyDescent="0.45">
      <c r="A364" s="50">
        <f t="shared" si="1280"/>
        <v>43427</v>
      </c>
      <c r="B364" s="51">
        <v>92.39</v>
      </c>
      <c r="C364" s="51">
        <v>65.040000000000006</v>
      </c>
      <c r="D364" s="51">
        <v>47.33</v>
      </c>
      <c r="E364" s="51">
        <v>29.87</v>
      </c>
      <c r="F364" s="51">
        <v>19.73</v>
      </c>
      <c r="G364" s="52">
        <v>98.76</v>
      </c>
      <c r="H364" s="37">
        <f t="shared" ref="H364:L364" si="1797">B364-B363</f>
        <v>-2.2000000000000028</v>
      </c>
      <c r="I364" s="38">
        <f t="shared" si="1797"/>
        <v>-1.8599999999999994</v>
      </c>
      <c r="J364" s="38">
        <f t="shared" si="1797"/>
        <v>-1.3100000000000023</v>
      </c>
      <c r="K364" s="38">
        <f t="shared" si="1797"/>
        <v>-2.4199999999999982</v>
      </c>
      <c r="L364" s="39">
        <f t="shared" si="1797"/>
        <v>-1.8599999999999994</v>
      </c>
      <c r="M364" s="38"/>
      <c r="N364" s="40"/>
      <c r="O364" s="40"/>
      <c r="P364" s="40"/>
      <c r="Q364" s="40"/>
      <c r="R364" s="40"/>
      <c r="S364" s="40">
        <f t="shared" ref="S364:T364" si="1798">(B363+B364)/2</f>
        <v>93.490000000000009</v>
      </c>
      <c r="T364" s="40">
        <f t="shared" si="1798"/>
        <v>65.97</v>
      </c>
      <c r="U364" s="40">
        <f t="shared" si="1283"/>
        <v>47.984999999999999</v>
      </c>
      <c r="V364" s="40">
        <f t="shared" ref="V364:W364" si="1799">(E363+E364)/2</f>
        <v>31.08</v>
      </c>
      <c r="W364" s="40">
        <f t="shared" si="1799"/>
        <v>20.66</v>
      </c>
      <c r="X364" s="41">
        <f t="shared" ref="X364:AB364" si="1800">(SUM(B361:B364))/4</f>
        <v>95.199999999999989</v>
      </c>
      <c r="Y364" s="40">
        <f t="shared" si="1800"/>
        <v>67.930000000000007</v>
      </c>
      <c r="Z364" s="40">
        <f t="shared" si="1800"/>
        <v>49.86</v>
      </c>
      <c r="AA364" s="40">
        <f t="shared" si="1800"/>
        <v>34.104999999999997</v>
      </c>
      <c r="AB364" s="47">
        <f t="shared" si="1800"/>
        <v>21.922500000000003</v>
      </c>
      <c r="AC364" s="42">
        <f t="shared" ref="AC364:AF364" si="1801">(B364+C364)/2</f>
        <v>78.715000000000003</v>
      </c>
      <c r="AD364" s="42">
        <f t="shared" si="1801"/>
        <v>56.185000000000002</v>
      </c>
      <c r="AE364" s="42">
        <f t="shared" si="1801"/>
        <v>38.6</v>
      </c>
      <c r="AF364" s="42">
        <f t="shared" si="1801"/>
        <v>24.8</v>
      </c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8"/>
      <c r="BK364" s="8"/>
      <c r="BL364" s="8"/>
      <c r="BM364" s="8"/>
    </row>
    <row r="365" spans="1:65" ht="15.75" hidden="1" customHeight="1" x14ac:dyDescent="0.45">
      <c r="A365" s="50">
        <f t="shared" si="1280"/>
        <v>43434</v>
      </c>
      <c r="B365" s="51">
        <v>94.28</v>
      </c>
      <c r="C365" s="51">
        <v>66.81</v>
      </c>
      <c r="D365" s="51">
        <v>48.62</v>
      </c>
      <c r="E365" s="51">
        <v>32.340000000000003</v>
      </c>
      <c r="F365" s="51">
        <v>21.08</v>
      </c>
      <c r="G365" s="52">
        <v>99.95</v>
      </c>
      <c r="H365" s="37">
        <f t="shared" ref="H365:L365" si="1802">B365-B364</f>
        <v>1.8900000000000006</v>
      </c>
      <c r="I365" s="38">
        <f t="shared" si="1802"/>
        <v>1.769999999999996</v>
      </c>
      <c r="J365" s="38">
        <f t="shared" si="1802"/>
        <v>1.2899999999999991</v>
      </c>
      <c r="K365" s="38">
        <f t="shared" si="1802"/>
        <v>2.4700000000000024</v>
      </c>
      <c r="L365" s="39">
        <f t="shared" si="1802"/>
        <v>1.3499999999999979</v>
      </c>
      <c r="M365" s="38"/>
      <c r="N365" s="40"/>
      <c r="O365" s="40"/>
      <c r="P365" s="40"/>
      <c r="Q365" s="40"/>
      <c r="R365" s="40"/>
      <c r="S365" s="40">
        <f t="shared" ref="S365:T365" si="1803">(B364+B365)/2</f>
        <v>93.335000000000008</v>
      </c>
      <c r="T365" s="40">
        <f t="shared" si="1803"/>
        <v>65.925000000000011</v>
      </c>
      <c r="U365" s="40">
        <f t="shared" si="1283"/>
        <v>47.974999999999994</v>
      </c>
      <c r="V365" s="40">
        <f t="shared" ref="V365:W365" si="1804">(E364+E365)/2</f>
        <v>31.105000000000004</v>
      </c>
      <c r="W365" s="40">
        <f t="shared" si="1804"/>
        <v>20.405000000000001</v>
      </c>
      <c r="X365" s="41">
        <f t="shared" ref="X365:AB365" si="1805">(SUM(B362:B365))/4</f>
        <v>94.767500000000013</v>
      </c>
      <c r="Y365" s="40">
        <f t="shared" si="1805"/>
        <v>67.247500000000002</v>
      </c>
      <c r="Z365" s="40">
        <f t="shared" si="1805"/>
        <v>49.357500000000002</v>
      </c>
      <c r="AA365" s="40">
        <f t="shared" si="1805"/>
        <v>33.172499999999999</v>
      </c>
      <c r="AB365" s="47">
        <f t="shared" si="1805"/>
        <v>21.515000000000001</v>
      </c>
      <c r="AC365" s="42">
        <f t="shared" ref="AC365:AF365" si="1806">(B365+C365)/2</f>
        <v>80.545000000000002</v>
      </c>
      <c r="AD365" s="42">
        <f t="shared" si="1806"/>
        <v>57.715000000000003</v>
      </c>
      <c r="AE365" s="42">
        <f t="shared" si="1806"/>
        <v>40.480000000000004</v>
      </c>
      <c r="AF365" s="42">
        <f t="shared" si="1806"/>
        <v>26.71</v>
      </c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8"/>
      <c r="BK365" s="8"/>
      <c r="BL365" s="8"/>
      <c r="BM365" s="8"/>
    </row>
    <row r="366" spans="1:65" ht="15.75" hidden="1" customHeight="1" x14ac:dyDescent="0.45">
      <c r="A366" s="50">
        <f t="shared" si="1280"/>
        <v>43441</v>
      </c>
      <c r="B366" s="51">
        <v>92.78</v>
      </c>
      <c r="C366" s="51">
        <v>64.73</v>
      </c>
      <c r="D366" s="51">
        <v>46.59</v>
      </c>
      <c r="E366" s="51">
        <v>29.56</v>
      </c>
      <c r="F366" s="51">
        <v>19.04</v>
      </c>
      <c r="G366" s="52">
        <v>101.95</v>
      </c>
      <c r="H366" s="37">
        <f t="shared" ref="H366:L366" si="1807">B366-B365</f>
        <v>-1.5</v>
      </c>
      <c r="I366" s="38">
        <f t="shared" si="1807"/>
        <v>-2.0799999999999983</v>
      </c>
      <c r="J366" s="38">
        <f t="shared" si="1807"/>
        <v>-2.029999999999994</v>
      </c>
      <c r="K366" s="38">
        <f t="shared" si="1807"/>
        <v>-2.7800000000000047</v>
      </c>
      <c r="L366" s="39">
        <f t="shared" si="1807"/>
        <v>-2.0399999999999991</v>
      </c>
      <c r="M366" s="38"/>
      <c r="N366" s="40"/>
      <c r="O366" s="40"/>
      <c r="P366" s="40"/>
      <c r="Q366" s="40"/>
      <c r="R366" s="40"/>
      <c r="S366" s="40">
        <f t="shared" ref="S366:T366" si="1808">(B365+B366)/2</f>
        <v>93.53</v>
      </c>
      <c r="T366" s="40">
        <f t="shared" si="1808"/>
        <v>65.77000000000001</v>
      </c>
      <c r="U366" s="40">
        <f t="shared" si="1283"/>
        <v>47.605000000000004</v>
      </c>
      <c r="V366" s="40">
        <f t="shared" ref="V366:W366" si="1809">(E365+E366)/2</f>
        <v>30.950000000000003</v>
      </c>
      <c r="W366" s="40">
        <f t="shared" si="1809"/>
        <v>20.059999999999999</v>
      </c>
      <c r="X366" s="41">
        <f t="shared" ref="X366:AB366" si="1810">(SUM(B363:B366))/4</f>
        <v>93.509999999999991</v>
      </c>
      <c r="Y366" s="40">
        <f t="shared" si="1810"/>
        <v>65.87</v>
      </c>
      <c r="Z366" s="40">
        <f t="shared" si="1810"/>
        <v>47.795000000000002</v>
      </c>
      <c r="AA366" s="40">
        <f t="shared" si="1810"/>
        <v>31.015000000000001</v>
      </c>
      <c r="AB366" s="47">
        <f t="shared" si="1810"/>
        <v>20.36</v>
      </c>
      <c r="AC366" s="42">
        <f t="shared" ref="AC366:AF366" si="1811">(B366+C366)/2</f>
        <v>78.754999999999995</v>
      </c>
      <c r="AD366" s="42">
        <f t="shared" si="1811"/>
        <v>55.660000000000004</v>
      </c>
      <c r="AE366" s="42">
        <f t="shared" si="1811"/>
        <v>38.075000000000003</v>
      </c>
      <c r="AF366" s="42">
        <f t="shared" si="1811"/>
        <v>24.299999999999997</v>
      </c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8"/>
      <c r="BK366" s="8"/>
      <c r="BL366" s="8"/>
      <c r="BM366" s="8"/>
    </row>
    <row r="367" spans="1:65" ht="15.75" hidden="1" customHeight="1" x14ac:dyDescent="0.45">
      <c r="A367" s="50">
        <f t="shared" si="1280"/>
        <v>43448</v>
      </c>
      <c r="B367" s="51">
        <v>93.25</v>
      </c>
      <c r="C367" s="51">
        <v>65.739999999999995</v>
      </c>
      <c r="D367" s="51">
        <v>46.61</v>
      </c>
      <c r="E367" s="51">
        <v>30.43</v>
      </c>
      <c r="F367" s="51">
        <v>19.010000000000002</v>
      </c>
      <c r="G367" s="52">
        <v>102.4</v>
      </c>
      <c r="H367" s="37">
        <f t="shared" ref="H367:L367" si="1812">B367-B366</f>
        <v>0.46999999999999886</v>
      </c>
      <c r="I367" s="38">
        <f t="shared" si="1812"/>
        <v>1.0099999999999909</v>
      </c>
      <c r="J367" s="38">
        <f t="shared" si="1812"/>
        <v>1.9999999999996021E-2</v>
      </c>
      <c r="K367" s="38">
        <f t="shared" si="1812"/>
        <v>0.87000000000000099</v>
      </c>
      <c r="L367" s="39">
        <f t="shared" si="1812"/>
        <v>-2.9999999999997584E-2</v>
      </c>
      <c r="M367" s="38"/>
      <c r="N367" s="40"/>
      <c r="O367" s="40"/>
      <c r="P367" s="40"/>
      <c r="Q367" s="40"/>
      <c r="R367" s="40"/>
      <c r="S367" s="40">
        <f t="shared" ref="S367:T367" si="1813">(B366+B367)/2</f>
        <v>93.015000000000001</v>
      </c>
      <c r="T367" s="40">
        <f t="shared" si="1813"/>
        <v>65.234999999999999</v>
      </c>
      <c r="U367" s="40">
        <f t="shared" si="1283"/>
        <v>46.6</v>
      </c>
      <c r="V367" s="40">
        <f t="shared" ref="V367:W367" si="1814">(E366+E367)/2</f>
        <v>29.994999999999997</v>
      </c>
      <c r="W367" s="40">
        <f t="shared" si="1814"/>
        <v>19.024999999999999</v>
      </c>
      <c r="X367" s="41">
        <f t="shared" ref="X367:AB367" si="1815">(SUM(B364:B367))/4</f>
        <v>93.175000000000011</v>
      </c>
      <c r="Y367" s="40">
        <f t="shared" si="1815"/>
        <v>65.580000000000013</v>
      </c>
      <c r="Z367" s="40">
        <f t="shared" si="1815"/>
        <v>47.287499999999994</v>
      </c>
      <c r="AA367" s="40">
        <f t="shared" si="1815"/>
        <v>30.550000000000004</v>
      </c>
      <c r="AB367" s="47">
        <f t="shared" si="1815"/>
        <v>19.715</v>
      </c>
      <c r="AC367" s="42">
        <f t="shared" ref="AC367:AF367" si="1816">(B367+C367)/2</f>
        <v>79.495000000000005</v>
      </c>
      <c r="AD367" s="42">
        <f t="shared" si="1816"/>
        <v>56.174999999999997</v>
      </c>
      <c r="AE367" s="42">
        <f t="shared" si="1816"/>
        <v>38.519999999999996</v>
      </c>
      <c r="AF367" s="42">
        <f t="shared" si="1816"/>
        <v>24.72</v>
      </c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8"/>
      <c r="BK367" s="8"/>
      <c r="BL367" s="8"/>
      <c r="BM367" s="8"/>
    </row>
    <row r="368" spans="1:65" ht="15.75" hidden="1" customHeight="1" x14ac:dyDescent="0.45">
      <c r="A368" s="50">
        <f t="shared" si="1280"/>
        <v>43455</v>
      </c>
      <c r="B368" s="51">
        <v>95.63</v>
      </c>
      <c r="C368" s="51">
        <v>65.98</v>
      </c>
      <c r="D368" s="51">
        <v>46.92</v>
      </c>
      <c r="E368" s="51">
        <v>30.54</v>
      </c>
      <c r="F368" s="51">
        <v>19.23</v>
      </c>
      <c r="G368" s="52">
        <v>100.56</v>
      </c>
      <c r="H368" s="37">
        <f t="shared" ref="H368:L368" si="1817">B368-B367</f>
        <v>2.3799999999999955</v>
      </c>
      <c r="I368" s="38">
        <f t="shared" si="1817"/>
        <v>0.24000000000000909</v>
      </c>
      <c r="J368" s="38">
        <f t="shared" si="1817"/>
        <v>0.31000000000000227</v>
      </c>
      <c r="K368" s="38">
        <f t="shared" si="1817"/>
        <v>0.10999999999999943</v>
      </c>
      <c r="L368" s="39">
        <f t="shared" si="1817"/>
        <v>0.21999999999999886</v>
      </c>
      <c r="M368" s="38"/>
      <c r="N368" s="40"/>
      <c r="O368" s="40"/>
      <c r="P368" s="40"/>
      <c r="Q368" s="40"/>
      <c r="R368" s="40"/>
      <c r="S368" s="40">
        <f t="shared" ref="S368:T368" si="1818">(B367+B368)/2</f>
        <v>94.44</v>
      </c>
      <c r="T368" s="40">
        <f t="shared" si="1818"/>
        <v>65.86</v>
      </c>
      <c r="U368" s="40">
        <f t="shared" si="1283"/>
        <v>46.765000000000001</v>
      </c>
      <c r="V368" s="40">
        <f t="shared" ref="V368:W368" si="1819">(E367+E368)/2</f>
        <v>30.484999999999999</v>
      </c>
      <c r="W368" s="40">
        <f t="shared" si="1819"/>
        <v>19.12</v>
      </c>
      <c r="X368" s="41">
        <f t="shared" ref="X368:AB368" si="1820">(SUM(B365:B368))/4</f>
        <v>93.984999999999999</v>
      </c>
      <c r="Y368" s="40">
        <f t="shared" si="1820"/>
        <v>65.815000000000012</v>
      </c>
      <c r="Z368" s="40">
        <f t="shared" si="1820"/>
        <v>47.185000000000002</v>
      </c>
      <c r="AA368" s="40">
        <f t="shared" si="1820"/>
        <v>30.717500000000001</v>
      </c>
      <c r="AB368" s="47">
        <f t="shared" si="1820"/>
        <v>19.59</v>
      </c>
      <c r="AC368" s="42">
        <f t="shared" ref="AC368:AF368" si="1821">(B368+C368)/2</f>
        <v>80.805000000000007</v>
      </c>
      <c r="AD368" s="42">
        <f t="shared" si="1821"/>
        <v>56.45</v>
      </c>
      <c r="AE368" s="42">
        <f t="shared" si="1821"/>
        <v>38.730000000000004</v>
      </c>
      <c r="AF368" s="42">
        <f t="shared" si="1821"/>
        <v>24.884999999999998</v>
      </c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8"/>
      <c r="BK368" s="8"/>
      <c r="BL368" s="8"/>
      <c r="BM368" s="8"/>
    </row>
    <row r="369" spans="1:65" ht="15.75" hidden="1" customHeight="1" x14ac:dyDescent="0.45">
      <c r="A369" s="50">
        <f t="shared" si="1280"/>
        <v>43462</v>
      </c>
      <c r="B369" s="51">
        <v>95.46</v>
      </c>
      <c r="C369" s="51">
        <v>65.55</v>
      </c>
      <c r="D369" s="51">
        <v>46.66</v>
      </c>
      <c r="E369" s="51">
        <v>30.29</v>
      </c>
      <c r="F369" s="51">
        <v>19</v>
      </c>
      <c r="G369" s="52">
        <v>102.55</v>
      </c>
      <c r="H369" s="37">
        <f t="shared" ref="H369:L369" si="1822">B369-B368</f>
        <v>-0.17000000000000171</v>
      </c>
      <c r="I369" s="38">
        <f t="shared" si="1822"/>
        <v>-0.43000000000000682</v>
      </c>
      <c r="J369" s="38">
        <f t="shared" si="1822"/>
        <v>-0.26000000000000512</v>
      </c>
      <c r="K369" s="38">
        <f t="shared" si="1822"/>
        <v>-0.25</v>
      </c>
      <c r="L369" s="39">
        <f t="shared" si="1822"/>
        <v>-0.23000000000000043</v>
      </c>
      <c r="M369" s="38"/>
      <c r="N369" s="40"/>
      <c r="O369" s="40"/>
      <c r="P369" s="40"/>
      <c r="Q369" s="40"/>
      <c r="R369" s="40"/>
      <c r="S369" s="40">
        <f t="shared" ref="S369:T369" si="1823">(B368+B369)/2</f>
        <v>95.544999999999987</v>
      </c>
      <c r="T369" s="40">
        <f t="shared" si="1823"/>
        <v>65.765000000000001</v>
      </c>
      <c r="U369" s="40">
        <f t="shared" si="1283"/>
        <v>46.79</v>
      </c>
      <c r="V369" s="40">
        <f t="shared" ref="V369:W369" si="1824">(E368+E369)/2</f>
        <v>30.414999999999999</v>
      </c>
      <c r="W369" s="40">
        <f t="shared" si="1824"/>
        <v>19.115000000000002</v>
      </c>
      <c r="X369" s="41">
        <f t="shared" ref="X369:AB369" si="1825">(SUM(B366:B369))/4</f>
        <v>94.279999999999987</v>
      </c>
      <c r="Y369" s="40">
        <f t="shared" si="1825"/>
        <v>65.5</v>
      </c>
      <c r="Z369" s="40">
        <f t="shared" si="1825"/>
        <v>46.695</v>
      </c>
      <c r="AA369" s="40">
        <f t="shared" si="1825"/>
        <v>30.204999999999998</v>
      </c>
      <c r="AB369" s="47">
        <f t="shared" si="1825"/>
        <v>19.07</v>
      </c>
      <c r="AC369" s="42">
        <f t="shared" ref="AC369:AF369" si="1826">(B369+C369)/2</f>
        <v>80.504999999999995</v>
      </c>
      <c r="AD369" s="42">
        <f t="shared" si="1826"/>
        <v>56.104999999999997</v>
      </c>
      <c r="AE369" s="42">
        <f t="shared" si="1826"/>
        <v>38.474999999999994</v>
      </c>
      <c r="AF369" s="42">
        <f t="shared" si="1826"/>
        <v>24.645</v>
      </c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8"/>
      <c r="BK369" s="8"/>
      <c r="BL369" s="8"/>
      <c r="BM369" s="8"/>
    </row>
    <row r="370" spans="1:65" ht="15.75" hidden="1" customHeight="1" x14ac:dyDescent="0.45">
      <c r="A370" s="53">
        <f t="shared" si="1280"/>
        <v>43469</v>
      </c>
      <c r="B370" s="51">
        <v>95.64</v>
      </c>
      <c r="C370" s="51">
        <v>65.56</v>
      </c>
      <c r="D370" s="51">
        <v>47.09</v>
      </c>
      <c r="E370" s="51">
        <v>30.26</v>
      </c>
      <c r="F370" s="51">
        <v>19.100000000000001</v>
      </c>
      <c r="G370" s="52">
        <v>99.54</v>
      </c>
      <c r="H370" s="37">
        <f t="shared" ref="H370:L370" si="1827">B370-B369</f>
        <v>0.18000000000000682</v>
      </c>
      <c r="I370" s="38">
        <f t="shared" si="1827"/>
        <v>1.0000000000005116E-2</v>
      </c>
      <c r="J370" s="38">
        <f t="shared" si="1827"/>
        <v>0.43000000000000682</v>
      </c>
      <c r="K370" s="38">
        <f t="shared" si="1827"/>
        <v>-2.9999999999997584E-2</v>
      </c>
      <c r="L370" s="39">
        <f t="shared" si="1827"/>
        <v>0.10000000000000142</v>
      </c>
      <c r="M370" s="38"/>
      <c r="N370" s="40"/>
      <c r="O370" s="40"/>
      <c r="P370" s="40"/>
      <c r="Q370" s="40"/>
      <c r="R370" s="40"/>
      <c r="S370" s="40">
        <f t="shared" ref="S370:T370" si="1828">(B369+B370)/2</f>
        <v>95.55</v>
      </c>
      <c r="T370" s="40">
        <f t="shared" si="1828"/>
        <v>65.555000000000007</v>
      </c>
      <c r="U370" s="40">
        <f t="shared" si="1283"/>
        <v>46.875</v>
      </c>
      <c r="V370" s="40">
        <f t="shared" ref="V370:W370" si="1829">(E369+E370)/2</f>
        <v>30.274999999999999</v>
      </c>
      <c r="W370" s="40">
        <f t="shared" si="1829"/>
        <v>19.05</v>
      </c>
      <c r="X370" s="41">
        <f t="shared" ref="X370:AB370" si="1830">(SUM(B367:B370))/4</f>
        <v>94.99499999999999</v>
      </c>
      <c r="Y370" s="40">
        <f t="shared" si="1830"/>
        <v>65.707499999999996</v>
      </c>
      <c r="Z370" s="40">
        <f t="shared" si="1830"/>
        <v>46.82</v>
      </c>
      <c r="AA370" s="40">
        <f t="shared" si="1830"/>
        <v>30.38</v>
      </c>
      <c r="AB370" s="47">
        <f t="shared" si="1830"/>
        <v>19.085000000000001</v>
      </c>
      <c r="AC370" s="42">
        <f t="shared" ref="AC370:AF370" si="1831">(B370+C370)/2</f>
        <v>80.599999999999994</v>
      </c>
      <c r="AD370" s="42">
        <f t="shared" si="1831"/>
        <v>56.325000000000003</v>
      </c>
      <c r="AE370" s="42">
        <f t="shared" si="1831"/>
        <v>38.675000000000004</v>
      </c>
      <c r="AF370" s="42">
        <f t="shared" si="1831"/>
        <v>24.68</v>
      </c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8"/>
      <c r="BK370" s="8"/>
      <c r="BL370" s="8"/>
      <c r="BM370" s="8"/>
    </row>
    <row r="371" spans="1:65" ht="15.75" hidden="1" customHeight="1" x14ac:dyDescent="0.45">
      <c r="A371" s="53">
        <f t="shared" si="1280"/>
        <v>43476</v>
      </c>
      <c r="B371" s="51">
        <v>96.22</v>
      </c>
      <c r="C371" s="51">
        <v>65.86</v>
      </c>
      <c r="D371" s="51">
        <v>47.83</v>
      </c>
      <c r="E371" s="51">
        <v>31</v>
      </c>
      <c r="F371" s="51">
        <v>19.440000000000001</v>
      </c>
      <c r="G371" s="52">
        <v>97.61</v>
      </c>
      <c r="H371" s="37">
        <f t="shared" ref="H371:L371" si="1832">B371-B370</f>
        <v>0.57999999999999829</v>
      </c>
      <c r="I371" s="38">
        <f t="shared" si="1832"/>
        <v>0.29999999999999716</v>
      </c>
      <c r="J371" s="38">
        <f t="shared" si="1832"/>
        <v>0.73999999999999488</v>
      </c>
      <c r="K371" s="38">
        <f t="shared" si="1832"/>
        <v>0.73999999999999844</v>
      </c>
      <c r="L371" s="39">
        <f t="shared" si="1832"/>
        <v>0.33999999999999986</v>
      </c>
      <c r="M371" s="38"/>
      <c r="N371" s="40"/>
      <c r="O371" s="40"/>
      <c r="P371" s="40"/>
      <c r="Q371" s="40"/>
      <c r="R371" s="40"/>
      <c r="S371" s="40">
        <f t="shared" ref="S371:T371" si="1833">(B370+B371)/2</f>
        <v>95.93</v>
      </c>
      <c r="T371" s="40">
        <f t="shared" si="1833"/>
        <v>65.710000000000008</v>
      </c>
      <c r="U371" s="40">
        <f t="shared" si="1283"/>
        <v>47.46</v>
      </c>
      <c r="V371" s="40">
        <f t="shared" ref="V371:W371" si="1834">(E370+E371)/2</f>
        <v>30.630000000000003</v>
      </c>
      <c r="W371" s="40">
        <f t="shared" si="1834"/>
        <v>19.270000000000003</v>
      </c>
      <c r="X371" s="41">
        <f t="shared" ref="X371:AB371" si="1835">(SUM(B368:B371))/4</f>
        <v>95.737499999999983</v>
      </c>
      <c r="Y371" s="40">
        <f t="shared" si="1835"/>
        <v>65.737499999999997</v>
      </c>
      <c r="Z371" s="40">
        <f t="shared" si="1835"/>
        <v>47.125</v>
      </c>
      <c r="AA371" s="40">
        <f t="shared" si="1835"/>
        <v>30.522500000000001</v>
      </c>
      <c r="AB371" s="47">
        <f t="shared" si="1835"/>
        <v>19.192500000000003</v>
      </c>
      <c r="AC371" s="42">
        <f t="shared" ref="AC371:AF371" si="1836">(B371+C371)/2</f>
        <v>81.039999999999992</v>
      </c>
      <c r="AD371" s="42">
        <f t="shared" si="1836"/>
        <v>56.844999999999999</v>
      </c>
      <c r="AE371" s="42">
        <f t="shared" si="1836"/>
        <v>39.414999999999999</v>
      </c>
      <c r="AF371" s="42">
        <f t="shared" si="1836"/>
        <v>25.22</v>
      </c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8"/>
      <c r="BK371" s="8"/>
      <c r="BL371" s="8"/>
      <c r="BM371" s="8"/>
    </row>
    <row r="372" spans="1:65" ht="15.75" hidden="1" customHeight="1" x14ac:dyDescent="0.45">
      <c r="A372" s="53">
        <f t="shared" si="1280"/>
        <v>43483</v>
      </c>
      <c r="B372" s="51">
        <v>98.07</v>
      </c>
      <c r="C372" s="51">
        <v>66.739999999999995</v>
      </c>
      <c r="D372" s="51">
        <v>50.08</v>
      </c>
      <c r="E372" s="51">
        <v>32.299999999999997</v>
      </c>
      <c r="F372" s="51">
        <v>20.100000000000001</v>
      </c>
      <c r="G372" s="52">
        <v>99.3</v>
      </c>
      <c r="H372" s="37">
        <f t="shared" ref="H372:L372" si="1837">B372-B371</f>
        <v>1.8499999999999943</v>
      </c>
      <c r="I372" s="38">
        <f t="shared" si="1837"/>
        <v>0.87999999999999545</v>
      </c>
      <c r="J372" s="38">
        <f t="shared" si="1837"/>
        <v>2.25</v>
      </c>
      <c r="K372" s="38">
        <f t="shared" si="1837"/>
        <v>1.2999999999999972</v>
      </c>
      <c r="L372" s="39">
        <f t="shared" si="1837"/>
        <v>0.66000000000000014</v>
      </c>
      <c r="M372" s="38"/>
      <c r="N372" s="40"/>
      <c r="O372" s="40"/>
      <c r="P372" s="40"/>
      <c r="Q372" s="40"/>
      <c r="R372" s="40"/>
      <c r="S372" s="40">
        <f t="shared" ref="S372:T372" si="1838">(B371+B372)/2</f>
        <v>97.144999999999996</v>
      </c>
      <c r="T372" s="40">
        <f t="shared" si="1838"/>
        <v>66.3</v>
      </c>
      <c r="U372" s="40">
        <f t="shared" si="1283"/>
        <v>48.954999999999998</v>
      </c>
      <c r="V372" s="40">
        <f t="shared" ref="V372:W372" si="1839">(E371+E372)/2</f>
        <v>31.65</v>
      </c>
      <c r="W372" s="40">
        <f t="shared" si="1839"/>
        <v>19.770000000000003</v>
      </c>
      <c r="X372" s="41">
        <f t="shared" ref="X372:AB372" si="1840">(SUM(B369:B372))/4</f>
        <v>96.347499999999997</v>
      </c>
      <c r="Y372" s="40">
        <f t="shared" si="1840"/>
        <v>65.927500000000009</v>
      </c>
      <c r="Z372" s="40">
        <f t="shared" si="1840"/>
        <v>47.914999999999992</v>
      </c>
      <c r="AA372" s="40">
        <f t="shared" si="1840"/>
        <v>30.962499999999999</v>
      </c>
      <c r="AB372" s="47">
        <f t="shared" si="1840"/>
        <v>19.410000000000004</v>
      </c>
      <c r="AC372" s="42">
        <f t="shared" ref="AC372:AF372" si="1841">(B372+C372)/2</f>
        <v>82.405000000000001</v>
      </c>
      <c r="AD372" s="42">
        <f t="shared" si="1841"/>
        <v>58.41</v>
      </c>
      <c r="AE372" s="42">
        <f t="shared" si="1841"/>
        <v>41.19</v>
      </c>
      <c r="AF372" s="42">
        <f t="shared" si="1841"/>
        <v>26.2</v>
      </c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8"/>
      <c r="BK372" s="8"/>
      <c r="BL372" s="8"/>
      <c r="BM372" s="8"/>
    </row>
    <row r="373" spans="1:65" ht="15.75" hidden="1" customHeight="1" x14ac:dyDescent="0.45">
      <c r="A373" s="53">
        <f t="shared" si="1280"/>
        <v>43490</v>
      </c>
      <c r="B373" s="51">
        <v>98.26</v>
      </c>
      <c r="C373" s="51">
        <v>68.290000000000006</v>
      </c>
      <c r="D373" s="51">
        <v>51.04</v>
      </c>
      <c r="E373" s="51">
        <v>33.51</v>
      </c>
      <c r="F373" s="51">
        <v>20.440000000000001</v>
      </c>
      <c r="G373" s="52">
        <v>99.78</v>
      </c>
      <c r="H373" s="37">
        <f t="shared" ref="H373:L373" si="1842">B373-B372</f>
        <v>0.19000000000001194</v>
      </c>
      <c r="I373" s="38">
        <f t="shared" si="1842"/>
        <v>1.5500000000000114</v>
      </c>
      <c r="J373" s="38">
        <f t="shared" si="1842"/>
        <v>0.96000000000000085</v>
      </c>
      <c r="K373" s="38">
        <f t="shared" si="1842"/>
        <v>1.2100000000000009</v>
      </c>
      <c r="L373" s="39">
        <f t="shared" si="1842"/>
        <v>0.33999999999999986</v>
      </c>
      <c r="M373" s="38"/>
      <c r="N373" s="40"/>
      <c r="O373" s="40"/>
      <c r="P373" s="40"/>
      <c r="Q373" s="40"/>
      <c r="R373" s="40"/>
      <c r="S373" s="40">
        <f t="shared" ref="S373:T373" si="1843">(B372+B373)/2</f>
        <v>98.164999999999992</v>
      </c>
      <c r="T373" s="40">
        <f t="shared" si="1843"/>
        <v>67.515000000000001</v>
      </c>
      <c r="U373" s="40">
        <f t="shared" si="1283"/>
        <v>50.56</v>
      </c>
      <c r="V373" s="40">
        <f t="shared" ref="V373:W373" si="1844">(E372+E373)/2</f>
        <v>32.905000000000001</v>
      </c>
      <c r="W373" s="40">
        <f t="shared" si="1844"/>
        <v>20.270000000000003</v>
      </c>
      <c r="X373" s="41">
        <f t="shared" ref="X373:AB373" si="1845">(SUM(B370:B373))/4</f>
        <v>97.047499999999999</v>
      </c>
      <c r="Y373" s="40">
        <f t="shared" si="1845"/>
        <v>66.612500000000011</v>
      </c>
      <c r="Z373" s="40">
        <f t="shared" si="1845"/>
        <v>49.01</v>
      </c>
      <c r="AA373" s="40">
        <f t="shared" si="1845"/>
        <v>31.767499999999998</v>
      </c>
      <c r="AB373" s="47">
        <f t="shared" si="1845"/>
        <v>19.770000000000003</v>
      </c>
      <c r="AC373" s="42">
        <f t="shared" ref="AC373:AF373" si="1846">(B373+C373)/2</f>
        <v>83.275000000000006</v>
      </c>
      <c r="AD373" s="42">
        <f t="shared" si="1846"/>
        <v>59.665000000000006</v>
      </c>
      <c r="AE373" s="42">
        <f t="shared" si="1846"/>
        <v>42.274999999999999</v>
      </c>
      <c r="AF373" s="42">
        <f t="shared" si="1846"/>
        <v>26.975000000000001</v>
      </c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8"/>
      <c r="BK373" s="8"/>
      <c r="BL373" s="8"/>
      <c r="BM373" s="8"/>
    </row>
    <row r="374" spans="1:65" ht="15.75" hidden="1" customHeight="1" x14ac:dyDescent="0.45">
      <c r="A374" s="53">
        <f t="shared" si="1280"/>
        <v>43497</v>
      </c>
      <c r="B374" s="51">
        <v>98.53</v>
      </c>
      <c r="C374" s="51">
        <v>68.64</v>
      </c>
      <c r="D374" s="51">
        <v>52.44</v>
      </c>
      <c r="E374" s="51">
        <v>34.369999999999997</v>
      </c>
      <c r="F374" s="51">
        <v>21.21</v>
      </c>
      <c r="G374" s="52">
        <v>99.5</v>
      </c>
      <c r="H374" s="37">
        <f t="shared" ref="H374:L374" si="1847">B374-B373</f>
        <v>0.26999999999999602</v>
      </c>
      <c r="I374" s="38">
        <f t="shared" si="1847"/>
        <v>0.34999999999999432</v>
      </c>
      <c r="J374" s="38">
        <f t="shared" si="1847"/>
        <v>1.3999999999999986</v>
      </c>
      <c r="K374" s="38">
        <f t="shared" si="1847"/>
        <v>0.85999999999999943</v>
      </c>
      <c r="L374" s="39">
        <f t="shared" si="1847"/>
        <v>0.76999999999999957</v>
      </c>
      <c r="M374" s="38"/>
      <c r="N374" s="40"/>
      <c r="O374" s="40"/>
      <c r="P374" s="40"/>
      <c r="Q374" s="40"/>
      <c r="R374" s="40"/>
      <c r="S374" s="40">
        <f t="shared" ref="S374:T374" si="1848">(B373+B374)/2</f>
        <v>98.39500000000001</v>
      </c>
      <c r="T374" s="40">
        <f t="shared" si="1848"/>
        <v>68.465000000000003</v>
      </c>
      <c r="U374" s="40">
        <f t="shared" si="1283"/>
        <v>51.739999999999995</v>
      </c>
      <c r="V374" s="40">
        <f t="shared" ref="V374:W374" si="1849">(E373+E374)/2</f>
        <v>33.94</v>
      </c>
      <c r="W374" s="40">
        <f t="shared" si="1849"/>
        <v>20.825000000000003</v>
      </c>
      <c r="X374" s="41">
        <f t="shared" ref="X374:AB374" si="1850">(SUM(B371:B374))/4</f>
        <v>97.77000000000001</v>
      </c>
      <c r="Y374" s="40">
        <f t="shared" si="1850"/>
        <v>67.382499999999993</v>
      </c>
      <c r="Z374" s="40">
        <f t="shared" si="1850"/>
        <v>50.347499999999997</v>
      </c>
      <c r="AA374" s="40">
        <f t="shared" si="1850"/>
        <v>32.795000000000002</v>
      </c>
      <c r="AB374" s="47">
        <f t="shared" si="1850"/>
        <v>20.297499999999999</v>
      </c>
      <c r="AC374" s="42">
        <f t="shared" ref="AC374:AF374" si="1851">(B374+C374)/2</f>
        <v>83.585000000000008</v>
      </c>
      <c r="AD374" s="42">
        <f t="shared" si="1851"/>
        <v>60.54</v>
      </c>
      <c r="AE374" s="42">
        <f t="shared" si="1851"/>
        <v>43.405000000000001</v>
      </c>
      <c r="AF374" s="42">
        <f t="shared" si="1851"/>
        <v>27.79</v>
      </c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8"/>
      <c r="BK374" s="8"/>
      <c r="BL374" s="8"/>
      <c r="BM374" s="8"/>
    </row>
    <row r="375" spans="1:65" ht="15.75" hidden="1" customHeight="1" x14ac:dyDescent="0.45">
      <c r="A375" s="53">
        <f t="shared" si="1280"/>
        <v>43504</v>
      </c>
      <c r="B375" s="51">
        <v>98.43</v>
      </c>
      <c r="C375" s="51">
        <v>68.84</v>
      </c>
      <c r="D375" s="51">
        <v>53.19</v>
      </c>
      <c r="E375" s="51">
        <v>34.450000000000003</v>
      </c>
      <c r="F375" s="51">
        <v>21.09</v>
      </c>
      <c r="G375" s="52">
        <v>96.92</v>
      </c>
      <c r="H375" s="37">
        <f t="shared" ref="H375:L375" si="1852">B375-B374</f>
        <v>-9.9999999999994316E-2</v>
      </c>
      <c r="I375" s="38">
        <f t="shared" si="1852"/>
        <v>0.20000000000000284</v>
      </c>
      <c r="J375" s="38">
        <f t="shared" si="1852"/>
        <v>0.75</v>
      </c>
      <c r="K375" s="38">
        <f t="shared" si="1852"/>
        <v>8.00000000000054E-2</v>
      </c>
      <c r="L375" s="39">
        <f t="shared" si="1852"/>
        <v>-0.12000000000000099</v>
      </c>
      <c r="M375" s="38"/>
      <c r="N375" s="40"/>
      <c r="O375" s="40"/>
      <c r="P375" s="40"/>
      <c r="Q375" s="40"/>
      <c r="R375" s="40"/>
      <c r="S375" s="40">
        <f t="shared" ref="S375:T375" si="1853">(B374+B375)/2</f>
        <v>98.48</v>
      </c>
      <c r="T375" s="40">
        <f t="shared" si="1853"/>
        <v>68.740000000000009</v>
      </c>
      <c r="U375" s="40">
        <f t="shared" si="1283"/>
        <v>52.814999999999998</v>
      </c>
      <c r="V375" s="40">
        <f t="shared" ref="V375:W375" si="1854">(E374+E375)/2</f>
        <v>34.409999999999997</v>
      </c>
      <c r="W375" s="40">
        <f t="shared" si="1854"/>
        <v>21.15</v>
      </c>
      <c r="X375" s="41">
        <f t="shared" ref="X375:AB375" si="1855">(SUM(B372:B375))/4</f>
        <v>98.322500000000005</v>
      </c>
      <c r="Y375" s="40">
        <f t="shared" si="1855"/>
        <v>68.127499999999998</v>
      </c>
      <c r="Z375" s="40">
        <f t="shared" si="1855"/>
        <v>51.6875</v>
      </c>
      <c r="AA375" s="40">
        <f t="shared" si="1855"/>
        <v>33.657499999999999</v>
      </c>
      <c r="AB375" s="47">
        <f t="shared" si="1855"/>
        <v>20.71</v>
      </c>
      <c r="AC375" s="42">
        <f t="shared" ref="AC375:AF375" si="1856">(B375+C375)/2</f>
        <v>83.635000000000005</v>
      </c>
      <c r="AD375" s="42">
        <f t="shared" si="1856"/>
        <v>61.015000000000001</v>
      </c>
      <c r="AE375" s="42">
        <f t="shared" si="1856"/>
        <v>43.82</v>
      </c>
      <c r="AF375" s="42">
        <f t="shared" si="1856"/>
        <v>27.770000000000003</v>
      </c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8"/>
      <c r="BK375" s="8"/>
      <c r="BL375" s="8"/>
      <c r="BM375" s="8"/>
    </row>
    <row r="376" spans="1:65" ht="15.75" hidden="1" customHeight="1" x14ac:dyDescent="0.45">
      <c r="A376" s="53">
        <f t="shared" si="1280"/>
        <v>43511</v>
      </c>
      <c r="B376" s="51">
        <v>95.41</v>
      </c>
      <c r="C376" s="51">
        <v>69.680000000000007</v>
      </c>
      <c r="D376" s="51">
        <v>54.66</v>
      </c>
      <c r="E376" s="51">
        <v>35.4</v>
      </c>
      <c r="F376" s="51">
        <v>21.38</v>
      </c>
      <c r="G376" s="52">
        <v>90.71</v>
      </c>
      <c r="H376" s="37">
        <f t="shared" ref="H376:L376" si="1857">B376-B375</f>
        <v>-3.0200000000000102</v>
      </c>
      <c r="I376" s="38">
        <f t="shared" si="1857"/>
        <v>0.84000000000000341</v>
      </c>
      <c r="J376" s="38">
        <f t="shared" si="1857"/>
        <v>1.4699999999999989</v>
      </c>
      <c r="K376" s="38">
        <f t="shared" si="1857"/>
        <v>0.94999999999999574</v>
      </c>
      <c r="L376" s="39">
        <f t="shared" si="1857"/>
        <v>0.28999999999999915</v>
      </c>
      <c r="M376" s="38"/>
      <c r="N376" s="40"/>
      <c r="O376" s="40"/>
      <c r="P376" s="40"/>
      <c r="Q376" s="40"/>
      <c r="R376" s="40"/>
      <c r="S376" s="40">
        <f t="shared" ref="S376:T376" si="1858">(B375+B376)/2</f>
        <v>96.92</v>
      </c>
      <c r="T376" s="40">
        <f t="shared" si="1858"/>
        <v>69.260000000000005</v>
      </c>
      <c r="U376" s="40">
        <f t="shared" si="1283"/>
        <v>53.924999999999997</v>
      </c>
      <c r="V376" s="40">
        <f t="shared" ref="V376:W376" si="1859">(E375+E376)/2</f>
        <v>34.924999999999997</v>
      </c>
      <c r="W376" s="40">
        <f t="shared" si="1859"/>
        <v>21.234999999999999</v>
      </c>
      <c r="X376" s="41">
        <f t="shared" ref="X376:AB376" si="1860">(SUM(B373:B376))/4</f>
        <v>97.657499999999999</v>
      </c>
      <c r="Y376" s="40">
        <f t="shared" si="1860"/>
        <v>68.862500000000011</v>
      </c>
      <c r="Z376" s="40">
        <f t="shared" si="1860"/>
        <v>52.832499999999996</v>
      </c>
      <c r="AA376" s="40">
        <f t="shared" si="1860"/>
        <v>34.432499999999997</v>
      </c>
      <c r="AB376" s="47">
        <f t="shared" si="1860"/>
        <v>21.03</v>
      </c>
      <c r="AC376" s="42">
        <f t="shared" ref="AC376:AF376" si="1861">(B376+C376)/2</f>
        <v>82.545000000000002</v>
      </c>
      <c r="AD376" s="42">
        <f t="shared" si="1861"/>
        <v>62.17</v>
      </c>
      <c r="AE376" s="42">
        <f t="shared" si="1861"/>
        <v>45.03</v>
      </c>
      <c r="AF376" s="42">
        <f t="shared" si="1861"/>
        <v>28.39</v>
      </c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8"/>
      <c r="BK376" s="8"/>
      <c r="BL376" s="8"/>
      <c r="BM376" s="8"/>
    </row>
    <row r="377" spans="1:65" ht="15.75" hidden="1" customHeight="1" x14ac:dyDescent="0.45">
      <c r="A377" s="53">
        <f t="shared" si="1280"/>
        <v>43518</v>
      </c>
      <c r="B377" s="51">
        <v>95.12</v>
      </c>
      <c r="C377" s="51">
        <v>70.06</v>
      </c>
      <c r="D377" s="51">
        <v>56.05</v>
      </c>
      <c r="E377" s="51">
        <v>37.01</v>
      </c>
      <c r="F377" s="51">
        <v>21.88</v>
      </c>
      <c r="G377" s="52">
        <v>94.64</v>
      </c>
      <c r="H377" s="37">
        <f t="shared" ref="H377:L377" si="1862">B377-B376</f>
        <v>-0.28999999999999204</v>
      </c>
      <c r="I377" s="38">
        <f t="shared" si="1862"/>
        <v>0.37999999999999545</v>
      </c>
      <c r="J377" s="38">
        <f t="shared" si="1862"/>
        <v>1.3900000000000006</v>
      </c>
      <c r="K377" s="38">
        <f t="shared" si="1862"/>
        <v>1.6099999999999994</v>
      </c>
      <c r="L377" s="39">
        <f t="shared" si="1862"/>
        <v>0.5</v>
      </c>
      <c r="M377" s="38"/>
      <c r="N377" s="40"/>
      <c r="O377" s="40"/>
      <c r="P377" s="40"/>
      <c r="Q377" s="40"/>
      <c r="R377" s="40"/>
      <c r="S377" s="40">
        <f t="shared" ref="S377:T377" si="1863">(B376+B377)/2</f>
        <v>95.265000000000001</v>
      </c>
      <c r="T377" s="40">
        <f t="shared" si="1863"/>
        <v>69.87</v>
      </c>
      <c r="U377" s="40">
        <f t="shared" si="1283"/>
        <v>55.354999999999997</v>
      </c>
      <c r="V377" s="40">
        <f t="shared" ref="V377:W377" si="1864">(E376+E377)/2</f>
        <v>36.204999999999998</v>
      </c>
      <c r="W377" s="40">
        <f t="shared" si="1864"/>
        <v>21.63</v>
      </c>
      <c r="X377" s="41">
        <f t="shared" ref="X377:AB377" si="1865">(SUM(B374:B377))/4</f>
        <v>96.872500000000002</v>
      </c>
      <c r="Y377" s="40">
        <f t="shared" si="1865"/>
        <v>69.305000000000007</v>
      </c>
      <c r="Z377" s="40">
        <f t="shared" si="1865"/>
        <v>54.084999999999994</v>
      </c>
      <c r="AA377" s="40">
        <f t="shared" si="1865"/>
        <v>35.307499999999997</v>
      </c>
      <c r="AB377" s="47">
        <f t="shared" si="1865"/>
        <v>21.389999999999997</v>
      </c>
      <c r="AC377" s="42">
        <f t="shared" ref="AC377:AF377" si="1866">(B377+C377)/2</f>
        <v>82.59</v>
      </c>
      <c r="AD377" s="42">
        <f t="shared" si="1866"/>
        <v>63.055</v>
      </c>
      <c r="AE377" s="42">
        <f t="shared" si="1866"/>
        <v>46.53</v>
      </c>
      <c r="AF377" s="42">
        <f t="shared" si="1866"/>
        <v>29.445</v>
      </c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8"/>
      <c r="BK377" s="8"/>
      <c r="BL377" s="8"/>
      <c r="BM377" s="8"/>
    </row>
    <row r="378" spans="1:65" ht="15.75" hidden="1" customHeight="1" x14ac:dyDescent="0.45">
      <c r="A378" s="53">
        <f t="shared" si="1280"/>
        <v>43525</v>
      </c>
      <c r="B378" s="51">
        <v>95.51</v>
      </c>
      <c r="C378" s="51">
        <v>70.22</v>
      </c>
      <c r="D378" s="51">
        <v>56.68</v>
      </c>
      <c r="E378" s="51">
        <v>38.479999999999997</v>
      </c>
      <c r="F378" s="51">
        <v>22.21</v>
      </c>
      <c r="G378" s="52">
        <v>96.04</v>
      </c>
      <c r="H378" s="37">
        <f t="shared" ref="H378:L378" si="1867">B378-B377</f>
        <v>0.39000000000000057</v>
      </c>
      <c r="I378" s="38">
        <f t="shared" si="1867"/>
        <v>0.15999999999999659</v>
      </c>
      <c r="J378" s="38">
        <f t="shared" si="1867"/>
        <v>0.63000000000000256</v>
      </c>
      <c r="K378" s="38">
        <f t="shared" si="1867"/>
        <v>1.4699999999999989</v>
      </c>
      <c r="L378" s="39">
        <f t="shared" si="1867"/>
        <v>0.33000000000000185</v>
      </c>
      <c r="M378" s="38"/>
      <c r="N378" s="40"/>
      <c r="O378" s="40"/>
      <c r="P378" s="40"/>
      <c r="Q378" s="40"/>
      <c r="R378" s="40"/>
      <c r="S378" s="40">
        <f t="shared" ref="S378:T378" si="1868">(B377+B378)/2</f>
        <v>95.314999999999998</v>
      </c>
      <c r="T378" s="40">
        <f t="shared" si="1868"/>
        <v>70.14</v>
      </c>
      <c r="U378" s="40">
        <f t="shared" si="1283"/>
        <v>56.364999999999995</v>
      </c>
      <c r="V378" s="40">
        <f t="shared" ref="V378:W378" si="1869">(E377+E378)/2</f>
        <v>37.744999999999997</v>
      </c>
      <c r="W378" s="40">
        <f t="shared" si="1869"/>
        <v>22.045000000000002</v>
      </c>
      <c r="X378" s="41">
        <f t="shared" ref="X378:AB378" si="1870">(SUM(B375:B378))/4</f>
        <v>96.117500000000007</v>
      </c>
      <c r="Y378" s="40">
        <f t="shared" si="1870"/>
        <v>69.7</v>
      </c>
      <c r="Z378" s="40">
        <f t="shared" si="1870"/>
        <v>55.144999999999996</v>
      </c>
      <c r="AA378" s="40">
        <f t="shared" si="1870"/>
        <v>36.334999999999994</v>
      </c>
      <c r="AB378" s="47">
        <f t="shared" si="1870"/>
        <v>21.64</v>
      </c>
      <c r="AC378" s="42">
        <f t="shared" ref="AC378:AF378" si="1871">(B378+C378)/2</f>
        <v>82.865000000000009</v>
      </c>
      <c r="AD378" s="42">
        <f t="shared" si="1871"/>
        <v>63.45</v>
      </c>
      <c r="AE378" s="42">
        <f t="shared" si="1871"/>
        <v>47.58</v>
      </c>
      <c r="AF378" s="42">
        <f t="shared" si="1871"/>
        <v>30.344999999999999</v>
      </c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8"/>
      <c r="BK378" s="8"/>
      <c r="BL378" s="8"/>
      <c r="BM378" s="8"/>
    </row>
    <row r="379" spans="1:65" ht="15.75" hidden="1" customHeight="1" x14ac:dyDescent="0.45">
      <c r="A379" s="53">
        <f t="shared" si="1280"/>
        <v>43532</v>
      </c>
      <c r="B379" s="51">
        <v>95.99</v>
      </c>
      <c r="C379" s="51">
        <v>71.010000000000005</v>
      </c>
      <c r="D379" s="51">
        <v>57.35</v>
      </c>
      <c r="E379" s="51">
        <v>40.32</v>
      </c>
      <c r="F379" s="51">
        <v>22.84</v>
      </c>
      <c r="G379" s="52">
        <v>96.7</v>
      </c>
      <c r="H379" s="37">
        <f t="shared" ref="H379:L379" si="1872">B379-B378</f>
        <v>0.47999999999998977</v>
      </c>
      <c r="I379" s="38">
        <f t="shared" si="1872"/>
        <v>0.79000000000000625</v>
      </c>
      <c r="J379" s="38">
        <f t="shared" si="1872"/>
        <v>0.67000000000000171</v>
      </c>
      <c r="K379" s="38">
        <f t="shared" si="1872"/>
        <v>1.8400000000000034</v>
      </c>
      <c r="L379" s="39">
        <f t="shared" si="1872"/>
        <v>0.62999999999999901</v>
      </c>
      <c r="M379" s="38"/>
      <c r="N379" s="40"/>
      <c r="O379" s="40"/>
      <c r="P379" s="40"/>
      <c r="Q379" s="40"/>
      <c r="R379" s="40"/>
      <c r="S379" s="40">
        <f t="shared" ref="S379:T379" si="1873">(B378+B379)/2</f>
        <v>95.75</v>
      </c>
      <c r="T379" s="40">
        <f t="shared" si="1873"/>
        <v>70.615000000000009</v>
      </c>
      <c r="U379" s="40">
        <f t="shared" si="1283"/>
        <v>57.015000000000001</v>
      </c>
      <c r="V379" s="40">
        <f t="shared" ref="V379:W379" si="1874">(E378+E379)/2</f>
        <v>39.4</v>
      </c>
      <c r="W379" s="40">
        <f t="shared" si="1874"/>
        <v>22.524999999999999</v>
      </c>
      <c r="X379" s="41">
        <f t="shared" ref="X379:AB379" si="1875">(SUM(B376:B379))/4</f>
        <v>95.507500000000007</v>
      </c>
      <c r="Y379" s="40">
        <f t="shared" si="1875"/>
        <v>70.242500000000007</v>
      </c>
      <c r="Z379" s="40">
        <f t="shared" si="1875"/>
        <v>56.184999999999995</v>
      </c>
      <c r="AA379" s="40">
        <f t="shared" si="1875"/>
        <v>37.802499999999995</v>
      </c>
      <c r="AB379" s="47">
        <f t="shared" si="1875"/>
        <v>22.077500000000001</v>
      </c>
      <c r="AC379" s="42">
        <f t="shared" ref="AC379:AF379" si="1876">(B379+C379)/2</f>
        <v>83.5</v>
      </c>
      <c r="AD379" s="42">
        <f t="shared" si="1876"/>
        <v>64.180000000000007</v>
      </c>
      <c r="AE379" s="42">
        <f t="shared" si="1876"/>
        <v>48.835000000000001</v>
      </c>
      <c r="AF379" s="42">
        <f t="shared" si="1876"/>
        <v>31.58</v>
      </c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8"/>
      <c r="BK379" s="8"/>
      <c r="BL379" s="8"/>
      <c r="BM379" s="8"/>
    </row>
    <row r="380" spans="1:65" ht="15.75" hidden="1" customHeight="1" x14ac:dyDescent="0.45">
      <c r="A380" s="53">
        <f t="shared" si="1280"/>
        <v>43539</v>
      </c>
      <c r="B380" s="51">
        <v>95.05</v>
      </c>
      <c r="C380" s="51">
        <v>70.98</v>
      </c>
      <c r="D380" s="51">
        <v>56.66</v>
      </c>
      <c r="E380" s="51">
        <v>39.76</v>
      </c>
      <c r="F380" s="51">
        <v>23</v>
      </c>
      <c r="G380" s="52">
        <v>93.25</v>
      </c>
      <c r="H380" s="37">
        <f t="shared" ref="H380:L380" si="1877">B380-B379</f>
        <v>-0.93999999999999773</v>
      </c>
      <c r="I380" s="38">
        <f t="shared" si="1877"/>
        <v>-3.0000000000001137E-2</v>
      </c>
      <c r="J380" s="38">
        <f t="shared" si="1877"/>
        <v>-0.69000000000000483</v>
      </c>
      <c r="K380" s="38">
        <f t="shared" si="1877"/>
        <v>-0.56000000000000227</v>
      </c>
      <c r="L380" s="39">
        <f t="shared" si="1877"/>
        <v>0.16000000000000014</v>
      </c>
      <c r="M380" s="38"/>
      <c r="N380" s="40"/>
      <c r="O380" s="40"/>
      <c r="P380" s="40"/>
      <c r="Q380" s="40"/>
      <c r="R380" s="40"/>
      <c r="S380" s="40">
        <f t="shared" ref="S380:T380" si="1878">(B379+B380)/2</f>
        <v>95.52</v>
      </c>
      <c r="T380" s="40">
        <f t="shared" si="1878"/>
        <v>70.995000000000005</v>
      </c>
      <c r="U380" s="40">
        <f t="shared" si="1283"/>
        <v>57.004999999999995</v>
      </c>
      <c r="V380" s="40">
        <f t="shared" ref="V380:W380" si="1879">(E379+E380)/2</f>
        <v>40.04</v>
      </c>
      <c r="W380" s="40">
        <f t="shared" si="1879"/>
        <v>22.92</v>
      </c>
      <c r="X380" s="41">
        <f t="shared" ref="X380:AB380" si="1880">(SUM(B377:B380))/4</f>
        <v>95.417500000000004</v>
      </c>
      <c r="Y380" s="40">
        <f t="shared" si="1880"/>
        <v>70.56750000000001</v>
      </c>
      <c r="Z380" s="40">
        <f t="shared" si="1880"/>
        <v>56.684999999999995</v>
      </c>
      <c r="AA380" s="40">
        <f t="shared" si="1880"/>
        <v>38.892499999999998</v>
      </c>
      <c r="AB380" s="47">
        <f t="shared" si="1880"/>
        <v>22.482500000000002</v>
      </c>
      <c r="AC380" s="42">
        <f t="shared" ref="AC380:AF380" si="1881">(B380+C380)/2</f>
        <v>83.015000000000001</v>
      </c>
      <c r="AD380" s="42">
        <f t="shared" si="1881"/>
        <v>63.82</v>
      </c>
      <c r="AE380" s="42">
        <f t="shared" si="1881"/>
        <v>48.209999999999994</v>
      </c>
      <c r="AF380" s="42">
        <f t="shared" si="1881"/>
        <v>31.38</v>
      </c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8"/>
      <c r="BK380" s="8"/>
      <c r="BL380" s="8"/>
      <c r="BM380" s="8"/>
    </row>
    <row r="381" spans="1:65" ht="15.75" hidden="1" customHeight="1" x14ac:dyDescent="0.45">
      <c r="A381" s="53">
        <f t="shared" si="1280"/>
        <v>43546</v>
      </c>
      <c r="B381" s="51">
        <v>94.01</v>
      </c>
      <c r="C381" s="51">
        <v>69.25</v>
      </c>
      <c r="D381" s="51">
        <v>55.21</v>
      </c>
      <c r="E381" s="51">
        <v>37.82</v>
      </c>
      <c r="F381" s="51">
        <v>21.58</v>
      </c>
      <c r="G381" s="52">
        <v>90.51</v>
      </c>
      <c r="H381" s="37">
        <f t="shared" ref="H381:L381" si="1882">B381-B380</f>
        <v>-1.039999999999992</v>
      </c>
      <c r="I381" s="38">
        <f t="shared" si="1882"/>
        <v>-1.730000000000004</v>
      </c>
      <c r="J381" s="38">
        <f t="shared" si="1882"/>
        <v>-1.4499999999999957</v>
      </c>
      <c r="K381" s="38">
        <f t="shared" si="1882"/>
        <v>-1.9399999999999977</v>
      </c>
      <c r="L381" s="39">
        <f t="shared" si="1882"/>
        <v>-1.4200000000000017</v>
      </c>
      <c r="M381" s="38"/>
      <c r="N381" s="40"/>
      <c r="O381" s="40"/>
      <c r="P381" s="40"/>
      <c r="Q381" s="40"/>
      <c r="R381" s="40"/>
      <c r="S381" s="40">
        <f t="shared" ref="S381:T381" si="1883">(B380+B381)/2</f>
        <v>94.53</v>
      </c>
      <c r="T381" s="40">
        <f t="shared" si="1883"/>
        <v>70.115000000000009</v>
      </c>
      <c r="U381" s="40">
        <f t="shared" si="1283"/>
        <v>55.935000000000002</v>
      </c>
      <c r="V381" s="40">
        <f t="shared" ref="V381:W381" si="1884">(E380+E381)/2</f>
        <v>38.79</v>
      </c>
      <c r="W381" s="40">
        <f t="shared" si="1884"/>
        <v>22.29</v>
      </c>
      <c r="X381" s="41">
        <f t="shared" ref="X381:AB381" si="1885">(SUM(B378:B381))/4</f>
        <v>95.14</v>
      </c>
      <c r="Y381" s="40">
        <f t="shared" si="1885"/>
        <v>70.365000000000009</v>
      </c>
      <c r="Z381" s="40">
        <f t="shared" si="1885"/>
        <v>56.475000000000001</v>
      </c>
      <c r="AA381" s="40">
        <f t="shared" si="1885"/>
        <v>39.094999999999999</v>
      </c>
      <c r="AB381" s="47">
        <f t="shared" si="1885"/>
        <v>22.407499999999999</v>
      </c>
      <c r="AC381" s="42">
        <f t="shared" ref="AC381:AF381" si="1886">(B381+C381)/2</f>
        <v>81.63</v>
      </c>
      <c r="AD381" s="42">
        <f t="shared" si="1886"/>
        <v>62.230000000000004</v>
      </c>
      <c r="AE381" s="42">
        <f t="shared" si="1886"/>
        <v>46.515000000000001</v>
      </c>
      <c r="AF381" s="42">
        <f t="shared" si="1886"/>
        <v>29.7</v>
      </c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8"/>
      <c r="BK381" s="8"/>
      <c r="BL381" s="8"/>
      <c r="BM381" s="8"/>
    </row>
    <row r="382" spans="1:65" ht="15.75" hidden="1" customHeight="1" x14ac:dyDescent="0.45">
      <c r="A382" s="53">
        <f t="shared" si="1280"/>
        <v>43553</v>
      </c>
      <c r="B382" s="51">
        <v>93.69</v>
      </c>
      <c r="C382" s="51">
        <v>68.489999999999995</v>
      </c>
      <c r="D382" s="51">
        <v>54.48</v>
      </c>
      <c r="E382" s="51">
        <v>36.75</v>
      </c>
      <c r="F382" s="51">
        <v>21.71</v>
      </c>
      <c r="G382" s="52">
        <v>89.17</v>
      </c>
      <c r="H382" s="37">
        <f t="shared" ref="H382:L382" si="1887">B382-B381</f>
        <v>-0.32000000000000739</v>
      </c>
      <c r="I382" s="38">
        <f t="shared" si="1887"/>
        <v>-0.76000000000000512</v>
      </c>
      <c r="J382" s="38">
        <f t="shared" si="1887"/>
        <v>-0.73000000000000398</v>
      </c>
      <c r="K382" s="38">
        <f t="shared" si="1887"/>
        <v>-1.0700000000000003</v>
      </c>
      <c r="L382" s="39">
        <f t="shared" si="1887"/>
        <v>0.13000000000000256</v>
      </c>
      <c r="M382" s="38"/>
      <c r="N382" s="40"/>
      <c r="O382" s="40"/>
      <c r="P382" s="40"/>
      <c r="Q382" s="40"/>
      <c r="R382" s="40"/>
      <c r="S382" s="40">
        <f t="shared" ref="S382:T382" si="1888">(B381+B382)/2</f>
        <v>93.85</v>
      </c>
      <c r="T382" s="40">
        <f t="shared" si="1888"/>
        <v>68.87</v>
      </c>
      <c r="U382" s="40">
        <f t="shared" si="1283"/>
        <v>54.844999999999999</v>
      </c>
      <c r="V382" s="40">
        <f t="shared" ref="V382:W382" si="1889">(E381+E382)/2</f>
        <v>37.284999999999997</v>
      </c>
      <c r="W382" s="40">
        <f t="shared" si="1889"/>
        <v>21.645</v>
      </c>
      <c r="X382" s="41">
        <f t="shared" ref="X382:AB382" si="1890">(SUM(B379:B382))/4</f>
        <v>94.685000000000002</v>
      </c>
      <c r="Y382" s="40">
        <f t="shared" si="1890"/>
        <v>69.932500000000005</v>
      </c>
      <c r="Z382" s="40">
        <f t="shared" si="1890"/>
        <v>55.924999999999997</v>
      </c>
      <c r="AA382" s="40">
        <f t="shared" si="1890"/>
        <v>38.662500000000001</v>
      </c>
      <c r="AB382" s="47">
        <f t="shared" si="1890"/>
        <v>22.282499999999999</v>
      </c>
      <c r="AC382" s="42">
        <f t="shared" ref="AC382:AF382" si="1891">(B382+C382)/2</f>
        <v>81.09</v>
      </c>
      <c r="AD382" s="42">
        <f t="shared" si="1891"/>
        <v>61.484999999999999</v>
      </c>
      <c r="AE382" s="42">
        <f t="shared" si="1891"/>
        <v>45.614999999999995</v>
      </c>
      <c r="AF382" s="42">
        <f t="shared" si="1891"/>
        <v>29.23</v>
      </c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8"/>
      <c r="BK382" s="8"/>
      <c r="BL382" s="8"/>
      <c r="BM382" s="8"/>
    </row>
    <row r="383" spans="1:65" ht="15.75" hidden="1" customHeight="1" x14ac:dyDescent="0.45">
      <c r="A383" s="53">
        <f t="shared" si="1280"/>
        <v>43560</v>
      </c>
      <c r="B383" s="51">
        <v>85.16</v>
      </c>
      <c r="C383" s="51">
        <v>67.180000000000007</v>
      </c>
      <c r="D383" s="51">
        <v>53.39</v>
      </c>
      <c r="E383" s="51">
        <v>37.299999999999997</v>
      </c>
      <c r="F383" s="51">
        <v>21.63</v>
      </c>
      <c r="G383" s="52">
        <v>78.3</v>
      </c>
      <c r="H383" s="37">
        <f t="shared" ref="H383:L383" si="1892">B383-B382</f>
        <v>-8.5300000000000011</v>
      </c>
      <c r="I383" s="38">
        <f t="shared" si="1892"/>
        <v>-1.3099999999999881</v>
      </c>
      <c r="J383" s="38">
        <f t="shared" si="1892"/>
        <v>-1.0899999999999963</v>
      </c>
      <c r="K383" s="38">
        <f t="shared" si="1892"/>
        <v>0.54999999999999716</v>
      </c>
      <c r="L383" s="39">
        <f t="shared" si="1892"/>
        <v>-8.0000000000001847E-2</v>
      </c>
      <c r="M383" s="38"/>
      <c r="N383" s="40"/>
      <c r="O383" s="40"/>
      <c r="P383" s="40"/>
      <c r="Q383" s="40"/>
      <c r="R383" s="40"/>
      <c r="S383" s="40">
        <f t="shared" ref="S383:T383" si="1893">(B382+B383)/2</f>
        <v>89.424999999999997</v>
      </c>
      <c r="T383" s="40">
        <f t="shared" si="1893"/>
        <v>67.835000000000008</v>
      </c>
      <c r="U383" s="40">
        <f t="shared" si="1283"/>
        <v>53.935000000000002</v>
      </c>
      <c r="V383" s="40">
        <f t="shared" ref="V383:W383" si="1894">(E382+E383)/2</f>
        <v>37.024999999999999</v>
      </c>
      <c r="W383" s="40">
        <f t="shared" si="1894"/>
        <v>21.67</v>
      </c>
      <c r="X383" s="41">
        <f t="shared" ref="X383:AB383" si="1895">(SUM(B380:B383))/4</f>
        <v>91.977499999999992</v>
      </c>
      <c r="Y383" s="40">
        <f t="shared" si="1895"/>
        <v>68.975000000000009</v>
      </c>
      <c r="Z383" s="40">
        <f t="shared" si="1895"/>
        <v>54.935000000000002</v>
      </c>
      <c r="AA383" s="40">
        <f t="shared" si="1895"/>
        <v>37.907499999999999</v>
      </c>
      <c r="AB383" s="47">
        <f t="shared" si="1895"/>
        <v>21.979999999999997</v>
      </c>
      <c r="AC383" s="42">
        <f t="shared" ref="AC383:AF383" si="1896">(B383+C383)/2</f>
        <v>76.17</v>
      </c>
      <c r="AD383" s="42">
        <f t="shared" si="1896"/>
        <v>60.285000000000004</v>
      </c>
      <c r="AE383" s="42">
        <f t="shared" si="1896"/>
        <v>45.344999999999999</v>
      </c>
      <c r="AF383" s="42">
        <f t="shared" si="1896"/>
        <v>29.464999999999996</v>
      </c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8"/>
      <c r="BK383" s="8"/>
      <c r="BL383" s="8"/>
      <c r="BM383" s="8"/>
    </row>
    <row r="384" spans="1:65" ht="15.75" hidden="1" customHeight="1" x14ac:dyDescent="0.45">
      <c r="A384" s="53">
        <f t="shared" si="1280"/>
        <v>43567</v>
      </c>
      <c r="B384" s="51">
        <v>87.1</v>
      </c>
      <c r="C384" s="51">
        <v>67.64</v>
      </c>
      <c r="D384" s="51">
        <v>53.2</v>
      </c>
      <c r="E384" s="51">
        <v>37.590000000000003</v>
      </c>
      <c r="F384" s="51">
        <v>21.82</v>
      </c>
      <c r="G384" s="52">
        <v>85.93</v>
      </c>
      <c r="H384" s="37">
        <f t="shared" ref="H384:L384" si="1897">B384-B383</f>
        <v>1.9399999999999977</v>
      </c>
      <c r="I384" s="38">
        <f t="shared" si="1897"/>
        <v>0.45999999999999375</v>
      </c>
      <c r="J384" s="38">
        <f t="shared" si="1897"/>
        <v>-0.18999999999999773</v>
      </c>
      <c r="K384" s="38">
        <f t="shared" si="1897"/>
        <v>0.29000000000000625</v>
      </c>
      <c r="L384" s="39">
        <f t="shared" si="1897"/>
        <v>0.19000000000000128</v>
      </c>
      <c r="M384" s="38"/>
      <c r="N384" s="40"/>
      <c r="O384" s="40"/>
      <c r="P384" s="40"/>
      <c r="Q384" s="40"/>
      <c r="R384" s="40"/>
      <c r="S384" s="40">
        <f t="shared" ref="S384:T384" si="1898">(B383+B384)/2</f>
        <v>86.13</v>
      </c>
      <c r="T384" s="40">
        <f t="shared" si="1898"/>
        <v>67.41</v>
      </c>
      <c r="U384" s="40">
        <f t="shared" si="1283"/>
        <v>53.295000000000002</v>
      </c>
      <c r="V384" s="40">
        <f t="shared" ref="V384:W384" si="1899">(E383+E384)/2</f>
        <v>37.445</v>
      </c>
      <c r="W384" s="40">
        <f t="shared" si="1899"/>
        <v>21.725000000000001</v>
      </c>
      <c r="X384" s="41">
        <f t="shared" ref="X384:AB384" si="1900">(SUM(B381:B384))/4</f>
        <v>89.990000000000009</v>
      </c>
      <c r="Y384" s="40">
        <f t="shared" si="1900"/>
        <v>68.14</v>
      </c>
      <c r="Z384" s="40">
        <f t="shared" si="1900"/>
        <v>54.069999999999993</v>
      </c>
      <c r="AA384" s="40">
        <f t="shared" si="1900"/>
        <v>37.364999999999995</v>
      </c>
      <c r="AB384" s="47">
        <f t="shared" si="1900"/>
        <v>21.685000000000002</v>
      </c>
      <c r="AC384" s="42">
        <f t="shared" ref="AC384:AF384" si="1901">(B384+C384)/2</f>
        <v>77.37</v>
      </c>
      <c r="AD384" s="42">
        <f t="shared" si="1901"/>
        <v>60.42</v>
      </c>
      <c r="AE384" s="42">
        <f t="shared" si="1901"/>
        <v>45.395000000000003</v>
      </c>
      <c r="AF384" s="42">
        <f t="shared" si="1901"/>
        <v>29.705000000000002</v>
      </c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8"/>
      <c r="BK384" s="8"/>
      <c r="BL384" s="8"/>
      <c r="BM384" s="8"/>
    </row>
    <row r="385" spans="1:65" ht="15.75" hidden="1" customHeight="1" x14ac:dyDescent="0.45">
      <c r="A385" s="53">
        <f t="shared" si="1280"/>
        <v>43574</v>
      </c>
      <c r="B385" s="51">
        <v>86.43</v>
      </c>
      <c r="C385" s="51">
        <v>67.23</v>
      </c>
      <c r="D385" s="51">
        <v>52.75</v>
      </c>
      <c r="E385" s="51">
        <v>38.229999999999997</v>
      </c>
      <c r="F385" s="51">
        <v>22.93</v>
      </c>
      <c r="G385" s="52">
        <v>89.34</v>
      </c>
      <c r="H385" s="37">
        <f t="shared" ref="H385:L385" si="1902">B385-B384</f>
        <v>-0.66999999999998749</v>
      </c>
      <c r="I385" s="38">
        <f t="shared" si="1902"/>
        <v>-0.40999999999999659</v>
      </c>
      <c r="J385" s="38">
        <f t="shared" si="1902"/>
        <v>-0.45000000000000284</v>
      </c>
      <c r="K385" s="38">
        <f t="shared" si="1902"/>
        <v>0.63999999999999346</v>
      </c>
      <c r="L385" s="39">
        <f t="shared" si="1902"/>
        <v>1.1099999999999994</v>
      </c>
      <c r="M385" s="38"/>
      <c r="N385" s="40"/>
      <c r="O385" s="40"/>
      <c r="P385" s="40"/>
      <c r="Q385" s="40"/>
      <c r="R385" s="40"/>
      <c r="S385" s="40">
        <f t="shared" ref="S385:T385" si="1903">(B384+B385)/2</f>
        <v>86.765000000000001</v>
      </c>
      <c r="T385" s="40">
        <f t="shared" si="1903"/>
        <v>67.435000000000002</v>
      </c>
      <c r="U385" s="40">
        <f t="shared" si="1283"/>
        <v>52.975000000000001</v>
      </c>
      <c r="V385" s="40">
        <f t="shared" ref="V385:W385" si="1904">(E384+E385)/2</f>
        <v>37.909999999999997</v>
      </c>
      <c r="W385" s="40">
        <f t="shared" si="1904"/>
        <v>22.375</v>
      </c>
      <c r="X385" s="41">
        <f t="shared" ref="X385:AB385" si="1905">(SUM(B382:B385))/4</f>
        <v>88.094999999999999</v>
      </c>
      <c r="Y385" s="40">
        <f t="shared" si="1905"/>
        <v>67.635000000000005</v>
      </c>
      <c r="Z385" s="40">
        <f t="shared" si="1905"/>
        <v>53.454999999999998</v>
      </c>
      <c r="AA385" s="40">
        <f t="shared" si="1905"/>
        <v>37.467500000000001</v>
      </c>
      <c r="AB385" s="47">
        <f t="shared" si="1905"/>
        <v>22.022500000000001</v>
      </c>
      <c r="AC385" s="42">
        <f t="shared" ref="AC385:AF385" si="1906">(B385+C385)/2</f>
        <v>76.830000000000013</v>
      </c>
      <c r="AD385" s="42">
        <f t="shared" si="1906"/>
        <v>59.99</v>
      </c>
      <c r="AE385" s="42">
        <f t="shared" si="1906"/>
        <v>45.489999999999995</v>
      </c>
      <c r="AF385" s="42">
        <f t="shared" si="1906"/>
        <v>30.58</v>
      </c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8"/>
      <c r="BK385" s="8"/>
      <c r="BL385" s="8"/>
      <c r="BM385" s="8"/>
    </row>
    <row r="386" spans="1:65" ht="15.75" hidden="1" customHeight="1" x14ac:dyDescent="0.45">
      <c r="A386" s="53">
        <f t="shared" si="1280"/>
        <v>43581</v>
      </c>
      <c r="B386" s="51">
        <v>83</v>
      </c>
      <c r="C386" s="51">
        <v>67.290000000000006</v>
      </c>
      <c r="D386" s="51">
        <v>52.57</v>
      </c>
      <c r="E386" s="51">
        <v>38.44</v>
      </c>
      <c r="F386" s="51">
        <v>22.38</v>
      </c>
      <c r="G386" s="52">
        <v>87.72</v>
      </c>
      <c r="H386" s="37">
        <f t="shared" ref="H386:L386" si="1907">B386-B385</f>
        <v>-3.4300000000000068</v>
      </c>
      <c r="I386" s="38">
        <f t="shared" si="1907"/>
        <v>6.0000000000002274E-2</v>
      </c>
      <c r="J386" s="38">
        <f t="shared" si="1907"/>
        <v>-0.17999999999999972</v>
      </c>
      <c r="K386" s="38">
        <f t="shared" si="1907"/>
        <v>0.21000000000000085</v>
      </c>
      <c r="L386" s="39">
        <f t="shared" si="1907"/>
        <v>-0.55000000000000071</v>
      </c>
      <c r="M386" s="38"/>
      <c r="N386" s="40"/>
      <c r="O386" s="40"/>
      <c r="P386" s="40"/>
      <c r="Q386" s="40"/>
      <c r="R386" s="40"/>
      <c r="S386" s="40">
        <f t="shared" ref="S386:T386" si="1908">(B385+B386)/2</f>
        <v>84.715000000000003</v>
      </c>
      <c r="T386" s="40">
        <f t="shared" si="1908"/>
        <v>67.260000000000005</v>
      </c>
      <c r="U386" s="40">
        <f t="shared" si="1283"/>
        <v>52.66</v>
      </c>
      <c r="V386" s="40">
        <f t="shared" ref="V386:W386" si="1909">(E385+E386)/2</f>
        <v>38.334999999999994</v>
      </c>
      <c r="W386" s="40">
        <f t="shared" si="1909"/>
        <v>22.655000000000001</v>
      </c>
      <c r="X386" s="41">
        <f t="shared" ref="X386:AB386" si="1910">(SUM(B383:B386))/4</f>
        <v>85.422499999999999</v>
      </c>
      <c r="Y386" s="40">
        <f t="shared" si="1910"/>
        <v>67.335000000000008</v>
      </c>
      <c r="Z386" s="40">
        <f t="shared" si="1910"/>
        <v>52.977499999999999</v>
      </c>
      <c r="AA386" s="40">
        <f t="shared" si="1910"/>
        <v>37.89</v>
      </c>
      <c r="AB386" s="47">
        <f t="shared" si="1910"/>
        <v>22.189999999999998</v>
      </c>
      <c r="AC386" s="42">
        <f t="shared" ref="AC386:AF386" si="1911">(B386+C386)/2</f>
        <v>75.14500000000001</v>
      </c>
      <c r="AD386" s="42">
        <f t="shared" si="1911"/>
        <v>59.930000000000007</v>
      </c>
      <c r="AE386" s="42">
        <f t="shared" si="1911"/>
        <v>45.504999999999995</v>
      </c>
      <c r="AF386" s="42">
        <f t="shared" si="1911"/>
        <v>30.409999999999997</v>
      </c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8"/>
      <c r="BK386" s="8"/>
      <c r="BL386" s="8"/>
      <c r="BM386" s="8"/>
    </row>
    <row r="387" spans="1:65" ht="15.75" hidden="1" customHeight="1" x14ac:dyDescent="0.45">
      <c r="A387" s="53">
        <f t="shared" si="1280"/>
        <v>43588</v>
      </c>
      <c r="B387" s="51">
        <v>85.02</v>
      </c>
      <c r="C387" s="51">
        <v>67.95</v>
      </c>
      <c r="D387" s="51">
        <v>53.11</v>
      </c>
      <c r="E387" s="51">
        <v>39</v>
      </c>
      <c r="F387" s="51">
        <v>22.9</v>
      </c>
      <c r="G387" s="52">
        <v>89.91</v>
      </c>
      <c r="H387" s="37">
        <f t="shared" ref="H387:L387" si="1912">B387-B386</f>
        <v>2.019999999999996</v>
      </c>
      <c r="I387" s="38">
        <f t="shared" si="1912"/>
        <v>0.65999999999999659</v>
      </c>
      <c r="J387" s="38">
        <f t="shared" si="1912"/>
        <v>0.53999999999999915</v>
      </c>
      <c r="K387" s="38">
        <f t="shared" si="1912"/>
        <v>0.56000000000000227</v>
      </c>
      <c r="L387" s="39">
        <f t="shared" si="1912"/>
        <v>0.51999999999999957</v>
      </c>
      <c r="M387" s="38"/>
      <c r="N387" s="40"/>
      <c r="O387" s="40"/>
      <c r="P387" s="40"/>
      <c r="Q387" s="40"/>
      <c r="R387" s="40"/>
      <c r="S387" s="40">
        <f t="shared" ref="S387:T387" si="1913">(B386+B387)/2</f>
        <v>84.009999999999991</v>
      </c>
      <c r="T387" s="40">
        <f t="shared" si="1913"/>
        <v>67.62</v>
      </c>
      <c r="U387" s="40">
        <f t="shared" si="1283"/>
        <v>52.84</v>
      </c>
      <c r="V387" s="40">
        <f t="shared" ref="V387:W387" si="1914">(E386+E387)/2</f>
        <v>38.72</v>
      </c>
      <c r="W387" s="40">
        <f t="shared" si="1914"/>
        <v>22.64</v>
      </c>
      <c r="X387" s="41">
        <f t="shared" ref="X387:AB387" si="1915">(SUM(B384:B387))/4</f>
        <v>85.387499999999989</v>
      </c>
      <c r="Y387" s="40">
        <f t="shared" si="1915"/>
        <v>67.527500000000003</v>
      </c>
      <c r="Z387" s="40">
        <f t="shared" si="1915"/>
        <v>52.907499999999999</v>
      </c>
      <c r="AA387" s="40">
        <f t="shared" si="1915"/>
        <v>38.314999999999998</v>
      </c>
      <c r="AB387" s="47">
        <f t="shared" si="1915"/>
        <v>22.5075</v>
      </c>
      <c r="AC387" s="42">
        <f t="shared" ref="AC387:AF387" si="1916">(B387+C387)/2</f>
        <v>76.484999999999999</v>
      </c>
      <c r="AD387" s="42">
        <f t="shared" si="1916"/>
        <v>60.53</v>
      </c>
      <c r="AE387" s="42">
        <f t="shared" si="1916"/>
        <v>46.055</v>
      </c>
      <c r="AF387" s="42">
        <f t="shared" si="1916"/>
        <v>30.95</v>
      </c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8"/>
      <c r="BK387" s="8"/>
      <c r="BL387" s="8"/>
      <c r="BM387" s="8"/>
    </row>
    <row r="388" spans="1:65" ht="15.75" hidden="1" customHeight="1" x14ac:dyDescent="0.45">
      <c r="A388" s="53">
        <f t="shared" si="1280"/>
        <v>43595</v>
      </c>
      <c r="B388" s="51">
        <v>85.25</v>
      </c>
      <c r="C388" s="51">
        <v>67.959999999999994</v>
      </c>
      <c r="D388" s="51">
        <v>53.29</v>
      </c>
      <c r="E388" s="51">
        <v>39.15</v>
      </c>
      <c r="F388" s="51">
        <v>23.34</v>
      </c>
      <c r="G388" s="52">
        <v>85.86</v>
      </c>
      <c r="H388" s="37">
        <f t="shared" ref="H388:L388" si="1917">B388-B387</f>
        <v>0.23000000000000398</v>
      </c>
      <c r="I388" s="38">
        <f t="shared" si="1917"/>
        <v>9.9999999999909051E-3</v>
      </c>
      <c r="J388" s="38">
        <f t="shared" si="1917"/>
        <v>0.17999999999999972</v>
      </c>
      <c r="K388" s="38">
        <f t="shared" si="1917"/>
        <v>0.14999999999999858</v>
      </c>
      <c r="L388" s="39">
        <f t="shared" si="1917"/>
        <v>0.44000000000000128</v>
      </c>
      <c r="M388" s="38"/>
      <c r="N388" s="40"/>
      <c r="O388" s="40"/>
      <c r="P388" s="40"/>
      <c r="Q388" s="40"/>
      <c r="R388" s="40"/>
      <c r="S388" s="40">
        <f t="shared" ref="S388:T388" si="1918">(B387+B388)/2</f>
        <v>85.134999999999991</v>
      </c>
      <c r="T388" s="40">
        <f t="shared" si="1918"/>
        <v>67.954999999999998</v>
      </c>
      <c r="U388" s="40">
        <f t="shared" si="1283"/>
        <v>53.2</v>
      </c>
      <c r="V388" s="40">
        <f t="shared" ref="V388:W388" si="1919">(E387+E388)/2</f>
        <v>39.075000000000003</v>
      </c>
      <c r="W388" s="40">
        <f t="shared" si="1919"/>
        <v>23.119999999999997</v>
      </c>
      <c r="X388" s="41">
        <f t="shared" ref="X388:AB388" si="1920">(SUM(B385:B388))/4</f>
        <v>84.924999999999997</v>
      </c>
      <c r="Y388" s="40">
        <f t="shared" si="1920"/>
        <v>67.607500000000002</v>
      </c>
      <c r="Z388" s="40">
        <f t="shared" si="1920"/>
        <v>52.93</v>
      </c>
      <c r="AA388" s="40">
        <f t="shared" si="1920"/>
        <v>38.704999999999998</v>
      </c>
      <c r="AB388" s="47">
        <f t="shared" si="1920"/>
        <v>22.887500000000003</v>
      </c>
      <c r="AC388" s="42">
        <f t="shared" ref="AC388:AF388" si="1921">(B388+C388)/2</f>
        <v>76.60499999999999</v>
      </c>
      <c r="AD388" s="42">
        <f t="shared" si="1921"/>
        <v>60.625</v>
      </c>
      <c r="AE388" s="42">
        <f t="shared" si="1921"/>
        <v>46.22</v>
      </c>
      <c r="AF388" s="42">
        <f t="shared" si="1921"/>
        <v>31.244999999999997</v>
      </c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8"/>
      <c r="BK388" s="8"/>
      <c r="BL388" s="8"/>
      <c r="BM388" s="8"/>
    </row>
    <row r="389" spans="1:65" ht="15.75" hidden="1" customHeight="1" x14ac:dyDescent="0.45">
      <c r="A389" s="53">
        <f t="shared" si="1280"/>
        <v>43602</v>
      </c>
      <c r="B389" s="51">
        <v>83.51</v>
      </c>
      <c r="C389" s="51">
        <v>67.319999999999993</v>
      </c>
      <c r="D389" s="51">
        <v>52.84</v>
      </c>
      <c r="E389" s="51">
        <v>38.78</v>
      </c>
      <c r="F389" s="51">
        <v>23</v>
      </c>
      <c r="G389" s="52">
        <v>83.24</v>
      </c>
      <c r="H389" s="37">
        <f t="shared" ref="H389:L389" si="1922">B389-B388</f>
        <v>-1.7399999999999949</v>
      </c>
      <c r="I389" s="38">
        <f t="shared" si="1922"/>
        <v>-0.64000000000000057</v>
      </c>
      <c r="J389" s="38">
        <f t="shared" si="1922"/>
        <v>-0.44999999999999574</v>
      </c>
      <c r="K389" s="38">
        <f t="shared" si="1922"/>
        <v>-0.36999999999999744</v>
      </c>
      <c r="L389" s="39">
        <f t="shared" si="1922"/>
        <v>-0.33999999999999986</v>
      </c>
      <c r="M389" s="38"/>
      <c r="N389" s="40"/>
      <c r="O389" s="40"/>
      <c r="P389" s="40"/>
      <c r="Q389" s="40"/>
      <c r="R389" s="40"/>
      <c r="S389" s="40">
        <f t="shared" ref="S389:T389" si="1923">(B388+B389)/2</f>
        <v>84.38</v>
      </c>
      <c r="T389" s="40">
        <f t="shared" si="1923"/>
        <v>67.639999999999986</v>
      </c>
      <c r="U389" s="40">
        <f t="shared" si="1283"/>
        <v>53.064999999999998</v>
      </c>
      <c r="V389" s="40">
        <f t="shared" ref="V389:W389" si="1924">(E388+E389)/2</f>
        <v>38.965000000000003</v>
      </c>
      <c r="W389" s="40">
        <f t="shared" si="1924"/>
        <v>23.17</v>
      </c>
      <c r="X389" s="41">
        <f t="shared" ref="X389:AB389" si="1925">(SUM(B386:B389))/4</f>
        <v>84.194999999999993</v>
      </c>
      <c r="Y389" s="40">
        <f t="shared" si="1925"/>
        <v>67.63</v>
      </c>
      <c r="Z389" s="40">
        <f t="shared" si="1925"/>
        <v>52.952500000000001</v>
      </c>
      <c r="AA389" s="40">
        <f t="shared" si="1925"/>
        <v>38.842500000000001</v>
      </c>
      <c r="AB389" s="47">
        <f t="shared" si="1925"/>
        <v>22.905000000000001</v>
      </c>
      <c r="AC389" s="42">
        <f t="shared" ref="AC389:AF389" si="1926">(B389+C389)/2</f>
        <v>75.414999999999992</v>
      </c>
      <c r="AD389" s="42">
        <f t="shared" si="1926"/>
        <v>60.08</v>
      </c>
      <c r="AE389" s="42">
        <f t="shared" si="1926"/>
        <v>45.81</v>
      </c>
      <c r="AF389" s="42">
        <f t="shared" si="1926"/>
        <v>30.89</v>
      </c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8"/>
      <c r="BK389" s="8"/>
      <c r="BL389" s="8"/>
      <c r="BM389" s="8"/>
    </row>
    <row r="390" spans="1:65" ht="15.75" hidden="1" customHeight="1" x14ac:dyDescent="0.45">
      <c r="A390" s="53">
        <f t="shared" si="1280"/>
        <v>43609</v>
      </c>
      <c r="B390" s="51">
        <v>82.43</v>
      </c>
      <c r="C390" s="51">
        <v>66.58</v>
      </c>
      <c r="D390" s="51">
        <v>52.36</v>
      </c>
      <c r="E390" s="51">
        <v>38</v>
      </c>
      <c r="F390" s="51">
        <v>22.47</v>
      </c>
      <c r="G390" s="52">
        <v>81.06</v>
      </c>
      <c r="H390" s="37">
        <f t="shared" ref="H390:L390" si="1927">B390-B389</f>
        <v>-1.0799999999999983</v>
      </c>
      <c r="I390" s="38">
        <f t="shared" si="1927"/>
        <v>-0.73999999999999488</v>
      </c>
      <c r="J390" s="38">
        <f t="shared" si="1927"/>
        <v>-0.48000000000000398</v>
      </c>
      <c r="K390" s="38">
        <f t="shared" si="1927"/>
        <v>-0.78000000000000114</v>
      </c>
      <c r="L390" s="39">
        <f t="shared" si="1927"/>
        <v>-0.53000000000000114</v>
      </c>
      <c r="M390" s="38"/>
      <c r="N390" s="40"/>
      <c r="O390" s="40"/>
      <c r="P390" s="40"/>
      <c r="Q390" s="40"/>
      <c r="R390" s="40"/>
      <c r="S390" s="40">
        <f t="shared" ref="S390:T390" si="1928">(B389+B390)/2</f>
        <v>82.97</v>
      </c>
      <c r="T390" s="40">
        <f t="shared" si="1928"/>
        <v>66.949999999999989</v>
      </c>
      <c r="U390" s="40">
        <f t="shared" si="1283"/>
        <v>52.6</v>
      </c>
      <c r="V390" s="40">
        <f t="shared" ref="V390:W390" si="1929">(E389+E390)/2</f>
        <v>38.39</v>
      </c>
      <c r="W390" s="40">
        <f t="shared" si="1929"/>
        <v>22.734999999999999</v>
      </c>
      <c r="X390" s="41">
        <f t="shared" ref="X390:AB390" si="1930">(SUM(B387:B390))/4</f>
        <v>84.052499999999995</v>
      </c>
      <c r="Y390" s="40">
        <f t="shared" si="1930"/>
        <v>67.452500000000001</v>
      </c>
      <c r="Z390" s="40">
        <f t="shared" si="1930"/>
        <v>52.900000000000006</v>
      </c>
      <c r="AA390" s="40">
        <f t="shared" si="1930"/>
        <v>38.732500000000002</v>
      </c>
      <c r="AB390" s="47">
        <f t="shared" si="1930"/>
        <v>22.927499999999998</v>
      </c>
      <c r="AC390" s="42">
        <f t="shared" ref="AC390:AF390" si="1931">(B390+C390)/2</f>
        <v>74.504999999999995</v>
      </c>
      <c r="AD390" s="42">
        <f t="shared" si="1931"/>
        <v>59.47</v>
      </c>
      <c r="AE390" s="42">
        <f t="shared" si="1931"/>
        <v>45.18</v>
      </c>
      <c r="AF390" s="42">
        <f t="shared" si="1931"/>
        <v>30.234999999999999</v>
      </c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8"/>
      <c r="BK390" s="8"/>
      <c r="BL390" s="8"/>
      <c r="BM390" s="8"/>
    </row>
    <row r="391" spans="1:65" ht="15.75" hidden="1" customHeight="1" x14ac:dyDescent="0.45">
      <c r="A391" s="53">
        <f t="shared" si="1280"/>
        <v>43616</v>
      </c>
      <c r="B391" s="51">
        <v>80.73</v>
      </c>
      <c r="C391" s="51">
        <v>65.319999999999993</v>
      </c>
      <c r="D391" s="51">
        <v>51.43</v>
      </c>
      <c r="E391" s="51">
        <v>37.36</v>
      </c>
      <c r="F391" s="51">
        <v>22.15</v>
      </c>
      <c r="G391" s="52">
        <v>78.709999999999994</v>
      </c>
      <c r="H391" s="37">
        <f t="shared" ref="H391:L391" si="1932">B391-B390</f>
        <v>-1.7000000000000028</v>
      </c>
      <c r="I391" s="38">
        <f t="shared" si="1932"/>
        <v>-1.2600000000000051</v>
      </c>
      <c r="J391" s="38">
        <f t="shared" si="1932"/>
        <v>-0.92999999999999972</v>
      </c>
      <c r="K391" s="38">
        <f t="shared" si="1932"/>
        <v>-0.64000000000000057</v>
      </c>
      <c r="L391" s="39">
        <f t="shared" si="1932"/>
        <v>-0.32000000000000028</v>
      </c>
      <c r="M391" s="38"/>
      <c r="N391" s="40"/>
      <c r="O391" s="40"/>
      <c r="P391" s="40"/>
      <c r="Q391" s="40"/>
      <c r="R391" s="40"/>
      <c r="S391" s="40">
        <f t="shared" ref="S391:T391" si="1933">(B390+B391)/2</f>
        <v>81.580000000000013</v>
      </c>
      <c r="T391" s="40">
        <f t="shared" si="1933"/>
        <v>65.949999999999989</v>
      </c>
      <c r="U391" s="40">
        <f t="shared" si="1283"/>
        <v>51.894999999999996</v>
      </c>
      <c r="V391" s="40">
        <f t="shared" ref="V391:W391" si="1934">(E390+E391)/2</f>
        <v>37.68</v>
      </c>
      <c r="W391" s="40">
        <f t="shared" si="1934"/>
        <v>22.31</v>
      </c>
      <c r="X391" s="41">
        <f t="shared" ref="X391:AB391" si="1935">(SUM(B388:B391))/4</f>
        <v>82.98</v>
      </c>
      <c r="Y391" s="40">
        <f t="shared" si="1935"/>
        <v>66.794999999999987</v>
      </c>
      <c r="Z391" s="40">
        <f t="shared" si="1935"/>
        <v>52.480000000000004</v>
      </c>
      <c r="AA391" s="40">
        <f t="shared" si="1935"/>
        <v>38.322500000000005</v>
      </c>
      <c r="AB391" s="47">
        <f t="shared" si="1935"/>
        <v>22.740000000000002</v>
      </c>
      <c r="AC391" s="42">
        <f t="shared" ref="AC391:AF391" si="1936">(B391+C391)/2</f>
        <v>73.025000000000006</v>
      </c>
      <c r="AD391" s="42">
        <f t="shared" si="1936"/>
        <v>58.375</v>
      </c>
      <c r="AE391" s="42">
        <f t="shared" si="1936"/>
        <v>44.394999999999996</v>
      </c>
      <c r="AF391" s="42">
        <f t="shared" si="1936"/>
        <v>29.754999999999999</v>
      </c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8"/>
      <c r="BK391" s="8"/>
      <c r="BL391" s="8"/>
      <c r="BM391" s="8"/>
    </row>
    <row r="392" spans="1:65" ht="15.75" hidden="1" customHeight="1" x14ac:dyDescent="0.45">
      <c r="A392" s="53">
        <f t="shared" si="1280"/>
        <v>43623</v>
      </c>
      <c r="B392" s="51">
        <v>78.56</v>
      </c>
      <c r="C392" s="51">
        <v>64.930000000000007</v>
      </c>
      <c r="D392" s="51">
        <v>50.56</v>
      </c>
      <c r="E392" s="51">
        <v>36.659999999999997</v>
      </c>
      <c r="F392" s="51">
        <v>21.98</v>
      </c>
      <c r="G392" s="52">
        <v>71.39</v>
      </c>
      <c r="H392" s="37">
        <f t="shared" ref="H392:L392" si="1937">B392-B391</f>
        <v>-2.1700000000000017</v>
      </c>
      <c r="I392" s="38">
        <f t="shared" si="1937"/>
        <v>-0.38999999999998636</v>
      </c>
      <c r="J392" s="38">
        <f t="shared" si="1937"/>
        <v>-0.86999999999999744</v>
      </c>
      <c r="K392" s="38">
        <f t="shared" si="1937"/>
        <v>-0.70000000000000284</v>
      </c>
      <c r="L392" s="39">
        <f t="shared" si="1937"/>
        <v>-0.16999999999999815</v>
      </c>
      <c r="M392" s="38"/>
      <c r="N392" s="40"/>
      <c r="O392" s="40"/>
      <c r="P392" s="40"/>
      <c r="Q392" s="40"/>
      <c r="R392" s="40"/>
      <c r="S392" s="40">
        <f t="shared" ref="S392:T392" si="1938">(B391+B392)/2</f>
        <v>79.64500000000001</v>
      </c>
      <c r="T392" s="40">
        <f t="shared" si="1938"/>
        <v>65.125</v>
      </c>
      <c r="U392" s="40">
        <f t="shared" si="1283"/>
        <v>50.995000000000005</v>
      </c>
      <c r="V392" s="40">
        <f t="shared" ref="V392:W392" si="1939">(E391+E392)/2</f>
        <v>37.01</v>
      </c>
      <c r="W392" s="40">
        <f t="shared" si="1939"/>
        <v>22.064999999999998</v>
      </c>
      <c r="X392" s="41">
        <f t="shared" ref="X392:AB392" si="1940">(SUM(B389:B392))/4</f>
        <v>81.307500000000005</v>
      </c>
      <c r="Y392" s="40">
        <f t="shared" si="1940"/>
        <v>66.037499999999994</v>
      </c>
      <c r="Z392" s="40">
        <f t="shared" si="1940"/>
        <v>51.797499999999999</v>
      </c>
      <c r="AA392" s="40">
        <f t="shared" si="1940"/>
        <v>37.700000000000003</v>
      </c>
      <c r="AB392" s="47">
        <f t="shared" si="1940"/>
        <v>22.400000000000002</v>
      </c>
      <c r="AC392" s="42">
        <f t="shared" ref="AC392:AF392" si="1941">(B392+C392)/2</f>
        <v>71.745000000000005</v>
      </c>
      <c r="AD392" s="42">
        <f t="shared" si="1941"/>
        <v>57.745000000000005</v>
      </c>
      <c r="AE392" s="42">
        <f t="shared" si="1941"/>
        <v>43.61</v>
      </c>
      <c r="AF392" s="42">
        <f t="shared" si="1941"/>
        <v>29.32</v>
      </c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8"/>
      <c r="BK392" s="8"/>
      <c r="BL392" s="8"/>
      <c r="BM392" s="8"/>
    </row>
    <row r="393" spans="1:65" ht="15.75" hidden="1" customHeight="1" x14ac:dyDescent="0.45">
      <c r="A393" s="53">
        <f t="shared" si="1280"/>
        <v>43630</v>
      </c>
      <c r="B393" s="51">
        <v>75.98</v>
      </c>
      <c r="C393" s="51">
        <v>64.08</v>
      </c>
      <c r="D393" s="51">
        <v>49.54</v>
      </c>
      <c r="E393" s="51">
        <v>35.840000000000003</v>
      </c>
      <c r="F393" s="51">
        <v>21.57</v>
      </c>
      <c r="G393" s="52">
        <v>72.72</v>
      </c>
      <c r="H393" s="37">
        <f t="shared" ref="H393:L393" si="1942">B393-B392</f>
        <v>-2.5799999999999983</v>
      </c>
      <c r="I393" s="38">
        <f t="shared" si="1942"/>
        <v>-0.85000000000000853</v>
      </c>
      <c r="J393" s="38">
        <f t="shared" si="1942"/>
        <v>-1.0200000000000031</v>
      </c>
      <c r="K393" s="38">
        <f t="shared" si="1942"/>
        <v>-0.81999999999999318</v>
      </c>
      <c r="L393" s="39">
        <f t="shared" si="1942"/>
        <v>-0.41000000000000014</v>
      </c>
      <c r="M393" s="38"/>
      <c r="N393" s="40"/>
      <c r="O393" s="40"/>
      <c r="P393" s="40"/>
      <c r="Q393" s="40"/>
      <c r="R393" s="40"/>
      <c r="S393" s="40">
        <f t="shared" ref="S393:T393" si="1943">(B392+B393)/2</f>
        <v>77.27000000000001</v>
      </c>
      <c r="T393" s="40">
        <f t="shared" si="1943"/>
        <v>64.504999999999995</v>
      </c>
      <c r="U393" s="40">
        <f t="shared" si="1283"/>
        <v>50.05</v>
      </c>
      <c r="V393" s="40">
        <f t="shared" ref="V393:W393" si="1944">(E392+E393)/2</f>
        <v>36.25</v>
      </c>
      <c r="W393" s="40">
        <f t="shared" si="1944"/>
        <v>21.774999999999999</v>
      </c>
      <c r="X393" s="41">
        <f t="shared" ref="X393:AB393" si="1945">(SUM(B390:B393))/4</f>
        <v>79.425000000000011</v>
      </c>
      <c r="Y393" s="40">
        <f t="shared" si="1945"/>
        <v>65.227499999999992</v>
      </c>
      <c r="Z393" s="40">
        <f t="shared" si="1945"/>
        <v>50.972499999999997</v>
      </c>
      <c r="AA393" s="40">
        <f t="shared" si="1945"/>
        <v>36.965000000000003</v>
      </c>
      <c r="AB393" s="47">
        <f t="shared" si="1945"/>
        <v>22.042499999999997</v>
      </c>
      <c r="AC393" s="42">
        <f t="shared" ref="AC393:AF393" si="1946">(B393+C393)/2</f>
        <v>70.03</v>
      </c>
      <c r="AD393" s="42">
        <f t="shared" si="1946"/>
        <v>56.81</v>
      </c>
      <c r="AE393" s="42">
        <f t="shared" si="1946"/>
        <v>42.69</v>
      </c>
      <c r="AF393" s="42">
        <f t="shared" si="1946"/>
        <v>28.705000000000002</v>
      </c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8"/>
      <c r="BK393" s="8"/>
      <c r="BL393" s="8"/>
      <c r="BM393" s="8"/>
    </row>
    <row r="394" spans="1:65" ht="15.75" hidden="1" customHeight="1" x14ac:dyDescent="0.45">
      <c r="A394" s="53">
        <f t="shared" si="1280"/>
        <v>43637</v>
      </c>
      <c r="B394" s="51">
        <v>74.52</v>
      </c>
      <c r="C394" s="51">
        <v>63.8</v>
      </c>
      <c r="D394" s="51">
        <v>49.21</v>
      </c>
      <c r="E394" s="51">
        <v>36.06</v>
      </c>
      <c r="F394" s="51">
        <v>21.92</v>
      </c>
      <c r="G394" s="52">
        <v>71.53</v>
      </c>
      <c r="H394" s="37">
        <f t="shared" ref="H394:L394" si="1947">B394-B393</f>
        <v>-1.460000000000008</v>
      </c>
      <c r="I394" s="38">
        <f t="shared" si="1947"/>
        <v>-0.28000000000000114</v>
      </c>
      <c r="J394" s="38">
        <f t="shared" si="1947"/>
        <v>-0.32999999999999829</v>
      </c>
      <c r="K394" s="38">
        <f t="shared" si="1947"/>
        <v>0.21999999999999886</v>
      </c>
      <c r="L394" s="39">
        <f t="shared" si="1947"/>
        <v>0.35000000000000142</v>
      </c>
      <c r="M394" s="38"/>
      <c r="N394" s="40"/>
      <c r="O394" s="40"/>
      <c r="P394" s="40"/>
      <c r="Q394" s="40"/>
      <c r="R394" s="40"/>
      <c r="S394" s="40">
        <f t="shared" ref="S394:T394" si="1948">(B393+B394)/2</f>
        <v>75.25</v>
      </c>
      <c r="T394" s="40">
        <f t="shared" si="1948"/>
        <v>63.94</v>
      </c>
      <c r="U394" s="40">
        <f t="shared" si="1283"/>
        <v>49.375</v>
      </c>
      <c r="V394" s="40">
        <f t="shared" ref="V394:W394" si="1949">(E393+E394)/2</f>
        <v>35.950000000000003</v>
      </c>
      <c r="W394" s="40">
        <f t="shared" si="1949"/>
        <v>21.745000000000001</v>
      </c>
      <c r="X394" s="41">
        <f t="shared" ref="X394:AB394" si="1950">(SUM(B391:B394))/4</f>
        <v>77.447500000000005</v>
      </c>
      <c r="Y394" s="40">
        <f t="shared" si="1950"/>
        <v>64.532499999999999</v>
      </c>
      <c r="Z394" s="40">
        <f t="shared" si="1950"/>
        <v>50.185000000000002</v>
      </c>
      <c r="AA394" s="40">
        <f t="shared" si="1950"/>
        <v>36.480000000000004</v>
      </c>
      <c r="AB394" s="47">
        <f t="shared" si="1950"/>
        <v>21.904999999999998</v>
      </c>
      <c r="AC394" s="42">
        <f t="shared" ref="AC394:AF394" si="1951">(B394+C394)/2</f>
        <v>69.16</v>
      </c>
      <c r="AD394" s="42">
        <f t="shared" si="1951"/>
        <v>56.504999999999995</v>
      </c>
      <c r="AE394" s="42">
        <f t="shared" si="1951"/>
        <v>42.635000000000005</v>
      </c>
      <c r="AF394" s="42">
        <f t="shared" si="1951"/>
        <v>28.990000000000002</v>
      </c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8"/>
      <c r="BK394" s="8"/>
      <c r="BL394" s="8"/>
      <c r="BM394" s="8"/>
    </row>
    <row r="395" spans="1:65" ht="15.75" hidden="1" customHeight="1" x14ac:dyDescent="0.45">
      <c r="A395" s="53">
        <f t="shared" si="1280"/>
        <v>43644</v>
      </c>
      <c r="B395" s="51">
        <v>73.86</v>
      </c>
      <c r="C395" s="51">
        <v>63.55</v>
      </c>
      <c r="D395" s="51">
        <v>49.17</v>
      </c>
      <c r="E395" s="51">
        <v>35.81</v>
      </c>
      <c r="F395" s="51">
        <v>21.73</v>
      </c>
      <c r="G395" s="52">
        <v>68.81</v>
      </c>
      <c r="H395" s="37">
        <f t="shared" ref="H395:L395" si="1952">B395-B394</f>
        <v>-0.65999999999999659</v>
      </c>
      <c r="I395" s="38">
        <f t="shared" si="1952"/>
        <v>-0.25</v>
      </c>
      <c r="J395" s="38">
        <f t="shared" si="1952"/>
        <v>-3.9999999999999147E-2</v>
      </c>
      <c r="K395" s="38">
        <f t="shared" si="1952"/>
        <v>-0.25</v>
      </c>
      <c r="L395" s="39">
        <f t="shared" si="1952"/>
        <v>-0.19000000000000128</v>
      </c>
      <c r="M395" s="38"/>
      <c r="N395" s="40"/>
      <c r="O395" s="40"/>
      <c r="P395" s="40"/>
      <c r="Q395" s="40"/>
      <c r="R395" s="40"/>
      <c r="S395" s="40">
        <f t="shared" ref="S395:T395" si="1953">(B394+B395)/2</f>
        <v>74.19</v>
      </c>
      <c r="T395" s="40">
        <f t="shared" si="1953"/>
        <v>63.674999999999997</v>
      </c>
      <c r="U395" s="40">
        <f t="shared" si="1283"/>
        <v>49.19</v>
      </c>
      <c r="V395" s="40">
        <f t="shared" ref="V395:W395" si="1954">(E394+E395)/2</f>
        <v>35.935000000000002</v>
      </c>
      <c r="W395" s="40">
        <f t="shared" si="1954"/>
        <v>21.825000000000003</v>
      </c>
      <c r="X395" s="41">
        <f t="shared" ref="X395:AB395" si="1955">(SUM(B392:B395))/4</f>
        <v>75.73</v>
      </c>
      <c r="Y395" s="40">
        <f t="shared" si="1955"/>
        <v>64.09</v>
      </c>
      <c r="Z395" s="40">
        <f t="shared" si="1955"/>
        <v>49.620000000000005</v>
      </c>
      <c r="AA395" s="40">
        <f t="shared" si="1955"/>
        <v>36.092500000000001</v>
      </c>
      <c r="AB395" s="47">
        <f t="shared" si="1955"/>
        <v>21.8</v>
      </c>
      <c r="AC395" s="42">
        <f t="shared" ref="AC395:AF395" si="1956">(B395+C395)/2</f>
        <v>68.704999999999998</v>
      </c>
      <c r="AD395" s="42">
        <f t="shared" si="1956"/>
        <v>56.36</v>
      </c>
      <c r="AE395" s="42">
        <f t="shared" si="1956"/>
        <v>42.49</v>
      </c>
      <c r="AF395" s="42">
        <f t="shared" si="1956"/>
        <v>28.770000000000003</v>
      </c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8"/>
      <c r="BK395" s="8"/>
      <c r="BL395" s="8"/>
      <c r="BM395" s="8"/>
    </row>
    <row r="396" spans="1:65" ht="15.75" hidden="1" customHeight="1" x14ac:dyDescent="0.45">
      <c r="A396" s="53">
        <f t="shared" si="1280"/>
        <v>43651</v>
      </c>
      <c r="B396" s="51">
        <v>73.84</v>
      </c>
      <c r="C396" s="51">
        <v>63.43</v>
      </c>
      <c r="D396" s="51">
        <v>49.17</v>
      </c>
      <c r="E396" s="51">
        <v>35.99</v>
      </c>
      <c r="F396" s="51">
        <v>21.71</v>
      </c>
      <c r="G396" s="52">
        <v>72.48</v>
      </c>
      <c r="H396" s="37">
        <f t="shared" ref="H396:L396" si="1957">B396-B395</f>
        <v>-1.9999999999996021E-2</v>
      </c>
      <c r="I396" s="38">
        <f t="shared" si="1957"/>
        <v>-0.11999999999999744</v>
      </c>
      <c r="J396" s="38">
        <f t="shared" si="1957"/>
        <v>0</v>
      </c>
      <c r="K396" s="38">
        <f t="shared" si="1957"/>
        <v>0.17999999999999972</v>
      </c>
      <c r="L396" s="39">
        <f t="shared" si="1957"/>
        <v>-1.9999999999999574E-2</v>
      </c>
      <c r="M396" s="38"/>
      <c r="N396" s="40"/>
      <c r="O396" s="40"/>
      <c r="P396" s="40"/>
      <c r="Q396" s="40"/>
      <c r="R396" s="40"/>
      <c r="S396" s="40">
        <f t="shared" ref="S396:T396" si="1958">(B395+B396)/2</f>
        <v>73.849999999999994</v>
      </c>
      <c r="T396" s="40">
        <f t="shared" si="1958"/>
        <v>63.489999999999995</v>
      </c>
      <c r="U396" s="40">
        <f t="shared" si="1283"/>
        <v>49.17</v>
      </c>
      <c r="V396" s="40">
        <f t="shared" ref="V396:W396" si="1959">(E395+E396)/2</f>
        <v>35.900000000000006</v>
      </c>
      <c r="W396" s="40">
        <f t="shared" si="1959"/>
        <v>21.72</v>
      </c>
      <c r="X396" s="41">
        <f t="shared" ref="X396:AB396" si="1960">(SUM(B393:B396))/4</f>
        <v>74.550000000000011</v>
      </c>
      <c r="Y396" s="40">
        <f t="shared" si="1960"/>
        <v>63.715000000000003</v>
      </c>
      <c r="Z396" s="40">
        <f t="shared" si="1960"/>
        <v>49.272500000000008</v>
      </c>
      <c r="AA396" s="40">
        <f t="shared" si="1960"/>
        <v>35.925000000000004</v>
      </c>
      <c r="AB396" s="47">
        <f t="shared" si="1960"/>
        <v>21.732500000000002</v>
      </c>
      <c r="AC396" s="42">
        <f t="shared" ref="AC396:AF396" si="1961">(B396+C396)/2</f>
        <v>68.635000000000005</v>
      </c>
      <c r="AD396" s="42">
        <f t="shared" si="1961"/>
        <v>56.3</v>
      </c>
      <c r="AE396" s="42">
        <f t="shared" si="1961"/>
        <v>42.58</v>
      </c>
      <c r="AF396" s="42">
        <f t="shared" si="1961"/>
        <v>28.85</v>
      </c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8"/>
      <c r="BK396" s="8"/>
      <c r="BL396" s="8"/>
      <c r="BM396" s="8"/>
    </row>
    <row r="397" spans="1:65" ht="15.75" hidden="1" customHeight="1" x14ac:dyDescent="0.45">
      <c r="A397" s="53">
        <f t="shared" si="1280"/>
        <v>43658</v>
      </c>
      <c r="B397" s="51">
        <v>74.599999999999994</v>
      </c>
      <c r="C397" s="51">
        <v>63.69</v>
      </c>
      <c r="D397" s="51">
        <v>49.32</v>
      </c>
      <c r="E397" s="51">
        <v>35.89</v>
      </c>
      <c r="F397" s="51">
        <v>21.49</v>
      </c>
      <c r="G397" s="52">
        <v>76.510000000000005</v>
      </c>
      <c r="H397" s="37">
        <f t="shared" ref="H397:L397" si="1962">B397-B396</f>
        <v>0.75999999999999091</v>
      </c>
      <c r="I397" s="38">
        <f t="shared" si="1962"/>
        <v>0.25999999999999801</v>
      </c>
      <c r="J397" s="38">
        <f t="shared" si="1962"/>
        <v>0.14999999999999858</v>
      </c>
      <c r="K397" s="38">
        <f t="shared" si="1962"/>
        <v>-0.10000000000000142</v>
      </c>
      <c r="L397" s="39">
        <f t="shared" si="1962"/>
        <v>-0.22000000000000242</v>
      </c>
      <c r="M397" s="38"/>
      <c r="N397" s="40"/>
      <c r="O397" s="40"/>
      <c r="P397" s="40"/>
      <c r="Q397" s="40"/>
      <c r="R397" s="40"/>
      <c r="S397" s="40">
        <f t="shared" ref="S397:T397" si="1963">(B396+B397)/2</f>
        <v>74.22</v>
      </c>
      <c r="T397" s="40">
        <f t="shared" si="1963"/>
        <v>63.56</v>
      </c>
      <c r="U397" s="40">
        <f t="shared" si="1283"/>
        <v>49.245000000000005</v>
      </c>
      <c r="V397" s="40">
        <f t="shared" ref="V397:W397" si="1964">(E396+E397)/2</f>
        <v>35.94</v>
      </c>
      <c r="W397" s="40">
        <f t="shared" si="1964"/>
        <v>21.6</v>
      </c>
      <c r="X397" s="41">
        <f t="shared" ref="X397:AB397" si="1965">(SUM(B394:B397))/4</f>
        <v>74.204999999999998</v>
      </c>
      <c r="Y397" s="40">
        <f t="shared" si="1965"/>
        <v>63.6175</v>
      </c>
      <c r="Z397" s="40">
        <f t="shared" si="1965"/>
        <v>49.217500000000001</v>
      </c>
      <c r="AA397" s="40">
        <f t="shared" si="1965"/>
        <v>35.9375</v>
      </c>
      <c r="AB397" s="47">
        <f t="shared" si="1965"/>
        <v>21.712500000000002</v>
      </c>
      <c r="AC397" s="42">
        <f t="shared" ref="AC397:AF397" si="1966">(B397+C397)/2</f>
        <v>69.144999999999996</v>
      </c>
      <c r="AD397" s="42">
        <f t="shared" si="1966"/>
        <v>56.504999999999995</v>
      </c>
      <c r="AE397" s="42">
        <f t="shared" si="1966"/>
        <v>42.605000000000004</v>
      </c>
      <c r="AF397" s="42">
        <f t="shared" si="1966"/>
        <v>28.689999999999998</v>
      </c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8"/>
      <c r="BK397" s="8"/>
      <c r="BL397" s="8"/>
      <c r="BM397" s="8"/>
    </row>
    <row r="398" spans="1:65" ht="15.75" hidden="1" customHeight="1" x14ac:dyDescent="0.45">
      <c r="A398" s="53">
        <f t="shared" si="1280"/>
        <v>43665</v>
      </c>
      <c r="B398" s="51">
        <v>74.63</v>
      </c>
      <c r="C398" s="51">
        <v>63.16</v>
      </c>
      <c r="D398" s="51">
        <v>48.76</v>
      </c>
      <c r="E398" s="51">
        <v>34.71</v>
      </c>
      <c r="F398" s="51">
        <v>21.19</v>
      </c>
      <c r="G398" s="52">
        <v>73.98</v>
      </c>
      <c r="H398" s="37">
        <f t="shared" ref="H398:L398" si="1967">B398-B397</f>
        <v>3.0000000000001137E-2</v>
      </c>
      <c r="I398" s="38">
        <f t="shared" si="1967"/>
        <v>-0.53000000000000114</v>
      </c>
      <c r="J398" s="38">
        <f t="shared" si="1967"/>
        <v>-0.56000000000000227</v>
      </c>
      <c r="K398" s="38">
        <f t="shared" si="1967"/>
        <v>-1.1799999999999997</v>
      </c>
      <c r="L398" s="39">
        <f t="shared" si="1967"/>
        <v>-0.29999999999999716</v>
      </c>
      <c r="M398" s="38"/>
      <c r="N398" s="40"/>
      <c r="O398" s="40"/>
      <c r="P398" s="40"/>
      <c r="Q398" s="40"/>
      <c r="R398" s="40"/>
      <c r="S398" s="40">
        <f t="shared" ref="S398:T398" si="1968">(B397+B398)/2</f>
        <v>74.614999999999995</v>
      </c>
      <c r="T398" s="40">
        <f t="shared" si="1968"/>
        <v>63.424999999999997</v>
      </c>
      <c r="U398" s="40">
        <f t="shared" si="1283"/>
        <v>49.04</v>
      </c>
      <c r="V398" s="40">
        <f t="shared" ref="V398:W398" si="1969">(E397+E398)/2</f>
        <v>35.299999999999997</v>
      </c>
      <c r="W398" s="40">
        <f t="shared" si="1969"/>
        <v>21.34</v>
      </c>
      <c r="X398" s="41">
        <f t="shared" ref="X398:AB398" si="1970">(SUM(B395:B398))/4</f>
        <v>74.232499999999987</v>
      </c>
      <c r="Y398" s="40">
        <f t="shared" si="1970"/>
        <v>63.457499999999996</v>
      </c>
      <c r="Z398" s="40">
        <f t="shared" si="1970"/>
        <v>49.104999999999997</v>
      </c>
      <c r="AA398" s="40">
        <f t="shared" si="1970"/>
        <v>35.6</v>
      </c>
      <c r="AB398" s="47">
        <f t="shared" si="1970"/>
        <v>21.529999999999998</v>
      </c>
      <c r="AC398" s="42">
        <f t="shared" ref="AC398:AF398" si="1971">(B398+C398)/2</f>
        <v>68.894999999999996</v>
      </c>
      <c r="AD398" s="42">
        <f t="shared" si="1971"/>
        <v>55.959999999999994</v>
      </c>
      <c r="AE398" s="42">
        <f t="shared" si="1971"/>
        <v>41.734999999999999</v>
      </c>
      <c r="AF398" s="42">
        <f t="shared" si="1971"/>
        <v>27.950000000000003</v>
      </c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8"/>
      <c r="BK398" s="8"/>
      <c r="BL398" s="8"/>
      <c r="BM398" s="8"/>
    </row>
    <row r="399" spans="1:65" ht="15.75" hidden="1" customHeight="1" x14ac:dyDescent="0.45">
      <c r="A399" s="53">
        <f t="shared" si="1280"/>
        <v>43672</v>
      </c>
      <c r="B399" s="51">
        <v>73.94</v>
      </c>
      <c r="C399" s="51">
        <v>63</v>
      </c>
      <c r="D399" s="51">
        <v>48.73</v>
      </c>
      <c r="E399" s="51">
        <v>33.700000000000003</v>
      </c>
      <c r="F399" s="51">
        <v>20.78</v>
      </c>
      <c r="G399" s="52">
        <v>72.88</v>
      </c>
      <c r="H399" s="37">
        <f t="shared" ref="H399:L399" si="1972">B399-B398</f>
        <v>-0.68999999999999773</v>
      </c>
      <c r="I399" s="38">
        <f t="shared" si="1972"/>
        <v>-0.15999999999999659</v>
      </c>
      <c r="J399" s="38">
        <f t="shared" si="1972"/>
        <v>-3.0000000000001137E-2</v>
      </c>
      <c r="K399" s="38">
        <f t="shared" si="1972"/>
        <v>-1.009999999999998</v>
      </c>
      <c r="L399" s="39">
        <f t="shared" si="1972"/>
        <v>-0.41000000000000014</v>
      </c>
      <c r="M399" s="38"/>
      <c r="N399" s="40"/>
      <c r="O399" s="40"/>
      <c r="P399" s="40"/>
      <c r="Q399" s="40"/>
      <c r="R399" s="40"/>
      <c r="S399" s="40">
        <f t="shared" ref="S399:T399" si="1973">(B398+B399)/2</f>
        <v>74.284999999999997</v>
      </c>
      <c r="T399" s="40">
        <f t="shared" si="1973"/>
        <v>63.08</v>
      </c>
      <c r="U399" s="40">
        <f t="shared" si="1283"/>
        <v>48.744999999999997</v>
      </c>
      <c r="V399" s="40">
        <f t="shared" ref="V399:W399" si="1974">(E398+E399)/2</f>
        <v>34.204999999999998</v>
      </c>
      <c r="W399" s="40">
        <f t="shared" si="1974"/>
        <v>20.984999999999999</v>
      </c>
      <c r="X399" s="41">
        <f t="shared" ref="X399:AB399" si="1975">(SUM(B396:B399))/4</f>
        <v>74.252499999999998</v>
      </c>
      <c r="Y399" s="40">
        <f t="shared" si="1975"/>
        <v>63.32</v>
      </c>
      <c r="Z399" s="40">
        <f t="shared" si="1975"/>
        <v>48.994999999999997</v>
      </c>
      <c r="AA399" s="40">
        <f t="shared" si="1975"/>
        <v>35.072500000000005</v>
      </c>
      <c r="AB399" s="47">
        <f t="shared" si="1975"/>
        <v>21.2925</v>
      </c>
      <c r="AC399" s="42">
        <f t="shared" ref="AC399:AF399" si="1976">(B399+C399)/2</f>
        <v>68.47</v>
      </c>
      <c r="AD399" s="42">
        <f t="shared" si="1976"/>
        <v>55.864999999999995</v>
      </c>
      <c r="AE399" s="42">
        <f t="shared" si="1976"/>
        <v>41.215000000000003</v>
      </c>
      <c r="AF399" s="42">
        <f t="shared" si="1976"/>
        <v>27.240000000000002</v>
      </c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8"/>
      <c r="BK399" s="8"/>
      <c r="BL399" s="8"/>
      <c r="BM399" s="8"/>
    </row>
    <row r="400" spans="1:65" ht="15.75" hidden="1" customHeight="1" x14ac:dyDescent="0.45">
      <c r="A400" s="53">
        <f t="shared" si="1280"/>
        <v>43679</v>
      </c>
      <c r="B400" s="51">
        <v>71.22</v>
      </c>
      <c r="C400" s="51">
        <v>62.09</v>
      </c>
      <c r="D400" s="51">
        <v>48.66</v>
      </c>
      <c r="E400" s="51">
        <v>33.32</v>
      </c>
      <c r="F400" s="51">
        <v>20.45</v>
      </c>
      <c r="G400" s="52">
        <v>67.09</v>
      </c>
      <c r="H400" s="37">
        <f t="shared" ref="H400:L400" si="1977">B400-B399</f>
        <v>-2.7199999999999989</v>
      </c>
      <c r="I400" s="38">
        <f t="shared" si="1977"/>
        <v>-0.90999999999999659</v>
      </c>
      <c r="J400" s="38">
        <f t="shared" si="1977"/>
        <v>-7.0000000000000284E-2</v>
      </c>
      <c r="K400" s="38">
        <f t="shared" si="1977"/>
        <v>-0.38000000000000256</v>
      </c>
      <c r="L400" s="39">
        <f t="shared" si="1977"/>
        <v>-0.33000000000000185</v>
      </c>
      <c r="M400" s="38"/>
      <c r="N400" s="40"/>
      <c r="O400" s="40"/>
      <c r="P400" s="40"/>
      <c r="Q400" s="40"/>
      <c r="R400" s="40"/>
      <c r="S400" s="40">
        <f t="shared" ref="S400:T400" si="1978">(B399+B400)/2</f>
        <v>72.58</v>
      </c>
      <c r="T400" s="40">
        <f t="shared" si="1978"/>
        <v>62.545000000000002</v>
      </c>
      <c r="U400" s="40">
        <f t="shared" si="1283"/>
        <v>48.694999999999993</v>
      </c>
      <c r="V400" s="40">
        <f t="shared" ref="V400:W400" si="1979">(E399+E400)/2</f>
        <v>33.510000000000005</v>
      </c>
      <c r="W400" s="40">
        <f t="shared" si="1979"/>
        <v>20.615000000000002</v>
      </c>
      <c r="X400" s="41">
        <f t="shared" ref="X400:AB400" si="1980">(SUM(B397:B400))/4</f>
        <v>73.597499999999997</v>
      </c>
      <c r="Y400" s="40">
        <f t="shared" si="1980"/>
        <v>62.984999999999999</v>
      </c>
      <c r="Z400" s="40">
        <f t="shared" si="1980"/>
        <v>48.8675</v>
      </c>
      <c r="AA400" s="40">
        <f t="shared" si="1980"/>
        <v>34.405000000000001</v>
      </c>
      <c r="AB400" s="47">
        <f t="shared" si="1980"/>
        <v>20.977499999999999</v>
      </c>
      <c r="AC400" s="42">
        <f t="shared" ref="AC400:AF400" si="1981">(B400+C400)/2</f>
        <v>66.655000000000001</v>
      </c>
      <c r="AD400" s="42">
        <f t="shared" si="1981"/>
        <v>55.375</v>
      </c>
      <c r="AE400" s="42">
        <f t="shared" si="1981"/>
        <v>40.989999999999995</v>
      </c>
      <c r="AF400" s="42">
        <f t="shared" si="1981"/>
        <v>26.884999999999998</v>
      </c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8"/>
      <c r="BK400" s="8"/>
      <c r="BL400" s="8"/>
      <c r="BM400" s="8"/>
    </row>
    <row r="401" spans="1:65" ht="15.75" hidden="1" customHeight="1" x14ac:dyDescent="0.45">
      <c r="A401" s="53">
        <f t="shared" si="1280"/>
        <v>43686</v>
      </c>
      <c r="B401" s="51">
        <v>71.05</v>
      </c>
      <c r="C401" s="51">
        <v>61.45</v>
      </c>
      <c r="D401" s="51">
        <v>47.63</v>
      </c>
      <c r="E401" s="51">
        <v>32.340000000000003</v>
      </c>
      <c r="F401" s="51">
        <v>20.04</v>
      </c>
      <c r="G401" s="52">
        <v>68.88</v>
      </c>
      <c r="H401" s="37">
        <f t="shared" ref="H401:L401" si="1982">B401-B400</f>
        <v>-0.17000000000000171</v>
      </c>
      <c r="I401" s="38">
        <f t="shared" si="1982"/>
        <v>-0.64000000000000057</v>
      </c>
      <c r="J401" s="38">
        <f t="shared" si="1982"/>
        <v>-1.029999999999994</v>
      </c>
      <c r="K401" s="38">
        <f t="shared" si="1982"/>
        <v>-0.97999999999999687</v>
      </c>
      <c r="L401" s="39">
        <f t="shared" si="1982"/>
        <v>-0.41000000000000014</v>
      </c>
      <c r="M401" s="38"/>
      <c r="N401" s="40"/>
      <c r="O401" s="40"/>
      <c r="P401" s="40"/>
      <c r="Q401" s="40"/>
      <c r="R401" s="40"/>
      <c r="S401" s="40">
        <f t="shared" ref="S401:T401" si="1983">(B400+B401)/2</f>
        <v>71.134999999999991</v>
      </c>
      <c r="T401" s="40">
        <f t="shared" si="1983"/>
        <v>61.77</v>
      </c>
      <c r="U401" s="40">
        <f t="shared" si="1283"/>
        <v>48.144999999999996</v>
      </c>
      <c r="V401" s="40">
        <f t="shared" ref="V401:W401" si="1984">(E400+E401)/2</f>
        <v>32.83</v>
      </c>
      <c r="W401" s="40">
        <f t="shared" si="1984"/>
        <v>20.244999999999997</v>
      </c>
      <c r="X401" s="41">
        <f t="shared" ref="X401:AB401" si="1985">(SUM(B398:B401))/4</f>
        <v>72.709999999999994</v>
      </c>
      <c r="Y401" s="40">
        <f t="shared" si="1985"/>
        <v>62.424999999999997</v>
      </c>
      <c r="Z401" s="40">
        <f t="shared" si="1985"/>
        <v>48.444999999999993</v>
      </c>
      <c r="AA401" s="40">
        <f t="shared" si="1985"/>
        <v>33.517499999999998</v>
      </c>
      <c r="AB401" s="47">
        <f t="shared" si="1985"/>
        <v>20.615000000000002</v>
      </c>
      <c r="AC401" s="42">
        <f t="shared" ref="AC401:AF401" si="1986">(B401+C401)/2</f>
        <v>66.25</v>
      </c>
      <c r="AD401" s="42">
        <f t="shared" si="1986"/>
        <v>54.540000000000006</v>
      </c>
      <c r="AE401" s="42">
        <f t="shared" si="1986"/>
        <v>39.984999999999999</v>
      </c>
      <c r="AF401" s="42">
        <f t="shared" si="1986"/>
        <v>26.19</v>
      </c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8"/>
      <c r="BK401" s="8"/>
      <c r="BL401" s="8"/>
      <c r="BM401" s="8"/>
    </row>
    <row r="402" spans="1:65" ht="15.75" hidden="1" customHeight="1" x14ac:dyDescent="0.45">
      <c r="A402" s="53">
        <f t="shared" si="1280"/>
        <v>43693</v>
      </c>
      <c r="B402" s="51">
        <v>69</v>
      </c>
      <c r="C402" s="51">
        <v>60.32</v>
      </c>
      <c r="D402" s="51">
        <v>46.95</v>
      </c>
      <c r="E402" s="51">
        <v>31.45</v>
      </c>
      <c r="F402" s="51">
        <v>19.45</v>
      </c>
      <c r="G402" s="54">
        <v>64.849999999999994</v>
      </c>
      <c r="H402" s="37">
        <f t="shared" ref="H402:L402" si="1987">B402-B401</f>
        <v>-2.0499999999999972</v>
      </c>
      <c r="I402" s="38">
        <f t="shared" si="1987"/>
        <v>-1.1300000000000026</v>
      </c>
      <c r="J402" s="38">
        <f t="shared" si="1987"/>
        <v>-0.67999999999999972</v>
      </c>
      <c r="K402" s="38">
        <f t="shared" si="1987"/>
        <v>-0.89000000000000412</v>
      </c>
      <c r="L402" s="39">
        <f t="shared" si="1987"/>
        <v>-0.58999999999999986</v>
      </c>
      <c r="M402" s="38"/>
      <c r="N402" s="40"/>
      <c r="O402" s="40"/>
      <c r="P402" s="40"/>
      <c r="Q402" s="40"/>
      <c r="R402" s="40"/>
      <c r="S402" s="40">
        <f t="shared" ref="S402:T402" si="1988">(B401+B402)/2</f>
        <v>70.025000000000006</v>
      </c>
      <c r="T402" s="40">
        <f t="shared" si="1988"/>
        <v>60.885000000000005</v>
      </c>
      <c r="U402" s="40">
        <f t="shared" si="1283"/>
        <v>47.290000000000006</v>
      </c>
      <c r="V402" s="40">
        <f t="shared" ref="V402:W402" si="1989">(E401+E402)/2</f>
        <v>31.895000000000003</v>
      </c>
      <c r="W402" s="40">
        <f t="shared" si="1989"/>
        <v>19.744999999999997</v>
      </c>
      <c r="X402" s="41">
        <f t="shared" ref="X402:AB402" si="1990">(SUM(B399:B402))/4</f>
        <v>71.302499999999995</v>
      </c>
      <c r="Y402" s="40">
        <f t="shared" si="1990"/>
        <v>61.715000000000003</v>
      </c>
      <c r="Z402" s="40">
        <f t="shared" si="1990"/>
        <v>47.992499999999993</v>
      </c>
      <c r="AA402" s="40">
        <f t="shared" si="1990"/>
        <v>32.702500000000001</v>
      </c>
      <c r="AB402" s="47">
        <f t="shared" si="1990"/>
        <v>20.18</v>
      </c>
      <c r="AC402" s="42">
        <f t="shared" ref="AC402:AF402" si="1991">(B402+C402)/2</f>
        <v>64.66</v>
      </c>
      <c r="AD402" s="42">
        <f t="shared" si="1991"/>
        <v>53.635000000000005</v>
      </c>
      <c r="AE402" s="42">
        <f t="shared" si="1991"/>
        <v>39.200000000000003</v>
      </c>
      <c r="AF402" s="42">
        <f t="shared" si="1991"/>
        <v>25.45</v>
      </c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8"/>
      <c r="BK402" s="8"/>
      <c r="BL402" s="8"/>
      <c r="BM402" s="8"/>
    </row>
    <row r="403" spans="1:65" ht="15.75" hidden="1" customHeight="1" x14ac:dyDescent="0.45">
      <c r="A403" s="53">
        <f t="shared" si="1280"/>
        <v>43700</v>
      </c>
      <c r="B403" s="51">
        <v>68.36</v>
      </c>
      <c r="C403" s="51">
        <v>59.59</v>
      </c>
      <c r="D403" s="51">
        <v>46.95</v>
      </c>
      <c r="E403" s="51">
        <v>30.96</v>
      </c>
      <c r="F403" s="51">
        <v>19.13</v>
      </c>
      <c r="G403" s="54">
        <v>62.5</v>
      </c>
      <c r="H403" s="37">
        <f t="shared" ref="H403:L403" si="1992">B403-B402</f>
        <v>-0.64000000000000057</v>
      </c>
      <c r="I403" s="38">
        <f t="shared" si="1992"/>
        <v>-0.72999999999999687</v>
      </c>
      <c r="J403" s="38">
        <f t="shared" si="1992"/>
        <v>0</v>
      </c>
      <c r="K403" s="38">
        <f t="shared" si="1992"/>
        <v>-0.48999999999999844</v>
      </c>
      <c r="L403" s="39">
        <f t="shared" si="1992"/>
        <v>-0.32000000000000028</v>
      </c>
      <c r="M403" s="38"/>
      <c r="N403" s="40"/>
      <c r="O403" s="40"/>
      <c r="P403" s="40"/>
      <c r="Q403" s="40"/>
      <c r="R403" s="40"/>
      <c r="S403" s="40">
        <f t="shared" ref="S403:T403" si="1993">(B402+B403)/2</f>
        <v>68.680000000000007</v>
      </c>
      <c r="T403" s="40">
        <f t="shared" si="1993"/>
        <v>59.954999999999998</v>
      </c>
      <c r="U403" s="40">
        <f t="shared" si="1283"/>
        <v>46.95</v>
      </c>
      <c r="V403" s="40">
        <f t="shared" ref="V403:W403" si="1994">(E402+E403)/2</f>
        <v>31.204999999999998</v>
      </c>
      <c r="W403" s="40">
        <f t="shared" si="1994"/>
        <v>19.29</v>
      </c>
      <c r="X403" s="41">
        <f t="shared" ref="X403:AB403" si="1995">(SUM(B400:B403))/4</f>
        <v>69.907499999999999</v>
      </c>
      <c r="Y403" s="40">
        <f t="shared" si="1995"/>
        <v>60.862500000000004</v>
      </c>
      <c r="Z403" s="40">
        <f t="shared" si="1995"/>
        <v>47.547499999999999</v>
      </c>
      <c r="AA403" s="40">
        <f t="shared" si="1995"/>
        <v>32.017499999999998</v>
      </c>
      <c r="AB403" s="47">
        <f t="shared" si="1995"/>
        <v>19.767499999999998</v>
      </c>
      <c r="AC403" s="42">
        <f t="shared" ref="AC403:AF403" si="1996">(B403+C403)/2</f>
        <v>63.975000000000001</v>
      </c>
      <c r="AD403" s="42">
        <f t="shared" si="1996"/>
        <v>53.27</v>
      </c>
      <c r="AE403" s="42">
        <f t="shared" si="1996"/>
        <v>38.954999999999998</v>
      </c>
      <c r="AF403" s="42">
        <f t="shared" si="1996"/>
        <v>25.045000000000002</v>
      </c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8"/>
      <c r="BK403" s="8"/>
      <c r="BL403" s="8"/>
      <c r="BM403" s="8"/>
    </row>
    <row r="404" spans="1:65" ht="15.75" hidden="1" customHeight="1" x14ac:dyDescent="0.45">
      <c r="A404" s="53">
        <f t="shared" si="1280"/>
        <v>43707</v>
      </c>
      <c r="B404" s="51">
        <v>66.7</v>
      </c>
      <c r="C404" s="51">
        <v>58.45</v>
      </c>
      <c r="D404" s="51">
        <v>45.93</v>
      </c>
      <c r="E404" s="51">
        <v>31.22</v>
      </c>
      <c r="F404" s="51">
        <v>19.2</v>
      </c>
      <c r="G404" s="54">
        <v>62.32</v>
      </c>
      <c r="H404" s="37">
        <f t="shared" ref="H404:L404" si="1997">B404-B403</f>
        <v>-1.6599999999999966</v>
      </c>
      <c r="I404" s="38">
        <f t="shared" si="1997"/>
        <v>-1.1400000000000006</v>
      </c>
      <c r="J404" s="38">
        <f t="shared" si="1997"/>
        <v>-1.0200000000000031</v>
      </c>
      <c r="K404" s="38">
        <f t="shared" si="1997"/>
        <v>0.25999999999999801</v>
      </c>
      <c r="L404" s="39">
        <f t="shared" si="1997"/>
        <v>7.0000000000000284E-2</v>
      </c>
      <c r="M404" s="38"/>
      <c r="N404" s="40"/>
      <c r="O404" s="40"/>
      <c r="P404" s="40"/>
      <c r="Q404" s="40"/>
      <c r="R404" s="40"/>
      <c r="S404" s="40">
        <f t="shared" ref="S404:T404" si="1998">(B403+B404)/2</f>
        <v>67.53</v>
      </c>
      <c r="T404" s="40">
        <f t="shared" si="1998"/>
        <v>59.02</v>
      </c>
      <c r="U404" s="40">
        <f t="shared" si="1283"/>
        <v>46.44</v>
      </c>
      <c r="V404" s="40">
        <f t="shared" ref="V404:W404" si="1999">(E403+E404)/2</f>
        <v>31.09</v>
      </c>
      <c r="W404" s="40">
        <f t="shared" si="1999"/>
        <v>19.164999999999999</v>
      </c>
      <c r="X404" s="41">
        <f t="shared" ref="X404:AB404" si="2000">(SUM(B401:B404))/4</f>
        <v>68.777500000000003</v>
      </c>
      <c r="Y404" s="40">
        <f t="shared" si="2000"/>
        <v>59.952500000000001</v>
      </c>
      <c r="Z404" s="40">
        <f t="shared" si="2000"/>
        <v>46.865000000000009</v>
      </c>
      <c r="AA404" s="40">
        <f t="shared" si="2000"/>
        <v>31.4925</v>
      </c>
      <c r="AB404" s="47">
        <f t="shared" si="2000"/>
        <v>19.454999999999998</v>
      </c>
      <c r="AC404" s="42">
        <f t="shared" ref="AC404:AF404" si="2001">(B404+C404)/2</f>
        <v>62.575000000000003</v>
      </c>
      <c r="AD404" s="42">
        <f t="shared" si="2001"/>
        <v>52.19</v>
      </c>
      <c r="AE404" s="42">
        <f t="shared" si="2001"/>
        <v>38.575000000000003</v>
      </c>
      <c r="AF404" s="42">
        <f t="shared" si="2001"/>
        <v>25.21</v>
      </c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8"/>
      <c r="BK404" s="8"/>
      <c r="BL404" s="8"/>
      <c r="BM404" s="8"/>
    </row>
    <row r="405" spans="1:65" ht="15.75" hidden="1" customHeight="1" x14ac:dyDescent="0.45">
      <c r="A405" s="53">
        <f t="shared" si="1280"/>
        <v>43714</v>
      </c>
      <c r="B405" s="51">
        <v>66.739999999999995</v>
      </c>
      <c r="C405" s="51">
        <v>58.35</v>
      </c>
      <c r="D405" s="51">
        <v>46.02</v>
      </c>
      <c r="E405" s="51">
        <v>31.57</v>
      </c>
      <c r="F405" s="51">
        <v>19.510000000000002</v>
      </c>
      <c r="G405" s="54">
        <v>65.650000000000006</v>
      </c>
      <c r="H405" s="37">
        <f t="shared" ref="H405:L405" si="2002">B405-B404</f>
        <v>3.9999999999992042E-2</v>
      </c>
      <c r="I405" s="38">
        <f t="shared" si="2002"/>
        <v>-0.10000000000000142</v>
      </c>
      <c r="J405" s="38">
        <f t="shared" si="2002"/>
        <v>9.0000000000003411E-2</v>
      </c>
      <c r="K405" s="38">
        <f t="shared" si="2002"/>
        <v>0.35000000000000142</v>
      </c>
      <c r="L405" s="39">
        <f t="shared" si="2002"/>
        <v>0.31000000000000227</v>
      </c>
      <c r="M405" s="38"/>
      <c r="N405" s="40"/>
      <c r="O405" s="40"/>
      <c r="P405" s="40"/>
      <c r="Q405" s="40"/>
      <c r="R405" s="40"/>
      <c r="S405" s="40">
        <f t="shared" ref="S405:T405" si="2003">(B404+B405)/2</f>
        <v>66.72</v>
      </c>
      <c r="T405" s="40">
        <f t="shared" si="2003"/>
        <v>58.400000000000006</v>
      </c>
      <c r="U405" s="40">
        <f t="shared" si="1283"/>
        <v>45.975000000000001</v>
      </c>
      <c r="V405" s="40">
        <f t="shared" ref="V405:W405" si="2004">(E404+E405)/2</f>
        <v>31.395</v>
      </c>
      <c r="W405" s="40">
        <f t="shared" si="2004"/>
        <v>19.355</v>
      </c>
      <c r="X405" s="41">
        <f t="shared" ref="X405:AB405" si="2005">(SUM(B402:B405))/4</f>
        <v>67.7</v>
      </c>
      <c r="Y405" s="40">
        <f t="shared" si="2005"/>
        <v>59.177500000000002</v>
      </c>
      <c r="Z405" s="40">
        <f t="shared" si="2005"/>
        <v>46.462500000000006</v>
      </c>
      <c r="AA405" s="40">
        <f t="shared" si="2005"/>
        <v>31.299999999999997</v>
      </c>
      <c r="AB405" s="47">
        <f t="shared" si="2005"/>
        <v>19.322500000000002</v>
      </c>
      <c r="AC405" s="42">
        <f t="shared" ref="AC405:AF405" si="2006">(B405+C405)/2</f>
        <v>62.545000000000002</v>
      </c>
      <c r="AD405" s="42">
        <f t="shared" si="2006"/>
        <v>52.185000000000002</v>
      </c>
      <c r="AE405" s="42">
        <f t="shared" si="2006"/>
        <v>38.795000000000002</v>
      </c>
      <c r="AF405" s="42">
        <f t="shared" si="2006"/>
        <v>25.54</v>
      </c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8"/>
      <c r="BK405" s="8"/>
      <c r="BL405" s="8"/>
      <c r="BM405" s="8"/>
    </row>
    <row r="406" spans="1:65" ht="15.75" hidden="1" customHeight="1" x14ac:dyDescent="0.45">
      <c r="A406" s="53">
        <f t="shared" si="1280"/>
        <v>43721</v>
      </c>
      <c r="B406" s="51">
        <v>67.760000000000005</v>
      </c>
      <c r="C406" s="51">
        <v>58.55</v>
      </c>
      <c r="D406" s="51">
        <v>46.91</v>
      </c>
      <c r="E406" s="51">
        <v>32.17</v>
      </c>
      <c r="F406" s="51">
        <v>19.91</v>
      </c>
      <c r="G406" s="54">
        <v>65.42</v>
      </c>
      <c r="H406" s="37">
        <f t="shared" ref="H406:L406" si="2007">B406-B405</f>
        <v>1.0200000000000102</v>
      </c>
      <c r="I406" s="38">
        <f t="shared" si="2007"/>
        <v>0.19999999999999574</v>
      </c>
      <c r="J406" s="38">
        <f t="shared" si="2007"/>
        <v>0.88999999999999346</v>
      </c>
      <c r="K406" s="38">
        <f t="shared" si="2007"/>
        <v>0.60000000000000142</v>
      </c>
      <c r="L406" s="39">
        <f t="shared" si="2007"/>
        <v>0.39999999999999858</v>
      </c>
      <c r="M406" s="38"/>
      <c r="N406" s="40"/>
      <c r="O406" s="40"/>
      <c r="P406" s="40"/>
      <c r="Q406" s="40"/>
      <c r="R406" s="40"/>
      <c r="S406" s="40">
        <f t="shared" ref="S406:T406" si="2008">(B405+B406)/2</f>
        <v>67.25</v>
      </c>
      <c r="T406" s="40">
        <f t="shared" si="2008"/>
        <v>58.45</v>
      </c>
      <c r="U406" s="40">
        <f t="shared" si="1283"/>
        <v>46.465000000000003</v>
      </c>
      <c r="V406" s="40">
        <f t="shared" ref="V406:W406" si="2009">(E405+E406)/2</f>
        <v>31.87</v>
      </c>
      <c r="W406" s="40">
        <f t="shared" si="2009"/>
        <v>19.71</v>
      </c>
      <c r="X406" s="41">
        <f t="shared" ref="X406:AB406" si="2010">(SUM(B403:B406))/4</f>
        <v>67.39</v>
      </c>
      <c r="Y406" s="40">
        <f t="shared" si="2010"/>
        <v>58.734999999999999</v>
      </c>
      <c r="Z406" s="40">
        <f t="shared" si="2010"/>
        <v>46.452500000000001</v>
      </c>
      <c r="AA406" s="40">
        <f t="shared" si="2010"/>
        <v>31.48</v>
      </c>
      <c r="AB406" s="47">
        <f t="shared" si="2010"/>
        <v>19.4375</v>
      </c>
      <c r="AC406" s="42">
        <f t="shared" ref="AC406:AF406" si="2011">(B406+C406)/2</f>
        <v>63.155000000000001</v>
      </c>
      <c r="AD406" s="42">
        <f t="shared" si="2011"/>
        <v>52.73</v>
      </c>
      <c r="AE406" s="42">
        <f t="shared" si="2011"/>
        <v>39.54</v>
      </c>
      <c r="AF406" s="42">
        <f t="shared" si="2011"/>
        <v>26.04</v>
      </c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8"/>
      <c r="BK406" s="8"/>
      <c r="BL406" s="8"/>
      <c r="BM406" s="8"/>
    </row>
    <row r="407" spans="1:65" ht="15.75" hidden="1" customHeight="1" x14ac:dyDescent="0.45">
      <c r="A407" s="53">
        <f t="shared" si="1280"/>
        <v>43728</v>
      </c>
      <c r="B407" s="51">
        <v>68.02</v>
      </c>
      <c r="C407" s="51">
        <v>58.79</v>
      </c>
      <c r="D407" s="51">
        <v>47.23</v>
      </c>
      <c r="E407" s="51">
        <v>32.69</v>
      </c>
      <c r="F407" s="51">
        <v>20.16</v>
      </c>
      <c r="G407" s="54">
        <v>65.94</v>
      </c>
      <c r="H407" s="37">
        <f t="shared" ref="H407:L407" si="2012">B407-B406</f>
        <v>0.25999999999999091</v>
      </c>
      <c r="I407" s="38">
        <f t="shared" si="2012"/>
        <v>0.24000000000000199</v>
      </c>
      <c r="J407" s="38">
        <f t="shared" si="2012"/>
        <v>0.32000000000000028</v>
      </c>
      <c r="K407" s="38">
        <f t="shared" si="2012"/>
        <v>0.51999999999999602</v>
      </c>
      <c r="L407" s="39">
        <f t="shared" si="2012"/>
        <v>0.25</v>
      </c>
      <c r="M407" s="38"/>
      <c r="N407" s="40"/>
      <c r="O407" s="40"/>
      <c r="P407" s="40"/>
      <c r="Q407" s="40"/>
      <c r="R407" s="40"/>
      <c r="S407" s="40">
        <f t="shared" ref="S407:T407" si="2013">(B406+B407)/2</f>
        <v>67.89</v>
      </c>
      <c r="T407" s="40">
        <f t="shared" si="2013"/>
        <v>58.67</v>
      </c>
      <c r="U407" s="40">
        <f t="shared" si="1283"/>
        <v>47.069999999999993</v>
      </c>
      <c r="V407" s="40">
        <f t="shared" ref="V407:W407" si="2014">(E406+E407)/2</f>
        <v>32.43</v>
      </c>
      <c r="W407" s="40">
        <f t="shared" si="2014"/>
        <v>20.035</v>
      </c>
      <c r="X407" s="41">
        <f t="shared" ref="X407:AB407" si="2015">(SUM(B404:B407))/4</f>
        <v>67.304999999999993</v>
      </c>
      <c r="Y407" s="40">
        <f t="shared" si="2015"/>
        <v>58.535000000000004</v>
      </c>
      <c r="Z407" s="40">
        <f t="shared" si="2015"/>
        <v>46.522500000000001</v>
      </c>
      <c r="AA407" s="40">
        <f t="shared" si="2015"/>
        <v>31.912500000000001</v>
      </c>
      <c r="AB407" s="47">
        <f t="shared" si="2015"/>
        <v>19.695</v>
      </c>
      <c r="AC407" s="42">
        <f t="shared" ref="AC407:AF407" si="2016">(B407+C407)/2</f>
        <v>63.405000000000001</v>
      </c>
      <c r="AD407" s="42">
        <f t="shared" si="2016"/>
        <v>53.01</v>
      </c>
      <c r="AE407" s="42">
        <f t="shared" si="2016"/>
        <v>39.959999999999994</v>
      </c>
      <c r="AF407" s="42">
        <f t="shared" si="2016"/>
        <v>26.424999999999997</v>
      </c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8"/>
      <c r="BK407" s="8"/>
      <c r="BL407" s="8"/>
      <c r="BM407" s="8"/>
    </row>
    <row r="408" spans="1:65" ht="15.75" hidden="1" customHeight="1" x14ac:dyDescent="0.45">
      <c r="A408" s="53">
        <f t="shared" si="1280"/>
        <v>43735</v>
      </c>
      <c r="B408" s="51">
        <v>68.510000000000005</v>
      </c>
      <c r="C408" s="51">
        <v>58.77</v>
      </c>
      <c r="D408" s="51">
        <v>47.73</v>
      </c>
      <c r="E408" s="51">
        <v>33.1</v>
      </c>
      <c r="F408" s="51">
        <v>20.48</v>
      </c>
      <c r="G408" s="54">
        <v>64.989999999999995</v>
      </c>
      <c r="H408" s="37">
        <f t="shared" ref="H408:L408" si="2017">B408-B407</f>
        <v>0.49000000000000909</v>
      </c>
      <c r="I408" s="38">
        <f t="shared" si="2017"/>
        <v>-1.9999999999996021E-2</v>
      </c>
      <c r="J408" s="38">
        <f t="shared" si="2017"/>
        <v>0.5</v>
      </c>
      <c r="K408" s="38">
        <f t="shared" si="2017"/>
        <v>0.41000000000000369</v>
      </c>
      <c r="L408" s="39">
        <f t="shared" si="2017"/>
        <v>0.32000000000000028</v>
      </c>
      <c r="M408" s="38"/>
      <c r="N408" s="40"/>
      <c r="O408" s="40"/>
      <c r="P408" s="40"/>
      <c r="Q408" s="40"/>
      <c r="R408" s="40"/>
      <c r="S408" s="40">
        <f t="shared" ref="S408:T408" si="2018">(B407+B408)/2</f>
        <v>68.265000000000001</v>
      </c>
      <c r="T408" s="40">
        <f t="shared" si="2018"/>
        <v>58.78</v>
      </c>
      <c r="U408" s="40">
        <f t="shared" si="1283"/>
        <v>47.48</v>
      </c>
      <c r="V408" s="40">
        <f t="shared" ref="V408:W408" si="2019">(E407+E408)/2</f>
        <v>32.894999999999996</v>
      </c>
      <c r="W408" s="40">
        <f t="shared" si="2019"/>
        <v>20.32</v>
      </c>
      <c r="X408" s="41">
        <f t="shared" ref="X408:AB408" si="2020">(SUM(B405:B408))/4</f>
        <v>67.757499999999993</v>
      </c>
      <c r="Y408" s="40">
        <f t="shared" si="2020"/>
        <v>58.615000000000002</v>
      </c>
      <c r="Z408" s="40">
        <f t="shared" si="2020"/>
        <v>46.972499999999997</v>
      </c>
      <c r="AA408" s="40">
        <f t="shared" si="2020"/>
        <v>32.3825</v>
      </c>
      <c r="AB408" s="47">
        <f t="shared" si="2020"/>
        <v>20.015000000000001</v>
      </c>
      <c r="AC408" s="42">
        <f t="shared" ref="AC408:AF408" si="2021">(B408+C408)/2</f>
        <v>63.64</v>
      </c>
      <c r="AD408" s="42">
        <f t="shared" si="2021"/>
        <v>53.25</v>
      </c>
      <c r="AE408" s="42">
        <f t="shared" si="2021"/>
        <v>40.414999999999999</v>
      </c>
      <c r="AF408" s="42">
        <f t="shared" si="2021"/>
        <v>26.79</v>
      </c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8"/>
      <c r="BK408" s="8"/>
      <c r="BL408" s="8"/>
      <c r="BM408" s="8"/>
    </row>
    <row r="409" spans="1:65" ht="15.75" hidden="1" customHeight="1" x14ac:dyDescent="0.45">
      <c r="A409" s="53">
        <f t="shared" si="1280"/>
        <v>43742</v>
      </c>
      <c r="B409" s="51">
        <v>68.77</v>
      </c>
      <c r="C409" s="51">
        <v>58.75</v>
      </c>
      <c r="D409" s="51">
        <v>47.86</v>
      </c>
      <c r="E409" s="51">
        <v>33.19</v>
      </c>
      <c r="F409" s="51">
        <v>20.58</v>
      </c>
      <c r="G409" s="54">
        <v>65.709999999999994</v>
      </c>
      <c r="H409" s="37">
        <f t="shared" ref="H409:L409" si="2022">B409-B408</f>
        <v>0.25999999999999091</v>
      </c>
      <c r="I409" s="38">
        <f t="shared" si="2022"/>
        <v>-2.0000000000003126E-2</v>
      </c>
      <c r="J409" s="38">
        <f t="shared" si="2022"/>
        <v>0.13000000000000256</v>
      </c>
      <c r="K409" s="38">
        <f t="shared" si="2022"/>
        <v>8.9999999999996305E-2</v>
      </c>
      <c r="L409" s="39">
        <f t="shared" si="2022"/>
        <v>9.9999999999997868E-2</v>
      </c>
      <c r="M409" s="38"/>
      <c r="N409" s="40"/>
      <c r="O409" s="40"/>
      <c r="P409" s="40"/>
      <c r="Q409" s="40"/>
      <c r="R409" s="40"/>
      <c r="S409" s="40">
        <f t="shared" ref="S409:T409" si="2023">(B408+B409)/2</f>
        <v>68.64</v>
      </c>
      <c r="T409" s="40">
        <f t="shared" si="2023"/>
        <v>58.760000000000005</v>
      </c>
      <c r="U409" s="40">
        <f t="shared" si="1283"/>
        <v>47.795000000000002</v>
      </c>
      <c r="V409" s="40">
        <f t="shared" ref="V409:W409" si="2024">(E408+E409)/2</f>
        <v>33.144999999999996</v>
      </c>
      <c r="W409" s="40">
        <f t="shared" si="2024"/>
        <v>20.53</v>
      </c>
      <c r="X409" s="41">
        <f t="shared" ref="X409:AB409" si="2025">(SUM(B406:B409))/4</f>
        <v>68.265000000000001</v>
      </c>
      <c r="Y409" s="40">
        <f t="shared" si="2025"/>
        <v>58.715000000000003</v>
      </c>
      <c r="Z409" s="40">
        <f t="shared" si="2025"/>
        <v>47.43249999999999</v>
      </c>
      <c r="AA409" s="40">
        <f t="shared" si="2025"/>
        <v>32.787500000000001</v>
      </c>
      <c r="AB409" s="47">
        <f t="shared" si="2025"/>
        <v>20.282499999999999</v>
      </c>
      <c r="AC409" s="42">
        <f t="shared" ref="AC409:AF409" si="2026">(B409+C409)/2</f>
        <v>63.76</v>
      </c>
      <c r="AD409" s="42">
        <f t="shared" si="2026"/>
        <v>53.305</v>
      </c>
      <c r="AE409" s="42">
        <f t="shared" si="2026"/>
        <v>40.524999999999999</v>
      </c>
      <c r="AF409" s="42">
        <f t="shared" si="2026"/>
        <v>26.884999999999998</v>
      </c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8"/>
      <c r="BK409" s="8"/>
      <c r="BL409" s="8"/>
      <c r="BM409" s="8"/>
    </row>
    <row r="410" spans="1:65" ht="15.75" hidden="1" customHeight="1" x14ac:dyDescent="0.45">
      <c r="A410" s="53">
        <f t="shared" si="1280"/>
        <v>43749</v>
      </c>
      <c r="B410" s="51">
        <v>69.3</v>
      </c>
      <c r="C410" s="51">
        <v>59.08</v>
      </c>
      <c r="D410" s="51">
        <v>48.15</v>
      </c>
      <c r="E410" s="51">
        <v>33.65</v>
      </c>
      <c r="F410" s="51">
        <v>21.08</v>
      </c>
      <c r="G410" s="54">
        <v>66.97</v>
      </c>
      <c r="H410" s="37">
        <f t="shared" ref="H410:L410" si="2027">B410-B409</f>
        <v>0.53000000000000114</v>
      </c>
      <c r="I410" s="38">
        <f t="shared" si="2027"/>
        <v>0.32999999999999829</v>
      </c>
      <c r="J410" s="38">
        <f t="shared" si="2027"/>
        <v>0.28999999999999915</v>
      </c>
      <c r="K410" s="38">
        <f t="shared" si="2027"/>
        <v>0.46000000000000085</v>
      </c>
      <c r="L410" s="39">
        <f t="shared" si="2027"/>
        <v>0.5</v>
      </c>
      <c r="M410" s="38"/>
      <c r="N410" s="40"/>
      <c r="O410" s="40"/>
      <c r="P410" s="40"/>
      <c r="Q410" s="40"/>
      <c r="R410" s="40"/>
      <c r="S410" s="40">
        <f t="shared" ref="S410:T410" si="2028">(B409+B410)/2</f>
        <v>69.034999999999997</v>
      </c>
      <c r="T410" s="40">
        <f t="shared" si="2028"/>
        <v>58.914999999999999</v>
      </c>
      <c r="U410" s="40">
        <f t="shared" si="1283"/>
        <v>48.004999999999995</v>
      </c>
      <c r="V410" s="40">
        <f t="shared" ref="V410:W410" si="2029">(E409+E410)/2</f>
        <v>33.42</v>
      </c>
      <c r="W410" s="40">
        <f t="shared" si="2029"/>
        <v>20.83</v>
      </c>
      <c r="X410" s="41">
        <f t="shared" ref="X410:AB410" si="2030">(SUM(B407:B410))/4</f>
        <v>68.650000000000006</v>
      </c>
      <c r="Y410" s="40">
        <f t="shared" si="2030"/>
        <v>58.847499999999997</v>
      </c>
      <c r="Z410" s="40">
        <f t="shared" si="2030"/>
        <v>47.7425</v>
      </c>
      <c r="AA410" s="40">
        <f t="shared" si="2030"/>
        <v>33.157499999999999</v>
      </c>
      <c r="AB410" s="47">
        <f t="shared" si="2030"/>
        <v>20.574999999999999</v>
      </c>
      <c r="AC410" s="42">
        <f t="shared" ref="AC410:AF410" si="2031">(B410+C410)/2</f>
        <v>64.19</v>
      </c>
      <c r="AD410" s="42">
        <f t="shared" si="2031"/>
        <v>53.614999999999995</v>
      </c>
      <c r="AE410" s="42">
        <f t="shared" si="2031"/>
        <v>40.9</v>
      </c>
      <c r="AF410" s="42">
        <f t="shared" si="2031"/>
        <v>27.364999999999998</v>
      </c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8"/>
      <c r="BK410" s="8"/>
      <c r="BL410" s="8"/>
      <c r="BM410" s="8"/>
    </row>
    <row r="411" spans="1:65" ht="15.75" hidden="1" customHeight="1" x14ac:dyDescent="0.45">
      <c r="A411" s="53">
        <f t="shared" si="1280"/>
        <v>43756</v>
      </c>
      <c r="B411" s="51">
        <v>69.91</v>
      </c>
      <c r="C411" s="51">
        <v>59.74</v>
      </c>
      <c r="D411" s="51">
        <v>48.67</v>
      </c>
      <c r="E411" s="51">
        <v>34.36</v>
      </c>
      <c r="F411" s="51">
        <v>21.34</v>
      </c>
      <c r="G411" s="54">
        <v>67.430000000000007</v>
      </c>
      <c r="H411" s="37">
        <f t="shared" ref="H411:L411" si="2032">B411-B410</f>
        <v>0.60999999999999943</v>
      </c>
      <c r="I411" s="38">
        <f t="shared" si="2032"/>
        <v>0.66000000000000369</v>
      </c>
      <c r="J411" s="38">
        <f t="shared" si="2032"/>
        <v>0.52000000000000313</v>
      </c>
      <c r="K411" s="38">
        <f t="shared" si="2032"/>
        <v>0.71000000000000085</v>
      </c>
      <c r="L411" s="39">
        <f t="shared" si="2032"/>
        <v>0.26000000000000156</v>
      </c>
      <c r="M411" s="38"/>
      <c r="N411" s="40"/>
      <c r="O411" s="40"/>
      <c r="P411" s="40"/>
      <c r="Q411" s="40"/>
      <c r="R411" s="40"/>
      <c r="S411" s="40">
        <f t="shared" ref="S411:T411" si="2033">(B410+B411)/2</f>
        <v>69.60499999999999</v>
      </c>
      <c r="T411" s="40">
        <f t="shared" si="2033"/>
        <v>59.41</v>
      </c>
      <c r="U411" s="40">
        <f t="shared" si="1283"/>
        <v>48.41</v>
      </c>
      <c r="V411" s="40">
        <f t="shared" ref="V411:W411" si="2034">(E410+E411)/2</f>
        <v>34.004999999999995</v>
      </c>
      <c r="W411" s="40">
        <f t="shared" si="2034"/>
        <v>21.21</v>
      </c>
      <c r="X411" s="41">
        <f t="shared" ref="X411:AB411" si="2035">(SUM(B408:B411))/4</f>
        <v>69.122500000000002</v>
      </c>
      <c r="Y411" s="40">
        <f t="shared" si="2035"/>
        <v>59.085000000000008</v>
      </c>
      <c r="Z411" s="40">
        <f t="shared" si="2035"/>
        <v>48.102500000000006</v>
      </c>
      <c r="AA411" s="40">
        <f t="shared" si="2035"/>
        <v>33.575000000000003</v>
      </c>
      <c r="AB411" s="47">
        <f t="shared" si="2035"/>
        <v>20.87</v>
      </c>
      <c r="AC411" s="42">
        <f t="shared" ref="AC411:AF411" si="2036">(B411+C411)/2</f>
        <v>64.825000000000003</v>
      </c>
      <c r="AD411" s="42">
        <f t="shared" si="2036"/>
        <v>54.204999999999998</v>
      </c>
      <c r="AE411" s="42">
        <f t="shared" si="2036"/>
        <v>41.515000000000001</v>
      </c>
      <c r="AF411" s="42">
        <f t="shared" si="2036"/>
        <v>27.85</v>
      </c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8"/>
      <c r="BK411" s="8"/>
      <c r="BL411" s="8"/>
      <c r="BM411" s="8"/>
    </row>
    <row r="412" spans="1:65" ht="15.75" hidden="1" customHeight="1" x14ac:dyDescent="0.45">
      <c r="A412" s="53">
        <f t="shared" si="1280"/>
        <v>43763</v>
      </c>
      <c r="B412" s="51">
        <v>70.19</v>
      </c>
      <c r="C412" s="51">
        <v>60.06</v>
      </c>
      <c r="D412" s="51">
        <v>49.44</v>
      </c>
      <c r="E412" s="51">
        <v>35.1</v>
      </c>
      <c r="F412" s="51">
        <v>21.75</v>
      </c>
      <c r="G412" s="54">
        <v>68.34</v>
      </c>
      <c r="H412" s="37">
        <f t="shared" ref="H412:L412" si="2037">B412-B411</f>
        <v>0.28000000000000114</v>
      </c>
      <c r="I412" s="38">
        <f t="shared" si="2037"/>
        <v>0.32000000000000028</v>
      </c>
      <c r="J412" s="38">
        <f t="shared" si="2037"/>
        <v>0.76999999999999602</v>
      </c>
      <c r="K412" s="38">
        <f t="shared" si="2037"/>
        <v>0.74000000000000199</v>
      </c>
      <c r="L412" s="39">
        <f t="shared" si="2037"/>
        <v>0.41000000000000014</v>
      </c>
      <c r="M412" s="38"/>
      <c r="N412" s="40"/>
      <c r="O412" s="40"/>
      <c r="P412" s="40"/>
      <c r="Q412" s="40"/>
      <c r="R412" s="40"/>
      <c r="S412" s="40">
        <f t="shared" ref="S412:T412" si="2038">(B411+B412)/2</f>
        <v>70.05</v>
      </c>
      <c r="T412" s="40">
        <f t="shared" si="2038"/>
        <v>59.900000000000006</v>
      </c>
      <c r="U412" s="40">
        <f t="shared" si="1283"/>
        <v>49.055</v>
      </c>
      <c r="V412" s="40">
        <f t="shared" ref="V412:W412" si="2039">(E411+E412)/2</f>
        <v>34.730000000000004</v>
      </c>
      <c r="W412" s="40">
        <f t="shared" si="2039"/>
        <v>21.545000000000002</v>
      </c>
      <c r="X412" s="41">
        <f t="shared" ref="X412:AB412" si="2040">(SUM(B409:B412))/4</f>
        <v>69.54249999999999</v>
      </c>
      <c r="Y412" s="40">
        <f t="shared" si="2040"/>
        <v>59.407499999999999</v>
      </c>
      <c r="Z412" s="40">
        <f t="shared" si="2040"/>
        <v>48.53</v>
      </c>
      <c r="AA412" s="40">
        <f t="shared" si="2040"/>
        <v>34.075000000000003</v>
      </c>
      <c r="AB412" s="47">
        <f t="shared" si="2040"/>
        <v>21.1875</v>
      </c>
      <c r="AC412" s="42">
        <f t="shared" ref="AC412:AF412" si="2041">(B412+C412)/2</f>
        <v>65.125</v>
      </c>
      <c r="AD412" s="42">
        <f t="shared" si="2041"/>
        <v>54.75</v>
      </c>
      <c r="AE412" s="42">
        <f t="shared" si="2041"/>
        <v>42.269999999999996</v>
      </c>
      <c r="AF412" s="42">
        <f t="shared" si="2041"/>
        <v>28.425000000000001</v>
      </c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8"/>
      <c r="BK412" s="8"/>
      <c r="BL412" s="8"/>
      <c r="BM412" s="8"/>
    </row>
    <row r="413" spans="1:65" ht="20.25" hidden="1" customHeight="1" x14ac:dyDescent="0.45">
      <c r="A413" s="53">
        <f t="shared" si="1280"/>
        <v>43770</v>
      </c>
      <c r="B413" s="51">
        <v>70.040000000000006</v>
      </c>
      <c r="C413" s="51">
        <v>60.43</v>
      </c>
      <c r="D413" s="51">
        <v>49.57</v>
      </c>
      <c r="E413" s="51">
        <v>35.06</v>
      </c>
      <c r="F413" s="51">
        <v>22.42</v>
      </c>
      <c r="G413" s="54">
        <v>68.22</v>
      </c>
      <c r="H413" s="37">
        <f t="shared" ref="H413:L413" si="2042">B413-B412</f>
        <v>-0.14999999999999147</v>
      </c>
      <c r="I413" s="38">
        <f t="shared" si="2042"/>
        <v>0.36999999999999744</v>
      </c>
      <c r="J413" s="38">
        <f t="shared" si="2042"/>
        <v>0.13000000000000256</v>
      </c>
      <c r="K413" s="38">
        <f t="shared" si="2042"/>
        <v>-3.9999999999999147E-2</v>
      </c>
      <c r="L413" s="39">
        <f t="shared" si="2042"/>
        <v>0.67000000000000171</v>
      </c>
      <c r="M413" s="38"/>
      <c r="N413" s="40"/>
      <c r="O413" s="40"/>
      <c r="P413" s="40"/>
      <c r="Q413" s="40"/>
      <c r="R413" s="40"/>
      <c r="S413" s="40">
        <f t="shared" ref="S413:T413" si="2043">(B412+B413)/2</f>
        <v>70.115000000000009</v>
      </c>
      <c r="T413" s="40">
        <f t="shared" si="2043"/>
        <v>60.245000000000005</v>
      </c>
      <c r="U413" s="40">
        <f t="shared" si="1283"/>
        <v>49.504999999999995</v>
      </c>
      <c r="V413" s="40">
        <f t="shared" ref="V413:W413" si="2044">(E412+E413)/2</f>
        <v>35.08</v>
      </c>
      <c r="W413" s="40">
        <f t="shared" si="2044"/>
        <v>22.085000000000001</v>
      </c>
      <c r="X413" s="41">
        <f t="shared" ref="X413:AB413" si="2045">(SUM(B410:B413))/4</f>
        <v>69.86</v>
      </c>
      <c r="Y413" s="40">
        <f t="shared" si="2045"/>
        <v>59.827500000000001</v>
      </c>
      <c r="Z413" s="40">
        <f t="shared" si="2045"/>
        <v>48.957499999999996</v>
      </c>
      <c r="AA413" s="40">
        <f t="shared" si="2045"/>
        <v>34.542499999999997</v>
      </c>
      <c r="AB413" s="47">
        <f t="shared" si="2045"/>
        <v>21.647500000000001</v>
      </c>
      <c r="AC413" s="42">
        <f t="shared" ref="AC413:AF413" si="2046">(B413+C413)/2</f>
        <v>65.234999999999999</v>
      </c>
      <c r="AD413" s="42">
        <f t="shared" si="2046"/>
        <v>55</v>
      </c>
      <c r="AE413" s="42">
        <f t="shared" si="2046"/>
        <v>42.314999999999998</v>
      </c>
      <c r="AF413" s="42">
        <f t="shared" si="2046"/>
        <v>28.740000000000002</v>
      </c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8"/>
      <c r="BK413" s="8"/>
      <c r="BL413" s="8"/>
      <c r="BM413" s="8"/>
    </row>
    <row r="414" spans="1:65" ht="20.25" hidden="1" customHeight="1" x14ac:dyDescent="0.45">
      <c r="A414" s="53">
        <f t="shared" si="1280"/>
        <v>43777</v>
      </c>
      <c r="B414" s="51">
        <v>69.8</v>
      </c>
      <c r="C414" s="51">
        <v>59.97</v>
      </c>
      <c r="D414" s="51">
        <v>49.74</v>
      </c>
      <c r="E414" s="51">
        <v>34.51</v>
      </c>
      <c r="F414" s="51">
        <v>21.89</v>
      </c>
      <c r="G414" s="54">
        <v>66.78</v>
      </c>
      <c r="H414" s="37">
        <f t="shared" ref="H414:L414" si="2047">B414-B413</f>
        <v>-0.24000000000000909</v>
      </c>
      <c r="I414" s="38">
        <f t="shared" si="2047"/>
        <v>-0.46000000000000085</v>
      </c>
      <c r="J414" s="38">
        <f t="shared" si="2047"/>
        <v>0.17000000000000171</v>
      </c>
      <c r="K414" s="38">
        <f t="shared" si="2047"/>
        <v>-0.55000000000000426</v>
      </c>
      <c r="L414" s="39">
        <f t="shared" si="2047"/>
        <v>-0.53000000000000114</v>
      </c>
      <c r="M414" s="38"/>
      <c r="N414" s="40"/>
      <c r="O414" s="40"/>
      <c r="P414" s="40"/>
      <c r="Q414" s="40"/>
      <c r="R414" s="40"/>
      <c r="S414" s="40">
        <f t="shared" ref="S414:T414" si="2048">(B413+B414)/2</f>
        <v>69.92</v>
      </c>
      <c r="T414" s="40">
        <f t="shared" si="2048"/>
        <v>60.2</v>
      </c>
      <c r="U414" s="40">
        <f t="shared" si="1283"/>
        <v>49.655000000000001</v>
      </c>
      <c r="V414" s="40">
        <f t="shared" ref="V414:W414" si="2049">(E413+E414)/2</f>
        <v>34.784999999999997</v>
      </c>
      <c r="W414" s="40">
        <f t="shared" si="2049"/>
        <v>22.155000000000001</v>
      </c>
      <c r="X414" s="41">
        <f t="shared" ref="X414:AB414" si="2050">(SUM(B411:B414))/4</f>
        <v>69.984999999999999</v>
      </c>
      <c r="Y414" s="40">
        <f t="shared" si="2050"/>
        <v>60.050000000000004</v>
      </c>
      <c r="Z414" s="40">
        <f t="shared" si="2050"/>
        <v>49.355000000000004</v>
      </c>
      <c r="AA414" s="40">
        <f t="shared" si="2050"/>
        <v>34.7575</v>
      </c>
      <c r="AB414" s="47">
        <f t="shared" si="2050"/>
        <v>21.85</v>
      </c>
      <c r="AC414" s="42">
        <f t="shared" ref="AC414:AF414" si="2051">(B414+C414)/2</f>
        <v>64.884999999999991</v>
      </c>
      <c r="AD414" s="42">
        <f t="shared" si="2051"/>
        <v>54.855000000000004</v>
      </c>
      <c r="AE414" s="42">
        <f t="shared" si="2051"/>
        <v>42.125</v>
      </c>
      <c r="AF414" s="42">
        <f t="shared" si="2051"/>
        <v>28.2</v>
      </c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8"/>
      <c r="BK414" s="8"/>
      <c r="BL414" s="8"/>
      <c r="BM414" s="8"/>
    </row>
    <row r="415" spans="1:65" ht="20.25" hidden="1" customHeight="1" x14ac:dyDescent="0.45">
      <c r="A415" s="53">
        <f t="shared" si="1280"/>
        <v>43784</v>
      </c>
      <c r="B415" s="51">
        <v>69.2</v>
      </c>
      <c r="C415" s="51">
        <v>59.36</v>
      </c>
      <c r="D415" s="51">
        <v>49.19</v>
      </c>
      <c r="E415" s="51">
        <v>33.880000000000003</v>
      </c>
      <c r="F415" s="51">
        <v>21.62</v>
      </c>
      <c r="G415" s="54">
        <v>67.28</v>
      </c>
      <c r="H415" s="37">
        <f t="shared" ref="H415:L415" si="2052">B415-B414</f>
        <v>-0.59999999999999432</v>
      </c>
      <c r="I415" s="38">
        <f t="shared" si="2052"/>
        <v>-0.60999999999999943</v>
      </c>
      <c r="J415" s="38">
        <f t="shared" si="2052"/>
        <v>-0.55000000000000426</v>
      </c>
      <c r="K415" s="38">
        <f t="shared" si="2052"/>
        <v>-0.62999999999999545</v>
      </c>
      <c r="L415" s="39">
        <f t="shared" si="2052"/>
        <v>-0.26999999999999957</v>
      </c>
      <c r="M415" s="38"/>
      <c r="N415" s="40"/>
      <c r="O415" s="40"/>
      <c r="P415" s="40"/>
      <c r="Q415" s="40"/>
      <c r="R415" s="40"/>
      <c r="S415" s="40">
        <f t="shared" ref="S415:T415" si="2053">(B414+B415)/2</f>
        <v>69.5</v>
      </c>
      <c r="T415" s="40">
        <f t="shared" si="2053"/>
        <v>59.664999999999999</v>
      </c>
      <c r="U415" s="40">
        <f t="shared" si="1283"/>
        <v>49.465000000000003</v>
      </c>
      <c r="V415" s="40">
        <f t="shared" ref="V415:W415" si="2054">(E414+E415)/2</f>
        <v>34.195</v>
      </c>
      <c r="W415" s="40">
        <f t="shared" si="2054"/>
        <v>21.755000000000003</v>
      </c>
      <c r="X415" s="41">
        <f t="shared" ref="X415:AB415" si="2055">(SUM(B412:B415))/4</f>
        <v>69.807500000000005</v>
      </c>
      <c r="Y415" s="40">
        <f t="shared" si="2055"/>
        <v>59.954999999999998</v>
      </c>
      <c r="Z415" s="40">
        <f t="shared" si="2055"/>
        <v>49.484999999999999</v>
      </c>
      <c r="AA415" s="40">
        <f t="shared" si="2055"/>
        <v>34.637499999999996</v>
      </c>
      <c r="AB415" s="47">
        <f t="shared" si="2055"/>
        <v>21.92</v>
      </c>
      <c r="AC415" s="42">
        <f t="shared" ref="AC415:AF415" si="2056">(B415+C415)/2</f>
        <v>64.28</v>
      </c>
      <c r="AD415" s="42">
        <f t="shared" si="2056"/>
        <v>54.274999999999999</v>
      </c>
      <c r="AE415" s="42">
        <f t="shared" si="2056"/>
        <v>41.534999999999997</v>
      </c>
      <c r="AF415" s="42">
        <f t="shared" si="2056"/>
        <v>27.75</v>
      </c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8"/>
      <c r="BK415" s="8"/>
      <c r="BL415" s="8"/>
      <c r="BM415" s="8"/>
    </row>
    <row r="416" spans="1:65" ht="20.25" hidden="1" customHeight="1" x14ac:dyDescent="0.45">
      <c r="A416" s="53">
        <f t="shared" si="1280"/>
        <v>43791</v>
      </c>
      <c r="B416" s="51">
        <v>69.319999999999993</v>
      </c>
      <c r="C416" s="51">
        <v>59.12</v>
      </c>
      <c r="D416" s="51">
        <v>48.98</v>
      </c>
      <c r="E416" s="51">
        <v>33.520000000000003</v>
      </c>
      <c r="F416" s="51">
        <v>21.32</v>
      </c>
      <c r="G416" s="54">
        <v>68.95</v>
      </c>
      <c r="H416" s="37">
        <f t="shared" ref="H416:L416" si="2057">B416-B415</f>
        <v>0.11999999999999034</v>
      </c>
      <c r="I416" s="38">
        <f t="shared" si="2057"/>
        <v>-0.24000000000000199</v>
      </c>
      <c r="J416" s="38">
        <f t="shared" si="2057"/>
        <v>-0.21000000000000085</v>
      </c>
      <c r="K416" s="38">
        <f t="shared" si="2057"/>
        <v>-0.35999999999999943</v>
      </c>
      <c r="L416" s="39">
        <f t="shared" si="2057"/>
        <v>-0.30000000000000071</v>
      </c>
      <c r="M416" s="38"/>
      <c r="N416" s="40"/>
      <c r="O416" s="40"/>
      <c r="P416" s="40"/>
      <c r="Q416" s="40"/>
      <c r="R416" s="40"/>
      <c r="S416" s="40">
        <f t="shared" ref="S416:T416" si="2058">(B415+B416)/2</f>
        <v>69.259999999999991</v>
      </c>
      <c r="T416" s="40">
        <f t="shared" si="2058"/>
        <v>59.239999999999995</v>
      </c>
      <c r="U416" s="40">
        <f t="shared" si="1283"/>
        <v>49.084999999999994</v>
      </c>
      <c r="V416" s="40">
        <f t="shared" ref="V416:W416" si="2059">(E415+E416)/2</f>
        <v>33.700000000000003</v>
      </c>
      <c r="W416" s="40">
        <f t="shared" si="2059"/>
        <v>21.47</v>
      </c>
      <c r="X416" s="41">
        <f t="shared" ref="X416:AB416" si="2060">(SUM(B413:B416))/4</f>
        <v>69.59</v>
      </c>
      <c r="Y416" s="40">
        <f t="shared" si="2060"/>
        <v>59.72</v>
      </c>
      <c r="Z416" s="40">
        <f t="shared" si="2060"/>
        <v>49.37</v>
      </c>
      <c r="AA416" s="40">
        <f t="shared" si="2060"/>
        <v>34.2425</v>
      </c>
      <c r="AB416" s="47">
        <f t="shared" si="2060"/>
        <v>21.8125</v>
      </c>
      <c r="AC416" s="42">
        <f t="shared" ref="AC416:AF416" si="2061">(B416+C416)/2</f>
        <v>64.22</v>
      </c>
      <c r="AD416" s="42">
        <f t="shared" si="2061"/>
        <v>54.05</v>
      </c>
      <c r="AE416" s="42">
        <f t="shared" si="2061"/>
        <v>41.25</v>
      </c>
      <c r="AF416" s="42">
        <f t="shared" si="2061"/>
        <v>27.42</v>
      </c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8"/>
      <c r="BK416" s="8"/>
      <c r="BL416" s="8"/>
      <c r="BM416" s="8"/>
    </row>
    <row r="417" spans="1:65" ht="20.25" hidden="1" customHeight="1" x14ac:dyDescent="0.45">
      <c r="A417" s="53">
        <f t="shared" si="1280"/>
        <v>43798</v>
      </c>
      <c r="B417" s="51">
        <v>69.540000000000006</v>
      </c>
      <c r="C417" s="51">
        <v>59.25</v>
      </c>
      <c r="D417" s="51">
        <v>49.02</v>
      </c>
      <c r="E417" s="51">
        <v>33.71</v>
      </c>
      <c r="F417" s="51">
        <v>21.46</v>
      </c>
      <c r="G417" s="54">
        <v>67.62</v>
      </c>
      <c r="H417" s="37">
        <f t="shared" ref="H417:L417" si="2062">B417-B416</f>
        <v>0.22000000000001307</v>
      </c>
      <c r="I417" s="38">
        <f t="shared" si="2062"/>
        <v>0.13000000000000256</v>
      </c>
      <c r="J417" s="38">
        <f t="shared" si="2062"/>
        <v>4.0000000000006253E-2</v>
      </c>
      <c r="K417" s="38">
        <f t="shared" si="2062"/>
        <v>0.18999999999999773</v>
      </c>
      <c r="L417" s="39">
        <f t="shared" si="2062"/>
        <v>0.14000000000000057</v>
      </c>
      <c r="M417" s="38"/>
      <c r="N417" s="40"/>
      <c r="O417" s="40"/>
      <c r="P417" s="40"/>
      <c r="Q417" s="40"/>
      <c r="R417" s="40"/>
      <c r="S417" s="40">
        <f t="shared" ref="S417:T417" si="2063">(B416+B417)/2</f>
        <v>69.430000000000007</v>
      </c>
      <c r="T417" s="40">
        <f t="shared" si="2063"/>
        <v>59.185000000000002</v>
      </c>
      <c r="U417" s="40">
        <f t="shared" si="1283"/>
        <v>49</v>
      </c>
      <c r="V417" s="40">
        <f t="shared" ref="V417:W417" si="2064">(E416+E417)/2</f>
        <v>33.615000000000002</v>
      </c>
      <c r="W417" s="40">
        <f t="shared" si="2064"/>
        <v>21.39</v>
      </c>
      <c r="X417" s="41">
        <f t="shared" ref="X417:AB417" si="2065">(SUM(B414:B417))/4</f>
        <v>69.465000000000003</v>
      </c>
      <c r="Y417" s="40">
        <f t="shared" si="2065"/>
        <v>59.424999999999997</v>
      </c>
      <c r="Z417" s="40">
        <f t="shared" si="2065"/>
        <v>49.232500000000002</v>
      </c>
      <c r="AA417" s="40">
        <f t="shared" si="2065"/>
        <v>33.905000000000001</v>
      </c>
      <c r="AB417" s="47">
        <f t="shared" si="2065"/>
        <v>21.572500000000005</v>
      </c>
      <c r="AC417" s="42">
        <f t="shared" ref="AC417:AF417" si="2066">(B417+C417)/2</f>
        <v>64.39500000000001</v>
      </c>
      <c r="AD417" s="42">
        <f t="shared" si="2066"/>
        <v>54.135000000000005</v>
      </c>
      <c r="AE417" s="42">
        <f t="shared" si="2066"/>
        <v>41.365000000000002</v>
      </c>
      <c r="AF417" s="42">
        <f t="shared" si="2066"/>
        <v>27.585000000000001</v>
      </c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8"/>
      <c r="BK417" s="8"/>
      <c r="BL417" s="8"/>
      <c r="BM417" s="8"/>
    </row>
    <row r="418" spans="1:65" ht="20.25" hidden="1" customHeight="1" x14ac:dyDescent="0.45">
      <c r="A418" s="53">
        <f t="shared" si="1280"/>
        <v>43805</v>
      </c>
      <c r="B418" s="51">
        <v>69.31</v>
      </c>
      <c r="C418" s="51">
        <v>59.41</v>
      </c>
      <c r="D418" s="51">
        <v>49.69</v>
      </c>
      <c r="E418" s="51">
        <v>34.43</v>
      </c>
      <c r="F418" s="51">
        <v>21.67</v>
      </c>
      <c r="G418" s="54">
        <v>67.33</v>
      </c>
      <c r="H418" s="37">
        <f t="shared" ref="H418:L418" si="2067">B418-B417</f>
        <v>-0.23000000000000398</v>
      </c>
      <c r="I418" s="38">
        <f t="shared" si="2067"/>
        <v>0.15999999999999659</v>
      </c>
      <c r="J418" s="38">
        <f t="shared" si="2067"/>
        <v>0.6699999999999946</v>
      </c>
      <c r="K418" s="38">
        <f t="shared" si="2067"/>
        <v>0.71999999999999886</v>
      </c>
      <c r="L418" s="39">
        <f t="shared" si="2067"/>
        <v>0.21000000000000085</v>
      </c>
      <c r="M418" s="38"/>
      <c r="N418" s="40"/>
      <c r="O418" s="40"/>
      <c r="P418" s="40"/>
      <c r="Q418" s="40"/>
      <c r="R418" s="40"/>
      <c r="S418" s="40">
        <f t="shared" ref="S418:T418" si="2068">(B417+B418)/2</f>
        <v>69.425000000000011</v>
      </c>
      <c r="T418" s="40">
        <f t="shared" si="2068"/>
        <v>59.33</v>
      </c>
      <c r="U418" s="40">
        <f t="shared" si="1283"/>
        <v>49.355000000000004</v>
      </c>
      <c r="V418" s="40">
        <f t="shared" ref="V418:W418" si="2069">(E417+E418)/2</f>
        <v>34.07</v>
      </c>
      <c r="W418" s="40">
        <f t="shared" si="2069"/>
        <v>21.565000000000001</v>
      </c>
      <c r="X418" s="41">
        <f t="shared" ref="X418:AB418" si="2070">(SUM(B415:B418))/4</f>
        <v>69.342500000000001</v>
      </c>
      <c r="Y418" s="40">
        <f t="shared" si="2070"/>
        <v>59.284999999999997</v>
      </c>
      <c r="Z418" s="40">
        <f t="shared" si="2070"/>
        <v>49.22</v>
      </c>
      <c r="AA418" s="40">
        <f t="shared" si="2070"/>
        <v>33.885000000000005</v>
      </c>
      <c r="AB418" s="47">
        <f t="shared" si="2070"/>
        <v>21.517500000000002</v>
      </c>
      <c r="AC418" s="42">
        <f t="shared" ref="AC418:AF418" si="2071">(B418+C418)/2</f>
        <v>64.36</v>
      </c>
      <c r="AD418" s="42">
        <f t="shared" si="2071"/>
        <v>54.55</v>
      </c>
      <c r="AE418" s="42">
        <f t="shared" si="2071"/>
        <v>42.06</v>
      </c>
      <c r="AF418" s="42">
        <f t="shared" si="2071"/>
        <v>28.05</v>
      </c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8"/>
      <c r="BK418" s="8"/>
      <c r="BL418" s="8"/>
      <c r="BM418" s="8"/>
    </row>
    <row r="419" spans="1:65" ht="20.25" hidden="1" customHeight="1" x14ac:dyDescent="0.45">
      <c r="A419" s="53">
        <f t="shared" si="1280"/>
        <v>43812</v>
      </c>
      <c r="B419" s="51">
        <v>69.28</v>
      </c>
      <c r="C419" s="51">
        <v>59.32</v>
      </c>
      <c r="D419" s="51">
        <v>49.57</v>
      </c>
      <c r="E419" s="51">
        <v>34.520000000000003</v>
      </c>
      <c r="F419" s="51">
        <v>21.61</v>
      </c>
      <c r="G419" s="54">
        <v>66.31</v>
      </c>
      <c r="H419" s="37">
        <f t="shared" ref="H419:L419" si="2072">B419-B418</f>
        <v>-3.0000000000001137E-2</v>
      </c>
      <c r="I419" s="38">
        <f t="shared" si="2072"/>
        <v>-8.9999999999996305E-2</v>
      </c>
      <c r="J419" s="38">
        <f t="shared" si="2072"/>
        <v>-0.11999999999999744</v>
      </c>
      <c r="K419" s="38">
        <f t="shared" si="2072"/>
        <v>9.0000000000003411E-2</v>
      </c>
      <c r="L419" s="39">
        <f t="shared" si="2072"/>
        <v>-6.0000000000002274E-2</v>
      </c>
      <c r="M419" s="38"/>
      <c r="N419" s="40"/>
      <c r="O419" s="40"/>
      <c r="P419" s="40"/>
      <c r="Q419" s="40"/>
      <c r="R419" s="40"/>
      <c r="S419" s="40">
        <f t="shared" ref="S419:T419" si="2073">(B418+B419)/2</f>
        <v>69.295000000000002</v>
      </c>
      <c r="T419" s="40">
        <f t="shared" si="2073"/>
        <v>59.364999999999995</v>
      </c>
      <c r="U419" s="40">
        <f t="shared" si="1283"/>
        <v>49.629999999999995</v>
      </c>
      <c r="V419" s="40">
        <f t="shared" ref="V419:W419" si="2074">(E418+E419)/2</f>
        <v>34.475000000000001</v>
      </c>
      <c r="W419" s="40">
        <f t="shared" si="2074"/>
        <v>21.64</v>
      </c>
      <c r="X419" s="41">
        <f t="shared" ref="X419:AB419" si="2075">(SUM(B416:B419))/4</f>
        <v>69.362500000000011</v>
      </c>
      <c r="Y419" s="40">
        <f t="shared" si="2075"/>
        <v>59.274999999999999</v>
      </c>
      <c r="Z419" s="40">
        <f t="shared" si="2075"/>
        <v>49.314999999999998</v>
      </c>
      <c r="AA419" s="40">
        <f t="shared" si="2075"/>
        <v>34.045000000000002</v>
      </c>
      <c r="AB419" s="47">
        <f t="shared" si="2075"/>
        <v>21.515000000000001</v>
      </c>
      <c r="AC419" s="42">
        <f t="shared" ref="AC419:AF419" si="2076">(B419+C419)/2</f>
        <v>64.3</v>
      </c>
      <c r="AD419" s="42">
        <f t="shared" si="2076"/>
        <v>54.445</v>
      </c>
      <c r="AE419" s="42">
        <f t="shared" si="2076"/>
        <v>42.045000000000002</v>
      </c>
      <c r="AF419" s="42">
        <f t="shared" si="2076"/>
        <v>28.065000000000001</v>
      </c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8"/>
      <c r="BK419" s="8"/>
      <c r="BL419" s="8"/>
      <c r="BM419" s="8"/>
    </row>
    <row r="420" spans="1:65" ht="20.25" hidden="1" customHeight="1" x14ac:dyDescent="0.45">
      <c r="A420" s="53">
        <f t="shared" si="1280"/>
        <v>43819</v>
      </c>
      <c r="B420" s="51">
        <v>69.05</v>
      </c>
      <c r="C420" s="51">
        <v>59.22</v>
      </c>
      <c r="D420" s="51">
        <v>49.43</v>
      </c>
      <c r="E420" s="51">
        <v>34.159999999999997</v>
      </c>
      <c r="F420" s="51">
        <v>21.48</v>
      </c>
      <c r="G420" s="54">
        <v>66.5</v>
      </c>
      <c r="H420" s="37">
        <f t="shared" ref="H420:L420" si="2077">B420-B419</f>
        <v>-0.23000000000000398</v>
      </c>
      <c r="I420" s="38">
        <f t="shared" si="2077"/>
        <v>-0.10000000000000142</v>
      </c>
      <c r="J420" s="38">
        <f t="shared" si="2077"/>
        <v>-0.14000000000000057</v>
      </c>
      <c r="K420" s="38">
        <f t="shared" si="2077"/>
        <v>-0.36000000000000654</v>
      </c>
      <c r="L420" s="39">
        <f t="shared" si="2077"/>
        <v>-0.12999999999999901</v>
      </c>
      <c r="M420" s="38"/>
      <c r="N420" s="40"/>
      <c r="O420" s="40"/>
      <c r="P420" s="40"/>
      <c r="Q420" s="40"/>
      <c r="R420" s="40"/>
      <c r="S420" s="40">
        <f t="shared" ref="S420:T420" si="2078">(B419+B420)/2</f>
        <v>69.164999999999992</v>
      </c>
      <c r="T420" s="40">
        <f t="shared" si="2078"/>
        <v>59.269999999999996</v>
      </c>
      <c r="U420" s="40">
        <f t="shared" si="1283"/>
        <v>49.5</v>
      </c>
      <c r="V420" s="40">
        <f t="shared" ref="V420:W420" si="2079">(E419+E420)/2</f>
        <v>34.340000000000003</v>
      </c>
      <c r="W420" s="40">
        <f t="shared" si="2079"/>
        <v>21.545000000000002</v>
      </c>
      <c r="X420" s="41">
        <f t="shared" ref="X420:AB420" si="2080">(SUM(B417:B420))/4</f>
        <v>69.295000000000002</v>
      </c>
      <c r="Y420" s="40">
        <f t="shared" si="2080"/>
        <v>59.3</v>
      </c>
      <c r="Z420" s="40">
        <f t="shared" si="2080"/>
        <v>49.427500000000002</v>
      </c>
      <c r="AA420" s="40">
        <f t="shared" si="2080"/>
        <v>34.204999999999998</v>
      </c>
      <c r="AB420" s="47">
        <f t="shared" si="2080"/>
        <v>21.555000000000003</v>
      </c>
      <c r="AC420" s="42">
        <f t="shared" ref="AC420:AF420" si="2081">(B420+C420)/2</f>
        <v>64.134999999999991</v>
      </c>
      <c r="AD420" s="42">
        <f t="shared" si="2081"/>
        <v>54.325000000000003</v>
      </c>
      <c r="AE420" s="42">
        <f t="shared" si="2081"/>
        <v>41.795000000000002</v>
      </c>
      <c r="AF420" s="42">
        <f t="shared" si="2081"/>
        <v>27.82</v>
      </c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8"/>
      <c r="BK420" s="8"/>
      <c r="BL420" s="8"/>
      <c r="BM420" s="8"/>
    </row>
    <row r="421" spans="1:65" ht="20.25" hidden="1" customHeight="1" x14ac:dyDescent="0.45">
      <c r="A421" s="53">
        <f t="shared" si="1280"/>
        <v>43826</v>
      </c>
      <c r="B421" s="51">
        <v>68.89</v>
      </c>
      <c r="C421" s="51">
        <v>59.17</v>
      </c>
      <c r="D421" s="51">
        <v>49.17</v>
      </c>
      <c r="E421" s="51">
        <v>33.83</v>
      </c>
      <c r="F421" s="51">
        <v>21.43</v>
      </c>
      <c r="G421" s="54">
        <v>66.19</v>
      </c>
      <c r="H421" s="37">
        <f t="shared" ref="H421:L421" si="2082">B421-B420</f>
        <v>-0.15999999999999659</v>
      </c>
      <c r="I421" s="38">
        <f t="shared" si="2082"/>
        <v>-4.9999999999997158E-2</v>
      </c>
      <c r="J421" s="38">
        <f t="shared" si="2082"/>
        <v>-0.25999999999999801</v>
      </c>
      <c r="K421" s="38">
        <f t="shared" si="2082"/>
        <v>-0.32999999999999829</v>
      </c>
      <c r="L421" s="39">
        <f t="shared" si="2082"/>
        <v>-5.0000000000000711E-2</v>
      </c>
      <c r="M421" s="38"/>
      <c r="N421" s="40"/>
      <c r="O421" s="40"/>
      <c r="P421" s="40"/>
      <c r="Q421" s="40"/>
      <c r="R421" s="40"/>
      <c r="S421" s="40">
        <f t="shared" ref="S421:T421" si="2083">(B420+B421)/2</f>
        <v>68.97</v>
      </c>
      <c r="T421" s="40">
        <f t="shared" si="2083"/>
        <v>59.195</v>
      </c>
      <c r="U421" s="40">
        <f t="shared" si="1283"/>
        <v>49.3</v>
      </c>
      <c r="V421" s="40">
        <f t="shared" ref="V421:W421" si="2084">(E420+E421)/2</f>
        <v>33.994999999999997</v>
      </c>
      <c r="W421" s="40">
        <f t="shared" si="2084"/>
        <v>21.454999999999998</v>
      </c>
      <c r="X421" s="41">
        <f t="shared" ref="X421:AB421" si="2085">(SUM(B418:B421))/4</f>
        <v>69.132499999999993</v>
      </c>
      <c r="Y421" s="40">
        <f t="shared" si="2085"/>
        <v>59.28</v>
      </c>
      <c r="Z421" s="40">
        <f t="shared" si="2085"/>
        <v>49.465000000000003</v>
      </c>
      <c r="AA421" s="40">
        <f t="shared" si="2085"/>
        <v>34.234999999999999</v>
      </c>
      <c r="AB421" s="47">
        <f t="shared" si="2085"/>
        <v>21.547499999999999</v>
      </c>
      <c r="AC421" s="42">
        <f t="shared" ref="AC421:AF421" si="2086">(B421+C421)/2</f>
        <v>64.03</v>
      </c>
      <c r="AD421" s="42">
        <f t="shared" si="2086"/>
        <v>54.17</v>
      </c>
      <c r="AE421" s="42">
        <f t="shared" si="2086"/>
        <v>41.5</v>
      </c>
      <c r="AF421" s="42">
        <f t="shared" si="2086"/>
        <v>27.63</v>
      </c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8"/>
      <c r="BK421" s="8"/>
      <c r="BL421" s="8"/>
      <c r="BM421" s="8"/>
    </row>
    <row r="422" spans="1:65" ht="30" hidden="1" customHeight="1" x14ac:dyDescent="0.45">
      <c r="A422" s="55">
        <f t="shared" si="1280"/>
        <v>43833</v>
      </c>
      <c r="B422" s="56">
        <v>68.42</v>
      </c>
      <c r="C422" s="56">
        <v>58.8</v>
      </c>
      <c r="D422" s="56">
        <v>49.01</v>
      </c>
      <c r="E422" s="56">
        <v>33.770000000000003</v>
      </c>
      <c r="F422" s="56">
        <v>21.25</v>
      </c>
      <c r="G422" s="56">
        <v>64.8</v>
      </c>
      <c r="H422" s="51">
        <f t="shared" ref="H422:M422" si="2087">B422-B421</f>
        <v>-0.46999999999999886</v>
      </c>
      <c r="I422" s="51">
        <f t="shared" si="2087"/>
        <v>-0.37000000000000455</v>
      </c>
      <c r="J422" s="51">
        <f t="shared" si="2087"/>
        <v>-0.16000000000000369</v>
      </c>
      <c r="K422" s="51">
        <f t="shared" si="2087"/>
        <v>-5.9999999999995168E-2</v>
      </c>
      <c r="L422" s="51">
        <f t="shared" si="2087"/>
        <v>-0.17999999999999972</v>
      </c>
      <c r="M422" s="42">
        <f t="shared" si="2087"/>
        <v>-1.3900000000000006</v>
      </c>
      <c r="N422" s="51">
        <f t="shared" ref="N422:R422" si="2088">AVERAGE(B422:B426)</f>
        <v>69.036000000000001</v>
      </c>
      <c r="O422" s="51">
        <f t="shared" si="2088"/>
        <v>59.692000000000007</v>
      </c>
      <c r="P422" s="51">
        <f t="shared" si="2088"/>
        <v>49.678000000000004</v>
      </c>
      <c r="Q422" s="51">
        <f t="shared" si="2088"/>
        <v>34.808</v>
      </c>
      <c r="R422" s="51">
        <f t="shared" si="2088"/>
        <v>21.607999999999997</v>
      </c>
      <c r="S422" s="51">
        <f t="shared" ref="S422:T422" si="2089">(B421+B422)/2</f>
        <v>68.655000000000001</v>
      </c>
      <c r="T422" s="51">
        <f t="shared" si="2089"/>
        <v>58.984999999999999</v>
      </c>
      <c r="U422" s="51">
        <f t="shared" si="1283"/>
        <v>49.09</v>
      </c>
      <c r="V422" s="51">
        <f t="shared" ref="V422:W422" si="2090">(E421+E422)/2</f>
        <v>33.799999999999997</v>
      </c>
      <c r="W422" s="51">
        <f t="shared" si="2090"/>
        <v>21.34</v>
      </c>
      <c r="X422" s="51">
        <f t="shared" ref="X422:AB422" si="2091">(SUM(B419:B422))/4</f>
        <v>68.91</v>
      </c>
      <c r="Y422" s="51">
        <f t="shared" si="2091"/>
        <v>59.127499999999998</v>
      </c>
      <c r="Z422" s="51">
        <f t="shared" si="2091"/>
        <v>49.295000000000002</v>
      </c>
      <c r="AA422" s="51">
        <f t="shared" si="2091"/>
        <v>34.07</v>
      </c>
      <c r="AB422" s="51">
        <f t="shared" si="2091"/>
        <v>21.442500000000003</v>
      </c>
      <c r="AC422" s="51">
        <f t="shared" ref="AC422:AF422" si="2092">(B422+C422)/2</f>
        <v>63.61</v>
      </c>
      <c r="AD422" s="51">
        <f t="shared" si="2092"/>
        <v>53.905000000000001</v>
      </c>
      <c r="AE422" s="51">
        <f t="shared" si="2092"/>
        <v>41.39</v>
      </c>
      <c r="AF422" s="51">
        <f t="shared" si="2092"/>
        <v>27.51</v>
      </c>
      <c r="AG422" s="57"/>
      <c r="AH422" s="57"/>
      <c r="AI422" s="57"/>
      <c r="AJ422" s="57"/>
      <c r="AK422" s="51">
        <f t="shared" ref="AK422:AK676" si="2093">((V422+W422)/2)-5.35</f>
        <v>22.22</v>
      </c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8"/>
      <c r="BK422" s="8"/>
      <c r="BL422" s="8"/>
      <c r="BM422" s="8"/>
    </row>
    <row r="423" spans="1:65" ht="30" hidden="1" customHeight="1" x14ac:dyDescent="0.45">
      <c r="A423" s="55">
        <f t="shared" si="1280"/>
        <v>43840</v>
      </c>
      <c r="B423" s="56">
        <v>68.78</v>
      </c>
      <c r="C423" s="56">
        <v>59.48</v>
      </c>
      <c r="D423" s="56">
        <v>49.39</v>
      </c>
      <c r="E423" s="56">
        <v>34.270000000000003</v>
      </c>
      <c r="F423" s="56">
        <v>21.27</v>
      </c>
      <c r="G423" s="56">
        <v>68.67</v>
      </c>
      <c r="H423" s="51">
        <f t="shared" ref="H423:M423" si="2094">B423-B422</f>
        <v>0.35999999999999943</v>
      </c>
      <c r="I423" s="51">
        <f t="shared" si="2094"/>
        <v>0.67999999999999972</v>
      </c>
      <c r="J423" s="51">
        <f t="shared" si="2094"/>
        <v>0.38000000000000256</v>
      </c>
      <c r="K423" s="51">
        <f t="shared" si="2094"/>
        <v>0.5</v>
      </c>
      <c r="L423" s="51">
        <f t="shared" si="2094"/>
        <v>1.9999999999999574E-2</v>
      </c>
      <c r="M423" s="42">
        <f t="shared" si="2094"/>
        <v>3.8700000000000045</v>
      </c>
      <c r="N423" s="51">
        <f t="shared" ref="N423:R423" si="2095">N422</f>
        <v>69.036000000000001</v>
      </c>
      <c r="O423" s="51">
        <f t="shared" si="2095"/>
        <v>59.692000000000007</v>
      </c>
      <c r="P423" s="51">
        <f t="shared" si="2095"/>
        <v>49.678000000000004</v>
      </c>
      <c r="Q423" s="51">
        <f t="shared" si="2095"/>
        <v>34.808</v>
      </c>
      <c r="R423" s="51">
        <f t="shared" si="2095"/>
        <v>21.607999999999997</v>
      </c>
      <c r="S423" s="51">
        <f t="shared" ref="S423:T423" si="2096">(B422+B423)/2</f>
        <v>68.599999999999994</v>
      </c>
      <c r="T423" s="51">
        <f t="shared" si="2096"/>
        <v>59.14</v>
      </c>
      <c r="U423" s="51">
        <f t="shared" si="1283"/>
        <v>49.2</v>
      </c>
      <c r="V423" s="51">
        <f t="shared" ref="V423:W423" si="2097">(E422+E423)/2</f>
        <v>34.020000000000003</v>
      </c>
      <c r="W423" s="51">
        <f t="shared" si="2097"/>
        <v>21.259999999999998</v>
      </c>
      <c r="X423" s="51">
        <f t="shared" ref="X423:AB423" si="2098">(SUM(B420:B423))/4</f>
        <v>68.784999999999997</v>
      </c>
      <c r="Y423" s="51">
        <f t="shared" si="2098"/>
        <v>59.167499999999997</v>
      </c>
      <c r="Z423" s="51">
        <f t="shared" si="2098"/>
        <v>49.25</v>
      </c>
      <c r="AA423" s="51">
        <f t="shared" si="2098"/>
        <v>34.0075</v>
      </c>
      <c r="AB423" s="51">
        <f t="shared" si="2098"/>
        <v>21.357499999999998</v>
      </c>
      <c r="AC423" s="51">
        <f t="shared" ref="AC423:AF423" si="2099">(B423+C423)/2</f>
        <v>64.13</v>
      </c>
      <c r="AD423" s="51">
        <f t="shared" si="2099"/>
        <v>54.435000000000002</v>
      </c>
      <c r="AE423" s="51">
        <f t="shared" si="2099"/>
        <v>41.83</v>
      </c>
      <c r="AF423" s="51">
        <f t="shared" si="2099"/>
        <v>27.770000000000003</v>
      </c>
      <c r="AG423" s="57"/>
      <c r="AH423" s="57"/>
      <c r="AI423" s="57"/>
      <c r="AJ423" s="57"/>
      <c r="AK423" s="51">
        <f t="shared" si="2093"/>
        <v>22.29</v>
      </c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8"/>
      <c r="BK423" s="8"/>
      <c r="BL423" s="8"/>
      <c r="BM423" s="8"/>
    </row>
    <row r="424" spans="1:65" ht="30" hidden="1" customHeight="1" x14ac:dyDescent="0.45">
      <c r="A424" s="55">
        <f t="shared" si="1280"/>
        <v>43847</v>
      </c>
      <c r="B424" s="56">
        <v>69.25</v>
      </c>
      <c r="C424" s="56">
        <v>59.94</v>
      </c>
      <c r="D424" s="56">
        <v>49.58</v>
      </c>
      <c r="E424" s="56">
        <v>35.08</v>
      </c>
      <c r="F424" s="56">
        <v>21.77</v>
      </c>
      <c r="G424" s="56">
        <v>73.78</v>
      </c>
      <c r="H424" s="51">
        <f t="shared" ref="H424:M424" si="2100">B424-B423</f>
        <v>0.46999999999999886</v>
      </c>
      <c r="I424" s="51">
        <f t="shared" si="2100"/>
        <v>0.46000000000000085</v>
      </c>
      <c r="J424" s="51">
        <f t="shared" si="2100"/>
        <v>0.18999999999999773</v>
      </c>
      <c r="K424" s="51">
        <f t="shared" si="2100"/>
        <v>0.80999999999999517</v>
      </c>
      <c r="L424" s="51">
        <f t="shared" si="2100"/>
        <v>0.5</v>
      </c>
      <c r="M424" s="42">
        <f t="shared" si="2100"/>
        <v>5.1099999999999994</v>
      </c>
      <c r="N424" s="51">
        <f t="shared" ref="N424:R424" si="2101">N423</f>
        <v>69.036000000000001</v>
      </c>
      <c r="O424" s="51">
        <f t="shared" si="2101"/>
        <v>59.692000000000007</v>
      </c>
      <c r="P424" s="51">
        <f t="shared" si="2101"/>
        <v>49.678000000000004</v>
      </c>
      <c r="Q424" s="51">
        <f t="shared" si="2101"/>
        <v>34.808</v>
      </c>
      <c r="R424" s="51">
        <f t="shared" si="2101"/>
        <v>21.607999999999997</v>
      </c>
      <c r="S424" s="51">
        <f t="shared" ref="S424:T424" si="2102">(B423+B424)/2</f>
        <v>69.015000000000001</v>
      </c>
      <c r="T424" s="51">
        <f t="shared" si="2102"/>
        <v>59.709999999999994</v>
      </c>
      <c r="U424" s="51">
        <f t="shared" si="1283"/>
        <v>49.484999999999999</v>
      </c>
      <c r="V424" s="51">
        <f t="shared" ref="V424:W424" si="2103">(E423+E424)/2</f>
        <v>34.674999999999997</v>
      </c>
      <c r="W424" s="51">
        <f t="shared" si="2103"/>
        <v>21.52</v>
      </c>
      <c r="X424" s="51">
        <f t="shared" ref="X424:AB424" si="2104">(SUM(B421:B424))/4</f>
        <v>68.835000000000008</v>
      </c>
      <c r="Y424" s="51">
        <f t="shared" si="2104"/>
        <v>59.347499999999997</v>
      </c>
      <c r="Z424" s="51">
        <f t="shared" si="2104"/>
        <v>49.287499999999994</v>
      </c>
      <c r="AA424" s="51">
        <f t="shared" si="2104"/>
        <v>34.237499999999997</v>
      </c>
      <c r="AB424" s="51">
        <f t="shared" si="2104"/>
        <v>21.43</v>
      </c>
      <c r="AC424" s="51">
        <f t="shared" ref="AC424:AF424" si="2105">(B424+C424)/2</f>
        <v>64.594999999999999</v>
      </c>
      <c r="AD424" s="51">
        <f t="shared" si="2105"/>
        <v>54.76</v>
      </c>
      <c r="AE424" s="51">
        <f t="shared" si="2105"/>
        <v>42.33</v>
      </c>
      <c r="AF424" s="51">
        <f t="shared" si="2105"/>
        <v>28.424999999999997</v>
      </c>
      <c r="AG424" s="57"/>
      <c r="AH424" s="57"/>
      <c r="AI424" s="57"/>
      <c r="AJ424" s="57"/>
      <c r="AK424" s="51">
        <f t="shared" si="2093"/>
        <v>22.747499999999995</v>
      </c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8"/>
      <c r="BK424" s="8"/>
      <c r="BL424" s="8"/>
      <c r="BM424" s="8"/>
    </row>
    <row r="425" spans="1:65" ht="30" hidden="1" customHeight="1" x14ac:dyDescent="0.45">
      <c r="A425" s="55">
        <f t="shared" si="1280"/>
        <v>43854</v>
      </c>
      <c r="B425" s="56">
        <v>69.75</v>
      </c>
      <c r="C425" s="56">
        <v>60.4</v>
      </c>
      <c r="D425" s="56">
        <v>50.23</v>
      </c>
      <c r="E425" s="56">
        <v>35.44</v>
      </c>
      <c r="F425" s="56">
        <v>21.91</v>
      </c>
      <c r="G425" s="56">
        <v>68.45</v>
      </c>
      <c r="H425" s="51">
        <f t="shared" ref="H425:M425" si="2106">B425-B424</f>
        <v>0.5</v>
      </c>
      <c r="I425" s="51">
        <f t="shared" si="2106"/>
        <v>0.46000000000000085</v>
      </c>
      <c r="J425" s="51">
        <f t="shared" si="2106"/>
        <v>0.64999999999999858</v>
      </c>
      <c r="K425" s="51">
        <f t="shared" si="2106"/>
        <v>0.35999999999999943</v>
      </c>
      <c r="L425" s="51">
        <f t="shared" si="2106"/>
        <v>0.14000000000000057</v>
      </c>
      <c r="M425" s="42">
        <f t="shared" si="2106"/>
        <v>-5.3299999999999983</v>
      </c>
      <c r="N425" s="51">
        <f t="shared" ref="N425:R425" si="2107">N424</f>
        <v>69.036000000000001</v>
      </c>
      <c r="O425" s="51">
        <f t="shared" si="2107"/>
        <v>59.692000000000007</v>
      </c>
      <c r="P425" s="51">
        <f t="shared" si="2107"/>
        <v>49.678000000000004</v>
      </c>
      <c r="Q425" s="51">
        <f t="shared" si="2107"/>
        <v>34.808</v>
      </c>
      <c r="R425" s="51">
        <f t="shared" si="2107"/>
        <v>21.607999999999997</v>
      </c>
      <c r="S425" s="51">
        <f t="shared" ref="S425:T425" si="2108">(B424+B425)/2</f>
        <v>69.5</v>
      </c>
      <c r="T425" s="51">
        <f t="shared" si="2108"/>
        <v>60.17</v>
      </c>
      <c r="U425" s="51">
        <f t="shared" si="1283"/>
        <v>49.905000000000001</v>
      </c>
      <c r="V425" s="51">
        <f t="shared" ref="V425:W425" si="2109">(E424+E425)/2</f>
        <v>35.26</v>
      </c>
      <c r="W425" s="51">
        <f t="shared" si="2109"/>
        <v>21.84</v>
      </c>
      <c r="X425" s="51">
        <f t="shared" ref="X425:AB425" si="2110">(SUM(B422:B425))/4</f>
        <v>69.05</v>
      </c>
      <c r="Y425" s="51">
        <f t="shared" si="2110"/>
        <v>59.655000000000001</v>
      </c>
      <c r="Z425" s="51">
        <f t="shared" si="2110"/>
        <v>49.552500000000002</v>
      </c>
      <c r="AA425" s="51">
        <f t="shared" si="2110"/>
        <v>34.64</v>
      </c>
      <c r="AB425" s="51">
        <f t="shared" si="2110"/>
        <v>21.549999999999997</v>
      </c>
      <c r="AC425" s="51">
        <f t="shared" ref="AC425:AF425" si="2111">(B425+C425)/2</f>
        <v>65.075000000000003</v>
      </c>
      <c r="AD425" s="51">
        <f t="shared" si="2111"/>
        <v>55.314999999999998</v>
      </c>
      <c r="AE425" s="51">
        <f t="shared" si="2111"/>
        <v>42.834999999999994</v>
      </c>
      <c r="AF425" s="51">
        <f t="shared" si="2111"/>
        <v>28.674999999999997</v>
      </c>
      <c r="AG425" s="57"/>
      <c r="AH425" s="57"/>
      <c r="AI425" s="57"/>
      <c r="AJ425" s="57"/>
      <c r="AK425" s="51">
        <f t="shared" si="2093"/>
        <v>23.199999999999996</v>
      </c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8"/>
      <c r="BK425" s="8"/>
      <c r="BL425" s="8"/>
      <c r="BM425" s="8"/>
    </row>
    <row r="426" spans="1:65" ht="30" hidden="1" customHeight="1" x14ac:dyDescent="0.45">
      <c r="A426" s="55">
        <f t="shared" si="1280"/>
        <v>43861</v>
      </c>
      <c r="B426" s="56">
        <v>68.98</v>
      </c>
      <c r="C426" s="56">
        <v>59.84</v>
      </c>
      <c r="D426" s="56">
        <v>50.18</v>
      </c>
      <c r="E426" s="56">
        <v>35.479999999999997</v>
      </c>
      <c r="F426" s="56">
        <v>21.84</v>
      </c>
      <c r="G426" s="56">
        <v>66.83</v>
      </c>
      <c r="H426" s="51">
        <f t="shared" ref="H426:M426" si="2112">B426-B425</f>
        <v>-0.76999999999999602</v>
      </c>
      <c r="I426" s="51">
        <f t="shared" si="2112"/>
        <v>-0.55999999999999517</v>
      </c>
      <c r="J426" s="51">
        <f t="shared" si="2112"/>
        <v>-4.9999999999997158E-2</v>
      </c>
      <c r="K426" s="51">
        <f t="shared" si="2112"/>
        <v>3.9999999999999147E-2</v>
      </c>
      <c r="L426" s="51">
        <f t="shared" si="2112"/>
        <v>-7.0000000000000284E-2</v>
      </c>
      <c r="M426" s="42">
        <f t="shared" si="2112"/>
        <v>-1.6200000000000045</v>
      </c>
      <c r="N426" s="51">
        <f t="shared" ref="N426:R426" si="2113">N425</f>
        <v>69.036000000000001</v>
      </c>
      <c r="O426" s="51">
        <f t="shared" si="2113"/>
        <v>59.692000000000007</v>
      </c>
      <c r="P426" s="51">
        <f t="shared" si="2113"/>
        <v>49.678000000000004</v>
      </c>
      <c r="Q426" s="51">
        <f t="shared" si="2113"/>
        <v>34.808</v>
      </c>
      <c r="R426" s="51">
        <f t="shared" si="2113"/>
        <v>21.607999999999997</v>
      </c>
      <c r="S426" s="51">
        <f t="shared" ref="S426:T426" si="2114">(B425+B426)/2</f>
        <v>69.365000000000009</v>
      </c>
      <c r="T426" s="51">
        <f t="shared" si="2114"/>
        <v>60.120000000000005</v>
      </c>
      <c r="U426" s="51">
        <f t="shared" si="1283"/>
        <v>50.204999999999998</v>
      </c>
      <c r="V426" s="51">
        <f t="shared" ref="V426:W426" si="2115">(E425+E426)/2</f>
        <v>35.459999999999994</v>
      </c>
      <c r="W426" s="51">
        <f t="shared" si="2115"/>
        <v>21.875</v>
      </c>
      <c r="X426" s="51">
        <f t="shared" ref="X426:AB426" si="2116">(SUM(B423:B426))/4</f>
        <v>69.19</v>
      </c>
      <c r="Y426" s="51">
        <f t="shared" si="2116"/>
        <v>59.914999999999999</v>
      </c>
      <c r="Z426" s="51">
        <f t="shared" si="2116"/>
        <v>49.844999999999999</v>
      </c>
      <c r="AA426" s="51">
        <f t="shared" si="2116"/>
        <v>35.067499999999995</v>
      </c>
      <c r="AB426" s="51">
        <f t="shared" si="2116"/>
        <v>21.697500000000002</v>
      </c>
      <c r="AC426" s="51">
        <f t="shared" ref="AC426:AF426" si="2117">(B426+C426)/2</f>
        <v>64.41</v>
      </c>
      <c r="AD426" s="51">
        <f t="shared" si="2117"/>
        <v>55.010000000000005</v>
      </c>
      <c r="AE426" s="51">
        <f t="shared" si="2117"/>
        <v>42.83</v>
      </c>
      <c r="AF426" s="51">
        <f t="shared" si="2117"/>
        <v>28.659999999999997</v>
      </c>
      <c r="AG426" s="57"/>
      <c r="AH426" s="57"/>
      <c r="AI426" s="57"/>
      <c r="AJ426" s="57"/>
      <c r="AK426" s="51">
        <f t="shared" si="2093"/>
        <v>23.317499999999995</v>
      </c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8"/>
      <c r="BK426" s="8"/>
      <c r="BL426" s="8"/>
      <c r="BM426" s="8"/>
    </row>
    <row r="427" spans="1:65" ht="30" hidden="1" customHeight="1" x14ac:dyDescent="0.45">
      <c r="A427" s="55">
        <f t="shared" si="1280"/>
        <v>43868</v>
      </c>
      <c r="B427" s="56">
        <v>69.56</v>
      </c>
      <c r="C427" s="56">
        <v>60.84</v>
      </c>
      <c r="D427" s="56">
        <v>51.45</v>
      </c>
      <c r="E427" s="56">
        <v>36.4</v>
      </c>
      <c r="F427" s="56">
        <v>22.16</v>
      </c>
      <c r="G427" s="56">
        <v>66.86</v>
      </c>
      <c r="H427" s="51">
        <f t="shared" ref="H427:M427" si="2118">B427-B426</f>
        <v>0.57999999999999829</v>
      </c>
      <c r="I427" s="51">
        <f t="shared" si="2118"/>
        <v>1</v>
      </c>
      <c r="J427" s="51">
        <f t="shared" si="2118"/>
        <v>1.2700000000000031</v>
      </c>
      <c r="K427" s="51">
        <f t="shared" si="2118"/>
        <v>0.92000000000000171</v>
      </c>
      <c r="L427" s="51">
        <f t="shared" si="2118"/>
        <v>0.32000000000000028</v>
      </c>
      <c r="M427" s="42">
        <f t="shared" si="2118"/>
        <v>3.0000000000001137E-2</v>
      </c>
      <c r="N427" s="51">
        <f t="shared" ref="N427:R427" si="2119">AVERAGE(B427:B430)</f>
        <v>69.599999999999994</v>
      </c>
      <c r="O427" s="51">
        <f t="shared" si="2119"/>
        <v>60.992500000000007</v>
      </c>
      <c r="P427" s="51">
        <f t="shared" si="2119"/>
        <v>51.275000000000006</v>
      </c>
      <c r="Q427" s="51">
        <f t="shared" si="2119"/>
        <v>35.952500000000001</v>
      </c>
      <c r="R427" s="51">
        <f t="shared" si="2119"/>
        <v>22.447500000000002</v>
      </c>
      <c r="S427" s="51">
        <f t="shared" ref="S427:T427" si="2120">(B426+B427)/2</f>
        <v>69.27000000000001</v>
      </c>
      <c r="T427" s="51">
        <f t="shared" si="2120"/>
        <v>60.34</v>
      </c>
      <c r="U427" s="51">
        <f t="shared" si="1283"/>
        <v>50.814999999999998</v>
      </c>
      <c r="V427" s="51">
        <f t="shared" ref="V427:W427" si="2121">(E426+E427)/2</f>
        <v>35.94</v>
      </c>
      <c r="W427" s="51">
        <f t="shared" si="2121"/>
        <v>22</v>
      </c>
      <c r="X427" s="51">
        <f t="shared" ref="X427:AB427" si="2122">(SUM(B424:B427))/4</f>
        <v>69.385000000000005</v>
      </c>
      <c r="Y427" s="51">
        <f t="shared" si="2122"/>
        <v>60.255000000000003</v>
      </c>
      <c r="Z427" s="51">
        <f t="shared" si="2122"/>
        <v>50.36</v>
      </c>
      <c r="AA427" s="51">
        <f t="shared" si="2122"/>
        <v>35.6</v>
      </c>
      <c r="AB427" s="51">
        <f t="shared" si="2122"/>
        <v>21.919999999999998</v>
      </c>
      <c r="AC427" s="51">
        <f t="shared" ref="AC427:AF427" si="2123">(B427+C427)/2</f>
        <v>65.2</v>
      </c>
      <c r="AD427" s="51">
        <f t="shared" si="2123"/>
        <v>56.145000000000003</v>
      </c>
      <c r="AE427" s="51">
        <f t="shared" si="2123"/>
        <v>43.924999999999997</v>
      </c>
      <c r="AF427" s="51">
        <f t="shared" si="2123"/>
        <v>29.28</v>
      </c>
      <c r="AG427" s="57"/>
      <c r="AH427" s="57"/>
      <c r="AI427" s="57"/>
      <c r="AJ427" s="57"/>
      <c r="AK427" s="51">
        <f t="shared" si="2093"/>
        <v>23.619999999999997</v>
      </c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8"/>
      <c r="BK427" s="8"/>
      <c r="BL427" s="8"/>
      <c r="BM427" s="8"/>
    </row>
    <row r="428" spans="1:65" ht="30" hidden="1" customHeight="1" x14ac:dyDescent="0.45">
      <c r="A428" s="55">
        <f t="shared" si="1280"/>
        <v>43875</v>
      </c>
      <c r="B428" s="56">
        <v>69.77</v>
      </c>
      <c r="C428" s="56">
        <v>61.05</v>
      </c>
      <c r="D428" s="56">
        <v>51.68</v>
      </c>
      <c r="E428" s="56">
        <v>36.67</v>
      </c>
      <c r="F428" s="56">
        <v>22.46</v>
      </c>
      <c r="G428" s="56">
        <v>69.319999999999993</v>
      </c>
      <c r="H428" s="51">
        <f t="shared" ref="H428:M428" si="2124">B428-B427</f>
        <v>0.20999999999999375</v>
      </c>
      <c r="I428" s="51">
        <f t="shared" si="2124"/>
        <v>0.20999999999999375</v>
      </c>
      <c r="J428" s="51">
        <f t="shared" si="2124"/>
        <v>0.22999999999999687</v>
      </c>
      <c r="K428" s="51">
        <f t="shared" si="2124"/>
        <v>0.27000000000000313</v>
      </c>
      <c r="L428" s="51">
        <f t="shared" si="2124"/>
        <v>0.30000000000000071</v>
      </c>
      <c r="M428" s="42">
        <f t="shared" si="2124"/>
        <v>2.4599999999999937</v>
      </c>
      <c r="N428" s="51">
        <f t="shared" ref="N428:R428" si="2125">N427</f>
        <v>69.599999999999994</v>
      </c>
      <c r="O428" s="51">
        <f t="shared" si="2125"/>
        <v>60.992500000000007</v>
      </c>
      <c r="P428" s="51">
        <f t="shared" si="2125"/>
        <v>51.275000000000006</v>
      </c>
      <c r="Q428" s="51">
        <f t="shared" si="2125"/>
        <v>35.952500000000001</v>
      </c>
      <c r="R428" s="51">
        <f t="shared" si="2125"/>
        <v>22.447500000000002</v>
      </c>
      <c r="S428" s="51">
        <f t="shared" ref="S428:T428" si="2126">(B427+B428)/2</f>
        <v>69.664999999999992</v>
      </c>
      <c r="T428" s="51">
        <f t="shared" si="2126"/>
        <v>60.945</v>
      </c>
      <c r="U428" s="51">
        <f t="shared" si="1283"/>
        <v>51.564999999999998</v>
      </c>
      <c r="V428" s="51">
        <f t="shared" ref="V428:W428" si="2127">(E427+E428)/2</f>
        <v>36.534999999999997</v>
      </c>
      <c r="W428" s="51">
        <f t="shared" si="2127"/>
        <v>22.310000000000002</v>
      </c>
      <c r="X428" s="51">
        <f t="shared" ref="X428:AB428" si="2128">(SUM(B425:B428))/4</f>
        <v>69.515000000000001</v>
      </c>
      <c r="Y428" s="51">
        <f t="shared" si="2128"/>
        <v>60.532499999999999</v>
      </c>
      <c r="Z428" s="51">
        <f t="shared" si="2128"/>
        <v>50.885000000000005</v>
      </c>
      <c r="AA428" s="51">
        <f t="shared" si="2128"/>
        <v>35.997500000000002</v>
      </c>
      <c r="AB428" s="51">
        <f t="shared" si="2128"/>
        <v>22.092500000000001</v>
      </c>
      <c r="AC428" s="51">
        <f t="shared" ref="AC428:AF428" si="2129">(B428+C428)/2</f>
        <v>65.41</v>
      </c>
      <c r="AD428" s="51">
        <f t="shared" si="2129"/>
        <v>56.364999999999995</v>
      </c>
      <c r="AE428" s="51">
        <f t="shared" si="2129"/>
        <v>44.174999999999997</v>
      </c>
      <c r="AF428" s="51">
        <f t="shared" si="2129"/>
        <v>29.565000000000001</v>
      </c>
      <c r="AG428" s="57"/>
      <c r="AH428" s="57"/>
      <c r="AI428" s="57"/>
      <c r="AJ428" s="57"/>
      <c r="AK428" s="51">
        <f t="shared" si="2093"/>
        <v>24.072499999999998</v>
      </c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8"/>
      <c r="BK428" s="8"/>
      <c r="BL428" s="8"/>
      <c r="BM428" s="8"/>
    </row>
    <row r="429" spans="1:65" ht="30" hidden="1" customHeight="1" x14ac:dyDescent="0.45">
      <c r="A429" s="55">
        <f t="shared" si="1280"/>
        <v>43882</v>
      </c>
      <c r="B429" s="56">
        <v>69.88</v>
      </c>
      <c r="C429" s="56">
        <v>61.13</v>
      </c>
      <c r="D429" s="56">
        <v>51.27</v>
      </c>
      <c r="E429" s="56">
        <v>35.92</v>
      </c>
      <c r="F429" s="56">
        <v>22.39</v>
      </c>
      <c r="G429" s="56">
        <v>68.209999999999994</v>
      </c>
      <c r="H429" s="51">
        <f t="shared" ref="H429:M429" si="2130">B429-B428</f>
        <v>0.10999999999999943</v>
      </c>
      <c r="I429" s="51">
        <f t="shared" si="2130"/>
        <v>8.00000000000054E-2</v>
      </c>
      <c r="J429" s="51">
        <f t="shared" si="2130"/>
        <v>-0.40999999999999659</v>
      </c>
      <c r="K429" s="51">
        <f t="shared" si="2130"/>
        <v>-0.75</v>
      </c>
      <c r="L429" s="51">
        <f t="shared" si="2130"/>
        <v>-7.0000000000000284E-2</v>
      </c>
      <c r="M429" s="42">
        <f t="shared" si="2130"/>
        <v>-1.1099999999999994</v>
      </c>
      <c r="N429" s="51">
        <f t="shared" ref="N429:R429" si="2131">N428</f>
        <v>69.599999999999994</v>
      </c>
      <c r="O429" s="51">
        <f t="shared" si="2131"/>
        <v>60.992500000000007</v>
      </c>
      <c r="P429" s="51">
        <f t="shared" si="2131"/>
        <v>51.275000000000006</v>
      </c>
      <c r="Q429" s="51">
        <f t="shared" si="2131"/>
        <v>35.952500000000001</v>
      </c>
      <c r="R429" s="51">
        <f t="shared" si="2131"/>
        <v>22.447500000000002</v>
      </c>
      <c r="S429" s="51">
        <f t="shared" ref="S429:T429" si="2132">(B428+B429)/2</f>
        <v>69.824999999999989</v>
      </c>
      <c r="T429" s="51">
        <f t="shared" si="2132"/>
        <v>61.09</v>
      </c>
      <c r="U429" s="51">
        <f t="shared" si="1283"/>
        <v>51.475000000000001</v>
      </c>
      <c r="V429" s="51">
        <f t="shared" ref="V429:W429" si="2133">(E428+E429)/2</f>
        <v>36.295000000000002</v>
      </c>
      <c r="W429" s="51">
        <f t="shared" si="2133"/>
        <v>22.425000000000001</v>
      </c>
      <c r="X429" s="51">
        <f t="shared" ref="X429:AB429" si="2134">(SUM(B426:B429))/4</f>
        <v>69.547499999999999</v>
      </c>
      <c r="Y429" s="51">
        <f t="shared" si="2134"/>
        <v>60.715000000000003</v>
      </c>
      <c r="Z429" s="51">
        <f t="shared" si="2134"/>
        <v>51.145000000000003</v>
      </c>
      <c r="AA429" s="51">
        <f t="shared" si="2134"/>
        <v>36.1175</v>
      </c>
      <c r="AB429" s="51">
        <f t="shared" si="2134"/>
        <v>22.212500000000002</v>
      </c>
      <c r="AC429" s="51">
        <f t="shared" ref="AC429:AF429" si="2135">(B429+C429)/2</f>
        <v>65.504999999999995</v>
      </c>
      <c r="AD429" s="51">
        <f t="shared" si="2135"/>
        <v>56.2</v>
      </c>
      <c r="AE429" s="51">
        <f t="shared" si="2135"/>
        <v>43.594999999999999</v>
      </c>
      <c r="AF429" s="51">
        <f t="shared" si="2135"/>
        <v>29.155000000000001</v>
      </c>
      <c r="AG429" s="57"/>
      <c r="AH429" s="57"/>
      <c r="AI429" s="57"/>
      <c r="AJ429" s="57"/>
      <c r="AK429" s="51">
        <f t="shared" si="2093"/>
        <v>24.009999999999998</v>
      </c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8"/>
      <c r="BK429" s="8"/>
      <c r="BL429" s="8"/>
      <c r="BM429" s="8"/>
    </row>
    <row r="430" spans="1:65" ht="30" hidden="1" customHeight="1" x14ac:dyDescent="0.45">
      <c r="A430" s="55">
        <f t="shared" si="1280"/>
        <v>43889</v>
      </c>
      <c r="B430" s="56">
        <v>69.19</v>
      </c>
      <c r="C430" s="56">
        <v>60.95</v>
      </c>
      <c r="D430" s="56">
        <v>50.7</v>
      </c>
      <c r="E430" s="56">
        <v>34.82</v>
      </c>
      <c r="F430" s="56">
        <v>22.78</v>
      </c>
      <c r="G430" s="56">
        <v>66.77</v>
      </c>
      <c r="H430" s="51">
        <f t="shared" ref="H430:M430" si="2136">B430-B429</f>
        <v>-0.68999999999999773</v>
      </c>
      <c r="I430" s="51">
        <f t="shared" si="2136"/>
        <v>-0.17999999999999972</v>
      </c>
      <c r="J430" s="51">
        <f t="shared" si="2136"/>
        <v>-0.57000000000000028</v>
      </c>
      <c r="K430" s="51">
        <f t="shared" si="2136"/>
        <v>-1.1000000000000014</v>
      </c>
      <c r="L430" s="51">
        <f t="shared" si="2136"/>
        <v>0.39000000000000057</v>
      </c>
      <c r="M430" s="42">
        <f t="shared" si="2136"/>
        <v>-1.4399999999999977</v>
      </c>
      <c r="N430" s="51">
        <f t="shared" ref="N430:R430" si="2137">N429</f>
        <v>69.599999999999994</v>
      </c>
      <c r="O430" s="51">
        <f t="shared" si="2137"/>
        <v>60.992500000000007</v>
      </c>
      <c r="P430" s="51">
        <f t="shared" si="2137"/>
        <v>51.275000000000006</v>
      </c>
      <c r="Q430" s="51">
        <f t="shared" si="2137"/>
        <v>35.952500000000001</v>
      </c>
      <c r="R430" s="51">
        <f t="shared" si="2137"/>
        <v>22.447500000000002</v>
      </c>
      <c r="S430" s="51">
        <f t="shared" ref="S430:T430" si="2138">(B429+B430)/2</f>
        <v>69.534999999999997</v>
      </c>
      <c r="T430" s="51">
        <f t="shared" si="2138"/>
        <v>61.040000000000006</v>
      </c>
      <c r="U430" s="51">
        <f t="shared" si="1283"/>
        <v>50.984999999999999</v>
      </c>
      <c r="V430" s="51">
        <f t="shared" ref="V430:W430" si="2139">(E429+E430)/2</f>
        <v>35.370000000000005</v>
      </c>
      <c r="W430" s="51">
        <f t="shared" si="2139"/>
        <v>22.585000000000001</v>
      </c>
      <c r="X430" s="51">
        <f t="shared" ref="X430:AB430" si="2140">(SUM(B427:B430))/4</f>
        <v>69.599999999999994</v>
      </c>
      <c r="Y430" s="51">
        <f t="shared" si="2140"/>
        <v>60.992500000000007</v>
      </c>
      <c r="Z430" s="51">
        <f t="shared" si="2140"/>
        <v>51.275000000000006</v>
      </c>
      <c r="AA430" s="51">
        <f t="shared" si="2140"/>
        <v>35.952500000000001</v>
      </c>
      <c r="AB430" s="51">
        <f t="shared" si="2140"/>
        <v>22.447500000000002</v>
      </c>
      <c r="AC430" s="51">
        <f t="shared" ref="AC430:AF430" si="2141">(B430+C430)/2</f>
        <v>65.069999999999993</v>
      </c>
      <c r="AD430" s="51">
        <f t="shared" si="2141"/>
        <v>55.825000000000003</v>
      </c>
      <c r="AE430" s="51">
        <f t="shared" si="2141"/>
        <v>42.760000000000005</v>
      </c>
      <c r="AF430" s="51">
        <f t="shared" si="2141"/>
        <v>28.8</v>
      </c>
      <c r="AG430" s="57"/>
      <c r="AH430" s="57"/>
      <c r="AI430" s="57"/>
      <c r="AJ430" s="57"/>
      <c r="AK430" s="51">
        <f t="shared" si="2093"/>
        <v>23.627500000000005</v>
      </c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8"/>
      <c r="BK430" s="8"/>
      <c r="BL430" s="8"/>
      <c r="BM430" s="8"/>
    </row>
    <row r="431" spans="1:65" ht="30" hidden="1" customHeight="1" x14ac:dyDescent="0.45">
      <c r="A431" s="55">
        <f t="shared" si="1280"/>
        <v>43896</v>
      </c>
      <c r="B431" s="56">
        <v>68.75</v>
      </c>
      <c r="C431" s="56">
        <v>60.44</v>
      </c>
      <c r="D431" s="56">
        <v>49.15</v>
      </c>
      <c r="E431" s="56">
        <v>33.79</v>
      </c>
      <c r="F431" s="56">
        <v>21.92</v>
      </c>
      <c r="G431" s="56">
        <v>65.989999999999995</v>
      </c>
      <c r="H431" s="51">
        <f t="shared" ref="H431:M431" si="2142">B431-B430</f>
        <v>-0.43999999999999773</v>
      </c>
      <c r="I431" s="51">
        <f t="shared" si="2142"/>
        <v>-0.51000000000000512</v>
      </c>
      <c r="J431" s="51">
        <f t="shared" si="2142"/>
        <v>-1.5500000000000043</v>
      </c>
      <c r="K431" s="51">
        <f t="shared" si="2142"/>
        <v>-1.0300000000000011</v>
      </c>
      <c r="L431" s="51">
        <f t="shared" si="2142"/>
        <v>-0.85999999999999943</v>
      </c>
      <c r="M431" s="42">
        <f t="shared" si="2142"/>
        <v>-0.78000000000000114</v>
      </c>
      <c r="N431" s="51">
        <f t="shared" ref="N431:R431" si="2143">AVERAGE(B431:B434)</f>
        <v>67.752499999999998</v>
      </c>
      <c r="O431" s="51">
        <f t="shared" si="2143"/>
        <v>59.032499999999999</v>
      </c>
      <c r="P431" s="51">
        <f t="shared" si="2143"/>
        <v>47.245000000000005</v>
      </c>
      <c r="Q431" s="51">
        <f t="shared" si="2143"/>
        <v>32.475000000000001</v>
      </c>
      <c r="R431" s="51">
        <f t="shared" si="2143"/>
        <v>21.465000000000003</v>
      </c>
      <c r="S431" s="51">
        <f t="shared" ref="S431:T431" si="2144">(B430+B431)/2</f>
        <v>68.97</v>
      </c>
      <c r="T431" s="51">
        <f t="shared" si="2144"/>
        <v>60.695</v>
      </c>
      <c r="U431" s="51">
        <f t="shared" si="1283"/>
        <v>49.924999999999997</v>
      </c>
      <c r="V431" s="51">
        <f t="shared" ref="V431:W431" si="2145">(E430+E431)/2</f>
        <v>34.305</v>
      </c>
      <c r="W431" s="51">
        <f t="shared" si="2145"/>
        <v>22.35</v>
      </c>
      <c r="X431" s="51">
        <f t="shared" ref="X431:AB431" si="2146">(SUM(B428:B431))/4</f>
        <v>69.397499999999994</v>
      </c>
      <c r="Y431" s="51">
        <f t="shared" si="2146"/>
        <v>60.892499999999998</v>
      </c>
      <c r="Z431" s="51">
        <f t="shared" si="2146"/>
        <v>50.7</v>
      </c>
      <c r="AA431" s="51">
        <f t="shared" si="2146"/>
        <v>35.299999999999997</v>
      </c>
      <c r="AB431" s="51">
        <f t="shared" si="2146"/>
        <v>22.387499999999999</v>
      </c>
      <c r="AC431" s="51">
        <f t="shared" ref="AC431:AF431" si="2147">(B431+C431)/2</f>
        <v>64.594999999999999</v>
      </c>
      <c r="AD431" s="51">
        <f t="shared" si="2147"/>
        <v>54.795000000000002</v>
      </c>
      <c r="AE431" s="51">
        <f t="shared" si="2147"/>
        <v>41.47</v>
      </c>
      <c r="AF431" s="51">
        <f t="shared" si="2147"/>
        <v>27.855</v>
      </c>
      <c r="AG431" s="57"/>
      <c r="AH431" s="57"/>
      <c r="AI431" s="57"/>
      <c r="AJ431" s="57"/>
      <c r="AK431" s="51">
        <f t="shared" si="2093"/>
        <v>22.977499999999999</v>
      </c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8"/>
      <c r="BK431" s="8"/>
      <c r="BL431" s="8"/>
      <c r="BM431" s="8"/>
    </row>
    <row r="432" spans="1:65" ht="30" hidden="1" customHeight="1" x14ac:dyDescent="0.45">
      <c r="A432" s="55">
        <f t="shared" si="1280"/>
        <v>43903</v>
      </c>
      <c r="B432" s="56">
        <v>68.13</v>
      </c>
      <c r="C432" s="56">
        <v>59.51</v>
      </c>
      <c r="D432" s="56">
        <v>47.8</v>
      </c>
      <c r="E432" s="56">
        <v>32.770000000000003</v>
      </c>
      <c r="F432" s="56">
        <v>21.56</v>
      </c>
      <c r="G432" s="56">
        <v>65.42</v>
      </c>
      <c r="H432" s="51">
        <f t="shared" ref="H432:M432" si="2148">B432-B431</f>
        <v>-0.62000000000000455</v>
      </c>
      <c r="I432" s="51">
        <f t="shared" si="2148"/>
        <v>-0.92999999999999972</v>
      </c>
      <c r="J432" s="51">
        <f t="shared" si="2148"/>
        <v>-1.3500000000000014</v>
      </c>
      <c r="K432" s="51">
        <f t="shared" si="2148"/>
        <v>-1.019999999999996</v>
      </c>
      <c r="L432" s="51">
        <f t="shared" si="2148"/>
        <v>-0.36000000000000298</v>
      </c>
      <c r="M432" s="42">
        <f t="shared" si="2148"/>
        <v>-0.56999999999999318</v>
      </c>
      <c r="N432" s="51">
        <f t="shared" ref="N432:R432" si="2149">N431</f>
        <v>67.752499999999998</v>
      </c>
      <c r="O432" s="51">
        <f t="shared" si="2149"/>
        <v>59.032499999999999</v>
      </c>
      <c r="P432" s="51">
        <f t="shared" si="2149"/>
        <v>47.245000000000005</v>
      </c>
      <c r="Q432" s="51">
        <f t="shared" si="2149"/>
        <v>32.475000000000001</v>
      </c>
      <c r="R432" s="51">
        <f t="shared" si="2149"/>
        <v>21.465000000000003</v>
      </c>
      <c r="S432" s="51">
        <f t="shared" ref="S432:T432" si="2150">(B431+B432)/2</f>
        <v>68.44</v>
      </c>
      <c r="T432" s="51">
        <f t="shared" si="2150"/>
        <v>59.974999999999994</v>
      </c>
      <c r="U432" s="51">
        <f t="shared" si="1283"/>
        <v>48.474999999999994</v>
      </c>
      <c r="V432" s="51">
        <f t="shared" ref="V432:W432" si="2151">(E431+E432)/2</f>
        <v>33.28</v>
      </c>
      <c r="W432" s="51">
        <f t="shared" si="2151"/>
        <v>21.740000000000002</v>
      </c>
      <c r="X432" s="51">
        <f t="shared" ref="X432:AB432" si="2152">(SUM(B429:B432))/4</f>
        <v>68.987499999999997</v>
      </c>
      <c r="Y432" s="51">
        <f t="shared" si="2152"/>
        <v>60.5075</v>
      </c>
      <c r="Z432" s="51">
        <f t="shared" si="2152"/>
        <v>49.730000000000004</v>
      </c>
      <c r="AA432" s="51">
        <f t="shared" si="2152"/>
        <v>34.325000000000003</v>
      </c>
      <c r="AB432" s="51">
        <f t="shared" si="2152"/>
        <v>22.162500000000001</v>
      </c>
      <c r="AC432" s="51">
        <f t="shared" ref="AC432:AF432" si="2153">(B432+C432)/2</f>
        <v>63.819999999999993</v>
      </c>
      <c r="AD432" s="51">
        <f t="shared" si="2153"/>
        <v>53.655000000000001</v>
      </c>
      <c r="AE432" s="51">
        <f t="shared" si="2153"/>
        <v>40.284999999999997</v>
      </c>
      <c r="AF432" s="51">
        <f t="shared" si="2153"/>
        <v>27.164999999999999</v>
      </c>
      <c r="AG432" s="57"/>
      <c r="AH432" s="57"/>
      <c r="AI432" s="57"/>
      <c r="AJ432" s="57"/>
      <c r="AK432" s="51">
        <f t="shared" si="2093"/>
        <v>22.160000000000004</v>
      </c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8"/>
      <c r="BK432" s="8"/>
      <c r="BL432" s="8"/>
      <c r="BM432" s="8"/>
    </row>
    <row r="433" spans="1:65" ht="30" hidden="1" customHeight="1" x14ac:dyDescent="0.45">
      <c r="A433" s="55">
        <f t="shared" si="1280"/>
        <v>43910</v>
      </c>
      <c r="B433" s="56">
        <v>67.400000000000006</v>
      </c>
      <c r="C433" s="56">
        <v>58.53</v>
      </c>
      <c r="D433" s="56">
        <v>46.61</v>
      </c>
      <c r="E433" s="56">
        <v>31.84</v>
      </c>
      <c r="F433" s="56">
        <v>21.31</v>
      </c>
      <c r="G433" s="56">
        <v>66.569999999999993</v>
      </c>
      <c r="H433" s="51">
        <f t="shared" ref="H433:M433" si="2154">B433-B432</f>
        <v>-0.72999999999998977</v>
      </c>
      <c r="I433" s="51">
        <f t="shared" si="2154"/>
        <v>-0.97999999999999687</v>
      </c>
      <c r="J433" s="51">
        <f t="shared" si="2154"/>
        <v>-1.1899999999999977</v>
      </c>
      <c r="K433" s="51">
        <f t="shared" si="2154"/>
        <v>-0.93000000000000327</v>
      </c>
      <c r="L433" s="51">
        <f t="shared" si="2154"/>
        <v>-0.25</v>
      </c>
      <c r="M433" s="42">
        <f t="shared" si="2154"/>
        <v>1.1499999999999915</v>
      </c>
      <c r="N433" s="51">
        <f t="shared" ref="N433:R433" si="2155">N432</f>
        <v>67.752499999999998</v>
      </c>
      <c r="O433" s="51">
        <f t="shared" si="2155"/>
        <v>59.032499999999999</v>
      </c>
      <c r="P433" s="51">
        <f t="shared" si="2155"/>
        <v>47.245000000000005</v>
      </c>
      <c r="Q433" s="51">
        <f t="shared" si="2155"/>
        <v>32.475000000000001</v>
      </c>
      <c r="R433" s="51">
        <f t="shared" si="2155"/>
        <v>21.465000000000003</v>
      </c>
      <c r="S433" s="51">
        <f t="shared" ref="S433:T433" si="2156">(B432+B433)/2</f>
        <v>67.765000000000001</v>
      </c>
      <c r="T433" s="51">
        <f t="shared" si="2156"/>
        <v>59.019999999999996</v>
      </c>
      <c r="U433" s="51">
        <f t="shared" si="1283"/>
        <v>47.204999999999998</v>
      </c>
      <c r="V433" s="51">
        <f t="shared" ref="V433:W433" si="2157">(E432+E433)/2</f>
        <v>32.305</v>
      </c>
      <c r="W433" s="51">
        <f t="shared" si="2157"/>
        <v>21.434999999999999</v>
      </c>
      <c r="X433" s="51">
        <f t="shared" ref="X433:AB433" si="2158">(SUM(B430:B433))/4</f>
        <v>68.367500000000007</v>
      </c>
      <c r="Y433" s="51">
        <f t="shared" si="2158"/>
        <v>59.857500000000002</v>
      </c>
      <c r="Z433" s="51">
        <f t="shared" si="2158"/>
        <v>48.564999999999998</v>
      </c>
      <c r="AA433" s="51">
        <f t="shared" si="2158"/>
        <v>33.305</v>
      </c>
      <c r="AB433" s="51">
        <f t="shared" si="2158"/>
        <v>21.892500000000002</v>
      </c>
      <c r="AC433" s="51">
        <f t="shared" ref="AC433:AF433" si="2159">(B433+C433)/2</f>
        <v>62.965000000000003</v>
      </c>
      <c r="AD433" s="51">
        <f t="shared" si="2159"/>
        <v>52.57</v>
      </c>
      <c r="AE433" s="51">
        <f t="shared" si="2159"/>
        <v>39.225000000000001</v>
      </c>
      <c r="AF433" s="51">
        <f t="shared" si="2159"/>
        <v>26.574999999999999</v>
      </c>
      <c r="AG433" s="57"/>
      <c r="AH433" s="57"/>
      <c r="AI433" s="57"/>
      <c r="AJ433" s="57"/>
      <c r="AK433" s="51">
        <f t="shared" si="2093"/>
        <v>21.519999999999996</v>
      </c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8"/>
      <c r="BK433" s="8"/>
      <c r="BL433" s="8"/>
      <c r="BM433" s="8"/>
    </row>
    <row r="434" spans="1:65" ht="30" hidden="1" customHeight="1" x14ac:dyDescent="0.45">
      <c r="A434" s="55">
        <f t="shared" si="1280"/>
        <v>43917</v>
      </c>
      <c r="B434" s="56">
        <v>66.73</v>
      </c>
      <c r="C434" s="56">
        <v>57.65</v>
      </c>
      <c r="D434" s="56">
        <v>45.42</v>
      </c>
      <c r="E434" s="56">
        <v>31.5</v>
      </c>
      <c r="F434" s="56">
        <v>21.07</v>
      </c>
      <c r="G434" s="56">
        <v>68.37</v>
      </c>
      <c r="H434" s="51">
        <f t="shared" ref="H434:M434" si="2160">B434-B433</f>
        <v>-0.67000000000000171</v>
      </c>
      <c r="I434" s="51">
        <f t="shared" si="2160"/>
        <v>-0.88000000000000256</v>
      </c>
      <c r="J434" s="51">
        <f t="shared" si="2160"/>
        <v>-1.1899999999999977</v>
      </c>
      <c r="K434" s="51">
        <f t="shared" si="2160"/>
        <v>-0.33999999999999986</v>
      </c>
      <c r="L434" s="51">
        <f t="shared" si="2160"/>
        <v>-0.23999999999999844</v>
      </c>
      <c r="M434" s="42">
        <f t="shared" si="2160"/>
        <v>1.8000000000000114</v>
      </c>
      <c r="N434" s="51">
        <f t="shared" ref="N434:R434" si="2161">N433</f>
        <v>67.752499999999998</v>
      </c>
      <c r="O434" s="51">
        <f t="shared" si="2161"/>
        <v>59.032499999999999</v>
      </c>
      <c r="P434" s="51">
        <f t="shared" si="2161"/>
        <v>47.245000000000005</v>
      </c>
      <c r="Q434" s="51">
        <f t="shared" si="2161"/>
        <v>32.475000000000001</v>
      </c>
      <c r="R434" s="51">
        <f t="shared" si="2161"/>
        <v>21.465000000000003</v>
      </c>
      <c r="S434" s="51">
        <f t="shared" ref="S434:T434" si="2162">(B433+B434)/2</f>
        <v>67.064999999999998</v>
      </c>
      <c r="T434" s="51">
        <f t="shared" si="2162"/>
        <v>58.09</v>
      </c>
      <c r="U434" s="51">
        <f t="shared" si="1283"/>
        <v>46.015000000000001</v>
      </c>
      <c r="V434" s="51">
        <f t="shared" ref="V434:W434" si="2163">(E433+E434)/2</f>
        <v>31.67</v>
      </c>
      <c r="W434" s="51">
        <f t="shared" si="2163"/>
        <v>21.189999999999998</v>
      </c>
      <c r="X434" s="51">
        <f t="shared" ref="X434:AB434" si="2164">(SUM(B431:B434))/4</f>
        <v>67.752499999999998</v>
      </c>
      <c r="Y434" s="51">
        <f t="shared" si="2164"/>
        <v>59.032499999999999</v>
      </c>
      <c r="Z434" s="51">
        <f t="shared" si="2164"/>
        <v>47.245000000000005</v>
      </c>
      <c r="AA434" s="51">
        <f t="shared" si="2164"/>
        <v>32.475000000000001</v>
      </c>
      <c r="AB434" s="51">
        <f t="shared" si="2164"/>
        <v>21.465000000000003</v>
      </c>
      <c r="AC434" s="51">
        <f t="shared" ref="AC434:AF434" si="2165">(B434+C434)/2</f>
        <v>62.19</v>
      </c>
      <c r="AD434" s="51">
        <f t="shared" si="2165"/>
        <v>51.534999999999997</v>
      </c>
      <c r="AE434" s="51">
        <f t="shared" si="2165"/>
        <v>38.46</v>
      </c>
      <c r="AF434" s="51">
        <f t="shared" si="2165"/>
        <v>26.285</v>
      </c>
      <c r="AG434" s="57"/>
      <c r="AH434" s="57"/>
      <c r="AI434" s="57"/>
      <c r="AJ434" s="57"/>
      <c r="AK434" s="51">
        <f t="shared" si="2093"/>
        <v>21.08</v>
      </c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8"/>
      <c r="BK434" s="8"/>
      <c r="BL434" s="8"/>
      <c r="BM434" s="8"/>
    </row>
    <row r="435" spans="1:65" ht="30" hidden="1" customHeight="1" x14ac:dyDescent="0.45">
      <c r="A435" s="55">
        <f t="shared" si="1280"/>
        <v>43924</v>
      </c>
      <c r="B435" s="56">
        <v>66.52</v>
      </c>
      <c r="C435" s="56">
        <v>56.51</v>
      </c>
      <c r="D435" s="56">
        <v>44.49</v>
      </c>
      <c r="E435" s="56">
        <v>30.83</v>
      </c>
      <c r="F435" s="56">
        <v>20.78</v>
      </c>
      <c r="G435" s="56">
        <v>68.33</v>
      </c>
      <c r="H435" s="51">
        <f t="shared" ref="H435:M435" si="2166">B435-B434</f>
        <v>-0.21000000000000796</v>
      </c>
      <c r="I435" s="51">
        <f t="shared" si="2166"/>
        <v>-1.1400000000000006</v>
      </c>
      <c r="J435" s="51">
        <f t="shared" si="2166"/>
        <v>-0.92999999999999972</v>
      </c>
      <c r="K435" s="51">
        <f t="shared" si="2166"/>
        <v>-0.67000000000000171</v>
      </c>
      <c r="L435" s="51">
        <f t="shared" si="2166"/>
        <v>-0.28999999999999915</v>
      </c>
      <c r="M435" s="42">
        <f t="shared" si="2166"/>
        <v>-4.0000000000006253E-2</v>
      </c>
      <c r="N435" s="51">
        <f t="shared" ref="N435:R435" si="2167">AVERAGE(B435:B438)</f>
        <v>63.45</v>
      </c>
      <c r="O435" s="51">
        <f t="shared" si="2167"/>
        <v>54.292499999999997</v>
      </c>
      <c r="P435" s="51">
        <f t="shared" si="2167"/>
        <v>42.407499999999999</v>
      </c>
      <c r="Q435" s="51">
        <f t="shared" si="2167"/>
        <v>28.857500000000002</v>
      </c>
      <c r="R435" s="51">
        <f t="shared" si="2167"/>
        <v>19.754999999999999</v>
      </c>
      <c r="S435" s="51">
        <f t="shared" ref="S435:T435" si="2168">(B434+B435)/2</f>
        <v>66.625</v>
      </c>
      <c r="T435" s="51">
        <f t="shared" si="2168"/>
        <v>57.08</v>
      </c>
      <c r="U435" s="51">
        <f t="shared" si="1283"/>
        <v>44.954999999999998</v>
      </c>
      <c r="V435" s="51">
        <f t="shared" ref="V435:W435" si="2169">(E434+E435)/2</f>
        <v>31.164999999999999</v>
      </c>
      <c r="W435" s="51">
        <f t="shared" si="2169"/>
        <v>20.925000000000001</v>
      </c>
      <c r="X435" s="51">
        <f t="shared" ref="X435:AB435" si="2170">(SUM(B432:B435))/4</f>
        <v>67.194999999999993</v>
      </c>
      <c r="Y435" s="51">
        <f t="shared" si="2170"/>
        <v>58.05</v>
      </c>
      <c r="Z435" s="51">
        <f t="shared" si="2170"/>
        <v>46.08</v>
      </c>
      <c r="AA435" s="51">
        <f t="shared" si="2170"/>
        <v>31.734999999999999</v>
      </c>
      <c r="AB435" s="51">
        <f t="shared" si="2170"/>
        <v>21.18</v>
      </c>
      <c r="AC435" s="51">
        <f t="shared" ref="AC435:AF435" si="2171">(B435+C435)/2</f>
        <v>61.515000000000001</v>
      </c>
      <c r="AD435" s="51">
        <f t="shared" si="2171"/>
        <v>50.5</v>
      </c>
      <c r="AE435" s="51">
        <f t="shared" si="2171"/>
        <v>37.659999999999997</v>
      </c>
      <c r="AF435" s="51">
        <f t="shared" si="2171"/>
        <v>25.805</v>
      </c>
      <c r="AG435" s="57"/>
      <c r="AH435" s="57"/>
      <c r="AI435" s="57"/>
      <c r="AJ435" s="57"/>
      <c r="AK435" s="51">
        <f t="shared" si="2093"/>
        <v>20.695</v>
      </c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8"/>
      <c r="BK435" s="8"/>
      <c r="BL435" s="8"/>
      <c r="BM435" s="8"/>
    </row>
    <row r="436" spans="1:65" ht="30" hidden="1" customHeight="1" x14ac:dyDescent="0.45">
      <c r="A436" s="55">
        <f t="shared" si="1280"/>
        <v>43931</v>
      </c>
      <c r="B436" s="56">
        <v>65.41</v>
      </c>
      <c r="C436" s="56">
        <v>56.04</v>
      </c>
      <c r="D436" s="56">
        <v>43.68</v>
      </c>
      <c r="E436" s="56">
        <v>30.34</v>
      </c>
      <c r="F436" s="56">
        <v>20.46</v>
      </c>
      <c r="G436" s="56">
        <v>63.54</v>
      </c>
      <c r="H436" s="51">
        <f t="shared" ref="H436:M436" si="2172">B436-B435</f>
        <v>-1.1099999999999994</v>
      </c>
      <c r="I436" s="51">
        <f t="shared" si="2172"/>
        <v>-0.46999999999999886</v>
      </c>
      <c r="J436" s="51">
        <f t="shared" si="2172"/>
        <v>-0.81000000000000227</v>
      </c>
      <c r="K436" s="51">
        <f t="shared" si="2172"/>
        <v>-0.48999999999999844</v>
      </c>
      <c r="L436" s="51">
        <f t="shared" si="2172"/>
        <v>-0.32000000000000028</v>
      </c>
      <c r="M436" s="42">
        <f t="shared" si="2172"/>
        <v>-4.7899999999999991</v>
      </c>
      <c r="N436" s="51">
        <f t="shared" ref="N436:R436" si="2173">N435</f>
        <v>63.45</v>
      </c>
      <c r="O436" s="51">
        <f t="shared" si="2173"/>
        <v>54.292499999999997</v>
      </c>
      <c r="P436" s="51">
        <f t="shared" si="2173"/>
        <v>42.407499999999999</v>
      </c>
      <c r="Q436" s="51">
        <f t="shared" si="2173"/>
        <v>28.857500000000002</v>
      </c>
      <c r="R436" s="51">
        <f t="shared" si="2173"/>
        <v>19.754999999999999</v>
      </c>
      <c r="S436" s="51">
        <f t="shared" ref="S436:T436" si="2174">(B435+B436)/2</f>
        <v>65.965000000000003</v>
      </c>
      <c r="T436" s="51">
        <f t="shared" si="2174"/>
        <v>56.274999999999999</v>
      </c>
      <c r="U436" s="51">
        <f t="shared" si="1283"/>
        <v>44.085000000000001</v>
      </c>
      <c r="V436" s="51">
        <f t="shared" ref="V436:W436" si="2175">(E435+E436)/2</f>
        <v>30.585000000000001</v>
      </c>
      <c r="W436" s="51">
        <f t="shared" si="2175"/>
        <v>20.62</v>
      </c>
      <c r="X436" s="51">
        <f t="shared" ref="X436:AB436" si="2176">(SUM(B433:B436))/4</f>
        <v>66.514999999999986</v>
      </c>
      <c r="Y436" s="51">
        <f t="shared" si="2176"/>
        <v>57.182499999999997</v>
      </c>
      <c r="Z436" s="51">
        <f t="shared" si="2176"/>
        <v>45.050000000000004</v>
      </c>
      <c r="AA436" s="51">
        <f t="shared" si="2176"/>
        <v>31.127500000000001</v>
      </c>
      <c r="AB436" s="51">
        <f t="shared" si="2176"/>
        <v>20.905000000000001</v>
      </c>
      <c r="AC436" s="51">
        <f t="shared" ref="AC436:AF436" si="2177">(B436+C436)/2</f>
        <v>60.724999999999994</v>
      </c>
      <c r="AD436" s="51">
        <f t="shared" si="2177"/>
        <v>49.86</v>
      </c>
      <c r="AE436" s="51">
        <f t="shared" si="2177"/>
        <v>37.01</v>
      </c>
      <c r="AF436" s="51">
        <f t="shared" si="2177"/>
        <v>25.4</v>
      </c>
      <c r="AG436" s="57"/>
      <c r="AH436" s="57"/>
      <c r="AI436" s="57"/>
      <c r="AJ436" s="57"/>
      <c r="AK436" s="51">
        <f t="shared" si="2093"/>
        <v>20.252499999999998</v>
      </c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8"/>
      <c r="BK436" s="8"/>
      <c r="BL436" s="8"/>
      <c r="BM436" s="8"/>
    </row>
    <row r="437" spans="1:65" ht="30" hidden="1" customHeight="1" x14ac:dyDescent="0.45">
      <c r="A437" s="55">
        <f t="shared" si="1280"/>
        <v>43938</v>
      </c>
      <c r="B437" s="56">
        <v>62.71</v>
      </c>
      <c r="C437" s="56">
        <v>53.55</v>
      </c>
      <c r="D437" s="56">
        <v>41.87</v>
      </c>
      <c r="E437" s="56">
        <v>28.23</v>
      </c>
      <c r="F437" s="56">
        <v>19.510000000000002</v>
      </c>
      <c r="G437" s="56">
        <v>58.59</v>
      </c>
      <c r="H437" s="51">
        <f t="shared" ref="H437:M437" si="2178">B437-B436</f>
        <v>-2.6999999999999957</v>
      </c>
      <c r="I437" s="51">
        <f t="shared" si="2178"/>
        <v>-2.490000000000002</v>
      </c>
      <c r="J437" s="51">
        <f t="shared" si="2178"/>
        <v>-1.8100000000000023</v>
      </c>
      <c r="K437" s="51">
        <f t="shared" si="2178"/>
        <v>-2.1099999999999994</v>
      </c>
      <c r="L437" s="51">
        <f t="shared" si="2178"/>
        <v>-0.94999999999999929</v>
      </c>
      <c r="M437" s="42">
        <f t="shared" si="2178"/>
        <v>-4.9499999999999957</v>
      </c>
      <c r="N437" s="51">
        <f t="shared" ref="N437:R437" si="2179">N436</f>
        <v>63.45</v>
      </c>
      <c r="O437" s="51">
        <f t="shared" si="2179"/>
        <v>54.292499999999997</v>
      </c>
      <c r="P437" s="51">
        <f t="shared" si="2179"/>
        <v>42.407499999999999</v>
      </c>
      <c r="Q437" s="51">
        <f t="shared" si="2179"/>
        <v>28.857500000000002</v>
      </c>
      <c r="R437" s="51">
        <f t="shared" si="2179"/>
        <v>19.754999999999999</v>
      </c>
      <c r="S437" s="51">
        <f t="shared" ref="S437:T437" si="2180">(B436+B437)/2</f>
        <v>64.06</v>
      </c>
      <c r="T437" s="51">
        <f t="shared" si="2180"/>
        <v>54.795000000000002</v>
      </c>
      <c r="U437" s="51">
        <f t="shared" si="1283"/>
        <v>42.774999999999999</v>
      </c>
      <c r="V437" s="51">
        <f t="shared" ref="V437:W437" si="2181">(E436+E437)/2</f>
        <v>29.285</v>
      </c>
      <c r="W437" s="51">
        <f t="shared" si="2181"/>
        <v>19.984999999999999</v>
      </c>
      <c r="X437" s="51">
        <f t="shared" ref="X437:AB437" si="2182">(SUM(B434:B437))/4</f>
        <v>65.342500000000001</v>
      </c>
      <c r="Y437" s="51">
        <f t="shared" si="2182"/>
        <v>55.9375</v>
      </c>
      <c r="Z437" s="51">
        <f t="shared" si="2182"/>
        <v>43.865000000000002</v>
      </c>
      <c r="AA437" s="51">
        <f t="shared" si="2182"/>
        <v>30.225000000000001</v>
      </c>
      <c r="AB437" s="51">
        <f t="shared" si="2182"/>
        <v>20.455000000000002</v>
      </c>
      <c r="AC437" s="51">
        <f t="shared" ref="AC437:AF437" si="2183">(B437+C437)/2</f>
        <v>58.129999999999995</v>
      </c>
      <c r="AD437" s="51">
        <f t="shared" si="2183"/>
        <v>47.709999999999994</v>
      </c>
      <c r="AE437" s="51">
        <f t="shared" si="2183"/>
        <v>35.049999999999997</v>
      </c>
      <c r="AF437" s="51">
        <f t="shared" si="2183"/>
        <v>23.87</v>
      </c>
      <c r="AG437" s="57"/>
      <c r="AH437" s="57"/>
      <c r="AI437" s="57"/>
      <c r="AJ437" s="57"/>
      <c r="AK437" s="51">
        <f t="shared" si="2093"/>
        <v>19.284999999999997</v>
      </c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8"/>
      <c r="BK437" s="8"/>
      <c r="BL437" s="8"/>
      <c r="BM437" s="8"/>
    </row>
    <row r="438" spans="1:65" ht="30" hidden="1" customHeight="1" x14ac:dyDescent="0.45">
      <c r="A438" s="55">
        <f t="shared" si="1280"/>
        <v>43945</v>
      </c>
      <c r="B438" s="56">
        <v>59.16</v>
      </c>
      <c r="C438" s="56">
        <v>51.07</v>
      </c>
      <c r="D438" s="56">
        <v>39.590000000000003</v>
      </c>
      <c r="E438" s="56">
        <v>26.03</v>
      </c>
      <c r="F438" s="56">
        <v>18.27</v>
      </c>
      <c r="G438" s="56">
        <v>53.74</v>
      </c>
      <c r="H438" s="51">
        <f t="shared" ref="H438:M438" si="2184">B438-B437</f>
        <v>-3.5500000000000043</v>
      </c>
      <c r="I438" s="51">
        <f t="shared" si="2184"/>
        <v>-2.4799999999999969</v>
      </c>
      <c r="J438" s="51">
        <f t="shared" si="2184"/>
        <v>-2.279999999999994</v>
      </c>
      <c r="K438" s="51">
        <f t="shared" si="2184"/>
        <v>-2.1999999999999993</v>
      </c>
      <c r="L438" s="51">
        <f t="shared" si="2184"/>
        <v>-1.240000000000002</v>
      </c>
      <c r="M438" s="42">
        <f t="shared" si="2184"/>
        <v>-4.8500000000000014</v>
      </c>
      <c r="N438" s="51">
        <f t="shared" ref="N438:R438" si="2185">N437</f>
        <v>63.45</v>
      </c>
      <c r="O438" s="51">
        <f t="shared" si="2185"/>
        <v>54.292499999999997</v>
      </c>
      <c r="P438" s="51">
        <f t="shared" si="2185"/>
        <v>42.407499999999999</v>
      </c>
      <c r="Q438" s="51">
        <f t="shared" si="2185"/>
        <v>28.857500000000002</v>
      </c>
      <c r="R438" s="51">
        <f t="shared" si="2185"/>
        <v>19.754999999999999</v>
      </c>
      <c r="S438" s="51">
        <f t="shared" ref="S438:T438" si="2186">(B437+B438)/2</f>
        <v>60.935000000000002</v>
      </c>
      <c r="T438" s="51">
        <f t="shared" si="2186"/>
        <v>52.31</v>
      </c>
      <c r="U438" s="51">
        <f t="shared" si="1283"/>
        <v>40.730000000000004</v>
      </c>
      <c r="V438" s="51">
        <f t="shared" ref="V438:W438" si="2187">(E437+E438)/2</f>
        <v>27.130000000000003</v>
      </c>
      <c r="W438" s="51">
        <f t="shared" si="2187"/>
        <v>18.89</v>
      </c>
      <c r="X438" s="51">
        <f t="shared" ref="X438:AB438" si="2188">(SUM(B435:B438))/4</f>
        <v>63.45</v>
      </c>
      <c r="Y438" s="51">
        <f t="shared" si="2188"/>
        <v>54.292499999999997</v>
      </c>
      <c r="Z438" s="51">
        <f t="shared" si="2188"/>
        <v>42.407499999999999</v>
      </c>
      <c r="AA438" s="51">
        <f t="shared" si="2188"/>
        <v>28.857500000000002</v>
      </c>
      <c r="AB438" s="51">
        <f t="shared" si="2188"/>
        <v>19.754999999999999</v>
      </c>
      <c r="AC438" s="51">
        <f t="shared" ref="AC438:AF438" si="2189">(B438+C438)/2</f>
        <v>55.114999999999995</v>
      </c>
      <c r="AD438" s="51">
        <f t="shared" si="2189"/>
        <v>45.33</v>
      </c>
      <c r="AE438" s="51">
        <f t="shared" si="2189"/>
        <v>32.81</v>
      </c>
      <c r="AF438" s="51">
        <f t="shared" si="2189"/>
        <v>22.15</v>
      </c>
      <c r="AG438" s="57"/>
      <c r="AH438" s="57"/>
      <c r="AI438" s="57"/>
      <c r="AJ438" s="57"/>
      <c r="AK438" s="51">
        <f t="shared" si="2093"/>
        <v>17.660000000000004</v>
      </c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8"/>
      <c r="BK438" s="8"/>
      <c r="BL438" s="8"/>
      <c r="BM438" s="8"/>
    </row>
    <row r="439" spans="1:65" ht="30" hidden="1" customHeight="1" x14ac:dyDescent="0.45">
      <c r="A439" s="55">
        <f t="shared" si="1280"/>
        <v>43952</v>
      </c>
      <c r="B439" s="56">
        <v>56.98</v>
      </c>
      <c r="C439" s="56">
        <v>49.97</v>
      </c>
      <c r="D439" s="56">
        <v>37.979999999999997</v>
      </c>
      <c r="E439" s="56">
        <v>24.24</v>
      </c>
      <c r="F439" s="56">
        <v>17.32</v>
      </c>
      <c r="G439" s="56">
        <v>50.76</v>
      </c>
      <c r="H439" s="51">
        <f t="shared" ref="H439:M439" si="2190">B439-B438</f>
        <v>-2.1799999999999997</v>
      </c>
      <c r="I439" s="51">
        <f t="shared" si="2190"/>
        <v>-1.1000000000000014</v>
      </c>
      <c r="J439" s="51">
        <f t="shared" si="2190"/>
        <v>-1.6100000000000065</v>
      </c>
      <c r="K439" s="51">
        <f t="shared" si="2190"/>
        <v>-1.7900000000000027</v>
      </c>
      <c r="L439" s="51">
        <f t="shared" si="2190"/>
        <v>-0.94999999999999929</v>
      </c>
      <c r="M439" s="42">
        <f t="shared" si="2190"/>
        <v>-2.980000000000004</v>
      </c>
      <c r="N439" s="51">
        <f t="shared" ref="N439:R439" si="2191">AVERAGE(B439:B443)</f>
        <v>56.07800000000001</v>
      </c>
      <c r="O439" s="51">
        <f t="shared" si="2191"/>
        <v>49.923999999999999</v>
      </c>
      <c r="P439" s="51">
        <f t="shared" si="2191"/>
        <v>38.616</v>
      </c>
      <c r="Q439" s="51">
        <f t="shared" si="2191"/>
        <v>26.29</v>
      </c>
      <c r="R439" s="51">
        <f t="shared" si="2191"/>
        <v>17.664000000000001</v>
      </c>
      <c r="S439" s="51">
        <f t="shared" ref="S439:T439" si="2192">(B438+B439)/2</f>
        <v>58.069999999999993</v>
      </c>
      <c r="T439" s="51">
        <f t="shared" si="2192"/>
        <v>50.519999999999996</v>
      </c>
      <c r="U439" s="51">
        <f t="shared" si="1283"/>
        <v>38.784999999999997</v>
      </c>
      <c r="V439" s="51">
        <f t="shared" ref="V439:W439" si="2193">(E438+E439)/2</f>
        <v>25.134999999999998</v>
      </c>
      <c r="W439" s="51">
        <f t="shared" si="2193"/>
        <v>17.795000000000002</v>
      </c>
      <c r="X439" s="51">
        <f t="shared" ref="X439:AB439" si="2194">(SUM(B436:B439))/4</f>
        <v>61.064999999999998</v>
      </c>
      <c r="Y439" s="51">
        <f t="shared" si="2194"/>
        <v>52.657499999999999</v>
      </c>
      <c r="Z439" s="51">
        <f t="shared" si="2194"/>
        <v>40.78</v>
      </c>
      <c r="AA439" s="51">
        <f t="shared" si="2194"/>
        <v>27.209999999999997</v>
      </c>
      <c r="AB439" s="51">
        <f t="shared" si="2194"/>
        <v>18.89</v>
      </c>
      <c r="AC439" s="51">
        <f t="shared" ref="AC439:AF439" si="2195">(B439+C439)/2</f>
        <v>53.474999999999994</v>
      </c>
      <c r="AD439" s="51">
        <f t="shared" si="2195"/>
        <v>43.974999999999994</v>
      </c>
      <c r="AE439" s="51">
        <f t="shared" si="2195"/>
        <v>31.11</v>
      </c>
      <c r="AF439" s="51">
        <f t="shared" si="2195"/>
        <v>20.78</v>
      </c>
      <c r="AG439" s="57"/>
      <c r="AH439" s="57"/>
      <c r="AI439" s="57"/>
      <c r="AJ439" s="57"/>
      <c r="AK439" s="51">
        <f t="shared" si="2093"/>
        <v>16.115000000000002</v>
      </c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8"/>
      <c r="BK439" s="8"/>
      <c r="BL439" s="8"/>
      <c r="BM439" s="8"/>
    </row>
    <row r="440" spans="1:65" ht="30" hidden="1" customHeight="1" x14ac:dyDescent="0.45">
      <c r="A440" s="55">
        <f t="shared" si="1280"/>
        <v>43959</v>
      </c>
      <c r="B440" s="56">
        <v>55.17</v>
      </c>
      <c r="C440" s="56">
        <v>48.61</v>
      </c>
      <c r="D440" s="56">
        <v>37.090000000000003</v>
      </c>
      <c r="E440" s="56">
        <v>24.15</v>
      </c>
      <c r="F440" s="56">
        <v>17.309999999999999</v>
      </c>
      <c r="G440" s="56">
        <v>51.71</v>
      </c>
      <c r="H440" s="51">
        <f t="shared" ref="H440:M440" si="2196">B440-B439</f>
        <v>-1.8099999999999952</v>
      </c>
      <c r="I440" s="51">
        <f t="shared" si="2196"/>
        <v>-1.3599999999999994</v>
      </c>
      <c r="J440" s="51">
        <f t="shared" si="2196"/>
        <v>-0.88999999999999346</v>
      </c>
      <c r="K440" s="51">
        <f t="shared" si="2196"/>
        <v>-8.9999999999999858E-2</v>
      </c>
      <c r="L440" s="51">
        <f t="shared" si="2196"/>
        <v>-1.0000000000001563E-2</v>
      </c>
      <c r="M440" s="42">
        <f t="shared" si="2196"/>
        <v>0.95000000000000284</v>
      </c>
      <c r="N440" s="51">
        <f t="shared" ref="N440:R440" si="2197">N439</f>
        <v>56.07800000000001</v>
      </c>
      <c r="O440" s="51">
        <f t="shared" si="2197"/>
        <v>49.923999999999999</v>
      </c>
      <c r="P440" s="51">
        <f t="shared" si="2197"/>
        <v>38.616</v>
      </c>
      <c r="Q440" s="51">
        <f t="shared" si="2197"/>
        <v>26.29</v>
      </c>
      <c r="R440" s="51">
        <f t="shared" si="2197"/>
        <v>17.664000000000001</v>
      </c>
      <c r="S440" s="51">
        <f t="shared" ref="S440:T440" si="2198">(B439+B440)/2</f>
        <v>56.075000000000003</v>
      </c>
      <c r="T440" s="51">
        <f t="shared" si="2198"/>
        <v>49.29</v>
      </c>
      <c r="U440" s="51">
        <f t="shared" si="1283"/>
        <v>37.534999999999997</v>
      </c>
      <c r="V440" s="51">
        <f t="shared" ref="V440:W440" si="2199">(E439+E440)/2</f>
        <v>24.195</v>
      </c>
      <c r="W440" s="51">
        <f t="shared" si="2199"/>
        <v>17.314999999999998</v>
      </c>
      <c r="X440" s="51">
        <f t="shared" ref="X440:AB440" si="2200">(SUM(B437:B440))/4</f>
        <v>58.504999999999995</v>
      </c>
      <c r="Y440" s="51">
        <f t="shared" si="2200"/>
        <v>50.8</v>
      </c>
      <c r="Z440" s="51">
        <f t="shared" si="2200"/>
        <v>39.1325</v>
      </c>
      <c r="AA440" s="51">
        <f t="shared" si="2200"/>
        <v>25.662500000000001</v>
      </c>
      <c r="AB440" s="51">
        <f t="shared" si="2200"/>
        <v>18.102499999999999</v>
      </c>
      <c r="AC440" s="51">
        <f t="shared" ref="AC440:AF440" si="2201">(B440+C440)/2</f>
        <v>51.89</v>
      </c>
      <c r="AD440" s="51">
        <f t="shared" si="2201"/>
        <v>42.85</v>
      </c>
      <c r="AE440" s="51">
        <f t="shared" si="2201"/>
        <v>30.62</v>
      </c>
      <c r="AF440" s="51">
        <f t="shared" si="2201"/>
        <v>20.729999999999997</v>
      </c>
      <c r="AG440" s="57"/>
      <c r="AH440" s="57"/>
      <c r="AI440" s="57"/>
      <c r="AJ440" s="57"/>
      <c r="AK440" s="51">
        <f t="shared" si="2093"/>
        <v>15.404999999999999</v>
      </c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8"/>
      <c r="BK440" s="8"/>
      <c r="BL440" s="8"/>
      <c r="BM440" s="8"/>
    </row>
    <row r="441" spans="1:65" ht="30" hidden="1" customHeight="1" x14ac:dyDescent="0.45">
      <c r="A441" s="55">
        <f t="shared" si="1280"/>
        <v>43966</v>
      </c>
      <c r="B441" s="56">
        <v>55.33</v>
      </c>
      <c r="C441" s="56">
        <v>48.7</v>
      </c>
      <c r="D441" s="56">
        <v>37.94</v>
      </c>
      <c r="E441" s="56">
        <v>25.71</v>
      </c>
      <c r="F441" s="56">
        <v>17.61</v>
      </c>
      <c r="G441" s="56">
        <v>50.83</v>
      </c>
      <c r="H441" s="51">
        <f t="shared" ref="H441:M441" si="2202">B441-B440</f>
        <v>0.15999999999999659</v>
      </c>
      <c r="I441" s="51">
        <f t="shared" si="2202"/>
        <v>9.0000000000003411E-2</v>
      </c>
      <c r="J441" s="51">
        <f t="shared" si="2202"/>
        <v>0.84999999999999432</v>
      </c>
      <c r="K441" s="51">
        <f t="shared" si="2202"/>
        <v>1.5600000000000023</v>
      </c>
      <c r="L441" s="51">
        <f t="shared" si="2202"/>
        <v>0.30000000000000071</v>
      </c>
      <c r="M441" s="42">
        <f t="shared" si="2202"/>
        <v>-0.88000000000000256</v>
      </c>
      <c r="N441" s="51">
        <f t="shared" ref="N441:R441" si="2203">N440</f>
        <v>56.07800000000001</v>
      </c>
      <c r="O441" s="51">
        <f t="shared" si="2203"/>
        <v>49.923999999999999</v>
      </c>
      <c r="P441" s="51">
        <f t="shared" si="2203"/>
        <v>38.616</v>
      </c>
      <c r="Q441" s="51">
        <f t="shared" si="2203"/>
        <v>26.29</v>
      </c>
      <c r="R441" s="51">
        <f t="shared" si="2203"/>
        <v>17.664000000000001</v>
      </c>
      <c r="S441" s="51">
        <f t="shared" ref="S441:T441" si="2204">(B440+B441)/2</f>
        <v>55.25</v>
      </c>
      <c r="T441" s="51">
        <f t="shared" si="2204"/>
        <v>48.655000000000001</v>
      </c>
      <c r="U441" s="51">
        <f t="shared" si="1283"/>
        <v>37.515000000000001</v>
      </c>
      <c r="V441" s="51">
        <f t="shared" ref="V441:W441" si="2205">(E440+E441)/2</f>
        <v>24.93</v>
      </c>
      <c r="W441" s="51">
        <f t="shared" si="2205"/>
        <v>17.46</v>
      </c>
      <c r="X441" s="51">
        <f t="shared" ref="X441:AB441" si="2206">(SUM(B438:B441))/4</f>
        <v>56.66</v>
      </c>
      <c r="Y441" s="51">
        <f t="shared" si="2206"/>
        <v>49.587499999999991</v>
      </c>
      <c r="Z441" s="51">
        <f t="shared" si="2206"/>
        <v>38.15</v>
      </c>
      <c r="AA441" s="51">
        <f t="shared" si="2206"/>
        <v>25.032499999999999</v>
      </c>
      <c r="AB441" s="51">
        <f t="shared" si="2206"/>
        <v>17.627500000000001</v>
      </c>
      <c r="AC441" s="51">
        <f t="shared" ref="AC441:AF441" si="2207">(B441+C441)/2</f>
        <v>52.015000000000001</v>
      </c>
      <c r="AD441" s="51">
        <f t="shared" si="2207"/>
        <v>43.32</v>
      </c>
      <c r="AE441" s="51">
        <f t="shared" si="2207"/>
        <v>31.824999999999999</v>
      </c>
      <c r="AF441" s="51">
        <f t="shared" si="2207"/>
        <v>21.66</v>
      </c>
      <c r="AG441" s="57"/>
      <c r="AH441" s="57"/>
      <c r="AI441" s="57"/>
      <c r="AJ441" s="57"/>
      <c r="AK441" s="51">
        <f t="shared" si="2093"/>
        <v>15.845000000000001</v>
      </c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8"/>
      <c r="BK441" s="8"/>
      <c r="BL441" s="8"/>
      <c r="BM441" s="8"/>
    </row>
    <row r="442" spans="1:65" ht="30" hidden="1" customHeight="1" x14ac:dyDescent="0.45">
      <c r="A442" s="55">
        <f t="shared" si="1280"/>
        <v>43973</v>
      </c>
      <c r="B442" s="56">
        <v>56.37</v>
      </c>
      <c r="C442" s="56">
        <v>51.17</v>
      </c>
      <c r="D442" s="56">
        <v>39.67</v>
      </c>
      <c r="E442" s="56">
        <v>27.98</v>
      </c>
      <c r="F442" s="56">
        <v>17.82</v>
      </c>
      <c r="G442" s="56">
        <v>53.98</v>
      </c>
      <c r="H442" s="51">
        <f t="shared" ref="H442:M442" si="2208">B442-B441</f>
        <v>1.0399999999999991</v>
      </c>
      <c r="I442" s="51">
        <f t="shared" si="2208"/>
        <v>2.4699999999999989</v>
      </c>
      <c r="J442" s="51">
        <f t="shared" si="2208"/>
        <v>1.730000000000004</v>
      </c>
      <c r="K442" s="51">
        <f t="shared" si="2208"/>
        <v>2.2699999999999996</v>
      </c>
      <c r="L442" s="51">
        <f t="shared" si="2208"/>
        <v>0.21000000000000085</v>
      </c>
      <c r="M442" s="42">
        <f t="shared" si="2208"/>
        <v>3.1499999999999986</v>
      </c>
      <c r="N442" s="51">
        <f t="shared" ref="N442:R442" si="2209">N441</f>
        <v>56.07800000000001</v>
      </c>
      <c r="O442" s="51">
        <f t="shared" si="2209"/>
        <v>49.923999999999999</v>
      </c>
      <c r="P442" s="51">
        <f t="shared" si="2209"/>
        <v>38.616</v>
      </c>
      <c r="Q442" s="51">
        <f t="shared" si="2209"/>
        <v>26.29</v>
      </c>
      <c r="R442" s="51">
        <f t="shared" si="2209"/>
        <v>17.664000000000001</v>
      </c>
      <c r="S442" s="51">
        <f t="shared" ref="S442:T442" si="2210">(B441+B442)/2</f>
        <v>55.849999999999994</v>
      </c>
      <c r="T442" s="51">
        <f t="shared" si="2210"/>
        <v>49.935000000000002</v>
      </c>
      <c r="U442" s="51">
        <f t="shared" si="1283"/>
        <v>38.805</v>
      </c>
      <c r="V442" s="51">
        <f t="shared" ref="V442:W442" si="2211">(E441+E442)/2</f>
        <v>26.844999999999999</v>
      </c>
      <c r="W442" s="51">
        <f t="shared" si="2211"/>
        <v>17.715</v>
      </c>
      <c r="X442" s="51">
        <f t="shared" ref="X442:AB442" si="2212">(SUM(B439:B442))/4</f>
        <v>55.962500000000006</v>
      </c>
      <c r="Y442" s="51">
        <f t="shared" si="2212"/>
        <v>49.612499999999997</v>
      </c>
      <c r="Z442" s="51">
        <f t="shared" si="2212"/>
        <v>38.17</v>
      </c>
      <c r="AA442" s="51">
        <f t="shared" si="2212"/>
        <v>25.52</v>
      </c>
      <c r="AB442" s="51">
        <f t="shared" si="2212"/>
        <v>17.515000000000001</v>
      </c>
      <c r="AC442" s="51">
        <f t="shared" ref="AC442:AF442" si="2213">(B442+C442)/2</f>
        <v>53.769999999999996</v>
      </c>
      <c r="AD442" s="51">
        <f t="shared" si="2213"/>
        <v>45.42</v>
      </c>
      <c r="AE442" s="51">
        <f t="shared" si="2213"/>
        <v>33.825000000000003</v>
      </c>
      <c r="AF442" s="51">
        <f t="shared" si="2213"/>
        <v>22.9</v>
      </c>
      <c r="AG442" s="57"/>
      <c r="AH442" s="57"/>
      <c r="AI442" s="57"/>
      <c r="AJ442" s="57"/>
      <c r="AK442" s="51">
        <f t="shared" si="2093"/>
        <v>16.93</v>
      </c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8"/>
      <c r="BK442" s="8"/>
      <c r="BL442" s="8"/>
      <c r="BM442" s="8"/>
    </row>
    <row r="443" spans="1:65" ht="30" hidden="1" customHeight="1" x14ac:dyDescent="0.45">
      <c r="A443" s="55">
        <f t="shared" si="1280"/>
        <v>43980</v>
      </c>
      <c r="B443" s="56">
        <v>56.54</v>
      </c>
      <c r="C443" s="56">
        <v>51.17</v>
      </c>
      <c r="D443" s="56">
        <v>40.4</v>
      </c>
      <c r="E443" s="56">
        <v>29.37</v>
      </c>
      <c r="F443" s="56">
        <v>18.260000000000002</v>
      </c>
      <c r="G443" s="56">
        <v>54.9</v>
      </c>
      <c r="H443" s="51">
        <f t="shared" ref="H443:M443" si="2214">B443-B442</f>
        <v>0.17000000000000171</v>
      </c>
      <c r="I443" s="51">
        <f t="shared" si="2214"/>
        <v>0</v>
      </c>
      <c r="J443" s="51">
        <f t="shared" si="2214"/>
        <v>0.72999999999999687</v>
      </c>
      <c r="K443" s="51">
        <f t="shared" si="2214"/>
        <v>1.3900000000000006</v>
      </c>
      <c r="L443" s="51">
        <f t="shared" si="2214"/>
        <v>0.44000000000000128</v>
      </c>
      <c r="M443" s="42">
        <f t="shared" si="2214"/>
        <v>0.92000000000000171</v>
      </c>
      <c r="N443" s="51">
        <f t="shared" ref="N443:R443" si="2215">N442</f>
        <v>56.07800000000001</v>
      </c>
      <c r="O443" s="51">
        <f t="shared" si="2215"/>
        <v>49.923999999999999</v>
      </c>
      <c r="P443" s="51">
        <f t="shared" si="2215"/>
        <v>38.616</v>
      </c>
      <c r="Q443" s="51">
        <f t="shared" si="2215"/>
        <v>26.29</v>
      </c>
      <c r="R443" s="51">
        <f t="shared" si="2215"/>
        <v>17.664000000000001</v>
      </c>
      <c r="S443" s="51">
        <f t="shared" ref="S443:T443" si="2216">(B442+B443)/2</f>
        <v>56.454999999999998</v>
      </c>
      <c r="T443" s="51">
        <f t="shared" si="2216"/>
        <v>51.17</v>
      </c>
      <c r="U443" s="51">
        <f t="shared" si="1283"/>
        <v>40.034999999999997</v>
      </c>
      <c r="V443" s="51">
        <f t="shared" ref="V443:W443" si="2217">(E442+E443)/2</f>
        <v>28.675000000000001</v>
      </c>
      <c r="W443" s="51">
        <f t="shared" si="2217"/>
        <v>18.04</v>
      </c>
      <c r="X443" s="51">
        <f t="shared" ref="X443:AB443" si="2218">(SUM(B440:B443))/4</f>
        <v>55.852499999999999</v>
      </c>
      <c r="Y443" s="51">
        <f t="shared" si="2218"/>
        <v>49.912500000000009</v>
      </c>
      <c r="Z443" s="51">
        <f t="shared" si="2218"/>
        <v>38.774999999999999</v>
      </c>
      <c r="AA443" s="51">
        <f t="shared" si="2218"/>
        <v>26.802500000000002</v>
      </c>
      <c r="AB443" s="51">
        <f t="shared" si="2218"/>
        <v>17.75</v>
      </c>
      <c r="AC443" s="51">
        <f t="shared" ref="AC443:AF443" si="2219">(B443+C443)/2</f>
        <v>53.855000000000004</v>
      </c>
      <c r="AD443" s="51">
        <f t="shared" si="2219"/>
        <v>45.784999999999997</v>
      </c>
      <c r="AE443" s="51">
        <f t="shared" si="2219"/>
        <v>34.884999999999998</v>
      </c>
      <c r="AF443" s="51">
        <f t="shared" si="2219"/>
        <v>23.815000000000001</v>
      </c>
      <c r="AG443" s="57"/>
      <c r="AH443" s="57"/>
      <c r="AI443" s="57"/>
      <c r="AJ443" s="57"/>
      <c r="AK443" s="51">
        <f t="shared" si="2093"/>
        <v>18.0075</v>
      </c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8"/>
      <c r="BK443" s="8"/>
      <c r="BL443" s="8"/>
      <c r="BM443" s="8"/>
    </row>
    <row r="444" spans="1:65" ht="30" hidden="1" customHeight="1" x14ac:dyDescent="0.45">
      <c r="A444" s="55">
        <f t="shared" si="1280"/>
        <v>43987</v>
      </c>
      <c r="B444" s="56">
        <v>56.42</v>
      </c>
      <c r="C444" s="56">
        <v>49.85</v>
      </c>
      <c r="D444" s="56">
        <v>40.22</v>
      </c>
      <c r="E444" s="56">
        <v>27.66</v>
      </c>
      <c r="F444" s="56">
        <v>18.239999999999998</v>
      </c>
      <c r="G444" s="56">
        <v>55.25</v>
      </c>
      <c r="H444" s="51">
        <f t="shared" ref="H444:M444" si="2220">B444-B443</f>
        <v>-0.11999999999999744</v>
      </c>
      <c r="I444" s="51">
        <f t="shared" si="2220"/>
        <v>-1.3200000000000003</v>
      </c>
      <c r="J444" s="51">
        <f t="shared" si="2220"/>
        <v>-0.17999999999999972</v>
      </c>
      <c r="K444" s="51">
        <f t="shared" si="2220"/>
        <v>-1.7100000000000009</v>
      </c>
      <c r="L444" s="51">
        <f t="shared" si="2220"/>
        <v>-2.0000000000003126E-2</v>
      </c>
      <c r="M444" s="42">
        <f t="shared" si="2220"/>
        <v>0.35000000000000142</v>
      </c>
      <c r="N444" s="51">
        <f t="shared" ref="N444:R444" si="2221">AVERAGE(B444:B447)</f>
        <v>54.972499999999997</v>
      </c>
      <c r="O444" s="51">
        <f t="shared" si="2221"/>
        <v>47.534999999999997</v>
      </c>
      <c r="P444" s="51">
        <f t="shared" si="2221"/>
        <v>38.302500000000002</v>
      </c>
      <c r="Q444" s="51">
        <f t="shared" si="2221"/>
        <v>25.317499999999999</v>
      </c>
      <c r="R444" s="51">
        <f t="shared" si="2221"/>
        <v>17.974999999999998</v>
      </c>
      <c r="S444" s="51">
        <f t="shared" ref="S444:T444" si="2222">(B443+B444)/2</f>
        <v>56.480000000000004</v>
      </c>
      <c r="T444" s="51">
        <f t="shared" si="2222"/>
        <v>50.510000000000005</v>
      </c>
      <c r="U444" s="51">
        <f t="shared" si="1283"/>
        <v>40.31</v>
      </c>
      <c r="V444" s="51">
        <f t="shared" ref="V444:W444" si="2223">(E443+E444)/2</f>
        <v>28.515000000000001</v>
      </c>
      <c r="W444" s="51">
        <f t="shared" si="2223"/>
        <v>18.25</v>
      </c>
      <c r="X444" s="51">
        <f t="shared" ref="X444:AB444" si="2224">(SUM(B441:B444))/4</f>
        <v>56.164999999999992</v>
      </c>
      <c r="Y444" s="51">
        <f t="shared" si="2224"/>
        <v>50.222500000000004</v>
      </c>
      <c r="Z444" s="51">
        <f t="shared" si="2224"/>
        <v>39.557499999999997</v>
      </c>
      <c r="AA444" s="51">
        <f t="shared" si="2224"/>
        <v>27.68</v>
      </c>
      <c r="AB444" s="51">
        <f t="shared" si="2224"/>
        <v>17.982499999999998</v>
      </c>
      <c r="AC444" s="51">
        <f t="shared" ref="AC444:AF444" si="2225">(B444+C444)/2</f>
        <v>53.135000000000005</v>
      </c>
      <c r="AD444" s="51">
        <f t="shared" si="2225"/>
        <v>45.034999999999997</v>
      </c>
      <c r="AE444" s="51">
        <f t="shared" si="2225"/>
        <v>33.94</v>
      </c>
      <c r="AF444" s="51">
        <f t="shared" si="2225"/>
        <v>22.95</v>
      </c>
      <c r="AG444" s="57"/>
      <c r="AH444" s="57"/>
      <c r="AI444" s="57"/>
      <c r="AJ444" s="57"/>
      <c r="AK444" s="51">
        <f t="shared" si="2093"/>
        <v>18.032499999999999</v>
      </c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8"/>
      <c r="BK444" s="8"/>
      <c r="BL444" s="8"/>
      <c r="BM444" s="8"/>
    </row>
    <row r="445" spans="1:65" ht="30" hidden="1" customHeight="1" x14ac:dyDescent="0.45">
      <c r="A445" s="55">
        <f t="shared" si="1280"/>
        <v>43994</v>
      </c>
      <c r="B445" s="56">
        <v>55.48</v>
      </c>
      <c r="C445" s="56">
        <v>48.03</v>
      </c>
      <c r="D445" s="56">
        <v>38.61</v>
      </c>
      <c r="E445" s="56">
        <v>25.38</v>
      </c>
      <c r="F445" s="56">
        <v>18.059999999999999</v>
      </c>
      <c r="G445" s="56">
        <v>52.75</v>
      </c>
      <c r="H445" s="51">
        <f t="shared" ref="H445:M445" si="2226">B445-B444</f>
        <v>-0.94000000000000483</v>
      </c>
      <c r="I445" s="51">
        <f t="shared" si="2226"/>
        <v>-1.8200000000000003</v>
      </c>
      <c r="J445" s="51">
        <f t="shared" si="2226"/>
        <v>-1.6099999999999994</v>
      </c>
      <c r="K445" s="51">
        <f t="shared" si="2226"/>
        <v>-2.2800000000000011</v>
      </c>
      <c r="L445" s="51">
        <f t="shared" si="2226"/>
        <v>-0.17999999999999972</v>
      </c>
      <c r="M445" s="42">
        <f t="shared" si="2226"/>
        <v>-2.5</v>
      </c>
      <c r="N445" s="51">
        <f t="shared" ref="N445:R445" si="2227">N444</f>
        <v>54.972499999999997</v>
      </c>
      <c r="O445" s="51">
        <f t="shared" si="2227"/>
        <v>47.534999999999997</v>
      </c>
      <c r="P445" s="51">
        <f t="shared" si="2227"/>
        <v>38.302500000000002</v>
      </c>
      <c r="Q445" s="51">
        <f t="shared" si="2227"/>
        <v>25.317499999999999</v>
      </c>
      <c r="R445" s="51">
        <f t="shared" si="2227"/>
        <v>17.974999999999998</v>
      </c>
      <c r="S445" s="51">
        <f t="shared" ref="S445:T445" si="2228">(B444+B445)/2</f>
        <v>55.95</v>
      </c>
      <c r="T445" s="51">
        <f t="shared" si="2228"/>
        <v>48.94</v>
      </c>
      <c r="U445" s="51">
        <f t="shared" si="1283"/>
        <v>39.414999999999999</v>
      </c>
      <c r="V445" s="51">
        <f t="shared" ref="V445:W445" si="2229">(E444+E445)/2</f>
        <v>26.52</v>
      </c>
      <c r="W445" s="51">
        <f t="shared" si="2229"/>
        <v>18.149999999999999</v>
      </c>
      <c r="X445" s="51">
        <f t="shared" ref="X445:AB445" si="2230">(SUM(B442:B445))/4</f>
        <v>56.202499999999993</v>
      </c>
      <c r="Y445" s="51">
        <f t="shared" si="2230"/>
        <v>50.055</v>
      </c>
      <c r="Z445" s="51">
        <f t="shared" si="2230"/>
        <v>39.724999999999994</v>
      </c>
      <c r="AA445" s="51">
        <f t="shared" si="2230"/>
        <v>27.5975</v>
      </c>
      <c r="AB445" s="51">
        <f t="shared" si="2230"/>
        <v>18.094999999999999</v>
      </c>
      <c r="AC445" s="51">
        <f t="shared" ref="AC445:AF445" si="2231">(B445+C445)/2</f>
        <v>51.754999999999995</v>
      </c>
      <c r="AD445" s="51">
        <f t="shared" si="2231"/>
        <v>43.32</v>
      </c>
      <c r="AE445" s="51">
        <f t="shared" si="2231"/>
        <v>31.994999999999997</v>
      </c>
      <c r="AF445" s="51">
        <f t="shared" si="2231"/>
        <v>21.72</v>
      </c>
      <c r="AG445" s="57"/>
      <c r="AH445" s="57"/>
      <c r="AI445" s="57"/>
      <c r="AJ445" s="57"/>
      <c r="AK445" s="51">
        <f t="shared" si="2093"/>
        <v>16.984999999999999</v>
      </c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8"/>
      <c r="BK445" s="8"/>
      <c r="BL445" s="8"/>
      <c r="BM445" s="8"/>
    </row>
    <row r="446" spans="1:65" ht="30" hidden="1" customHeight="1" x14ac:dyDescent="0.45">
      <c r="A446" s="55">
        <f t="shared" si="1280"/>
        <v>44001</v>
      </c>
      <c r="B446" s="56">
        <v>54.36</v>
      </c>
      <c r="C446" s="56">
        <v>46.91</v>
      </c>
      <c r="D446" s="56">
        <v>37.64</v>
      </c>
      <c r="E446" s="56">
        <v>24.34</v>
      </c>
      <c r="F446" s="56">
        <v>17.899999999999999</v>
      </c>
      <c r="G446" s="56">
        <v>50.48</v>
      </c>
      <c r="H446" s="51">
        <f t="shared" ref="H446:M446" si="2232">B446-B445</f>
        <v>-1.1199999999999974</v>
      </c>
      <c r="I446" s="51">
        <f t="shared" si="2232"/>
        <v>-1.1200000000000045</v>
      </c>
      <c r="J446" s="51">
        <f t="shared" si="2232"/>
        <v>-0.96999999999999886</v>
      </c>
      <c r="K446" s="51">
        <f t="shared" si="2232"/>
        <v>-1.0399999999999991</v>
      </c>
      <c r="L446" s="51">
        <f t="shared" si="2232"/>
        <v>-0.16000000000000014</v>
      </c>
      <c r="M446" s="42">
        <f t="shared" si="2232"/>
        <v>-2.2700000000000031</v>
      </c>
      <c r="N446" s="51">
        <f t="shared" ref="N446:R446" si="2233">N445</f>
        <v>54.972499999999997</v>
      </c>
      <c r="O446" s="51">
        <f t="shared" si="2233"/>
        <v>47.534999999999997</v>
      </c>
      <c r="P446" s="51">
        <f t="shared" si="2233"/>
        <v>38.302500000000002</v>
      </c>
      <c r="Q446" s="51">
        <f t="shared" si="2233"/>
        <v>25.317499999999999</v>
      </c>
      <c r="R446" s="51">
        <f t="shared" si="2233"/>
        <v>17.974999999999998</v>
      </c>
      <c r="S446" s="51">
        <f t="shared" ref="S446:T446" si="2234">(B445+B446)/2</f>
        <v>54.92</v>
      </c>
      <c r="T446" s="51">
        <f t="shared" si="2234"/>
        <v>47.47</v>
      </c>
      <c r="U446" s="51">
        <f t="shared" si="1283"/>
        <v>38.125</v>
      </c>
      <c r="V446" s="51">
        <f t="shared" ref="V446:W446" si="2235">(E445+E446)/2</f>
        <v>24.86</v>
      </c>
      <c r="W446" s="51">
        <f t="shared" si="2235"/>
        <v>17.979999999999997</v>
      </c>
      <c r="X446" s="51">
        <f t="shared" ref="X446:AB446" si="2236">(SUM(B443:B446))/4</f>
        <v>55.7</v>
      </c>
      <c r="Y446" s="51">
        <f t="shared" si="2236"/>
        <v>48.99</v>
      </c>
      <c r="Z446" s="51">
        <f t="shared" si="2236"/>
        <v>39.217500000000001</v>
      </c>
      <c r="AA446" s="51">
        <f t="shared" si="2236"/>
        <v>26.6875</v>
      </c>
      <c r="AB446" s="51">
        <f t="shared" si="2236"/>
        <v>18.115000000000002</v>
      </c>
      <c r="AC446" s="51">
        <f t="shared" ref="AC446:AF446" si="2237">(B446+C446)/2</f>
        <v>50.634999999999998</v>
      </c>
      <c r="AD446" s="51">
        <f t="shared" si="2237"/>
        <v>42.274999999999999</v>
      </c>
      <c r="AE446" s="51">
        <f t="shared" si="2237"/>
        <v>30.990000000000002</v>
      </c>
      <c r="AF446" s="51">
        <f t="shared" si="2237"/>
        <v>21.119999999999997</v>
      </c>
      <c r="AG446" s="57"/>
      <c r="AH446" s="57"/>
      <c r="AI446" s="57"/>
      <c r="AJ446" s="57"/>
      <c r="AK446" s="51">
        <f t="shared" si="2093"/>
        <v>16.07</v>
      </c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8"/>
      <c r="BK446" s="8"/>
      <c r="BL446" s="8"/>
      <c r="BM446" s="8"/>
    </row>
    <row r="447" spans="1:65" ht="30" hidden="1" customHeight="1" x14ac:dyDescent="0.45">
      <c r="A447" s="55">
        <f t="shared" si="1280"/>
        <v>44008</v>
      </c>
      <c r="B447" s="56">
        <v>53.63</v>
      </c>
      <c r="C447" s="56">
        <v>45.35</v>
      </c>
      <c r="D447" s="56">
        <v>36.74</v>
      </c>
      <c r="E447" s="56">
        <v>23.89</v>
      </c>
      <c r="F447" s="56">
        <v>17.7</v>
      </c>
      <c r="G447" s="56">
        <v>51.17</v>
      </c>
      <c r="H447" s="51">
        <f t="shared" ref="H447:M447" si="2238">B447-B446</f>
        <v>-0.72999999999999687</v>
      </c>
      <c r="I447" s="51">
        <f t="shared" si="2238"/>
        <v>-1.5599999999999952</v>
      </c>
      <c r="J447" s="51">
        <f t="shared" si="2238"/>
        <v>-0.89999999999999858</v>
      </c>
      <c r="K447" s="51">
        <f t="shared" si="2238"/>
        <v>-0.44999999999999929</v>
      </c>
      <c r="L447" s="51">
        <f t="shared" si="2238"/>
        <v>-0.19999999999999929</v>
      </c>
      <c r="M447" s="42">
        <f t="shared" si="2238"/>
        <v>0.69000000000000483</v>
      </c>
      <c r="N447" s="51">
        <f t="shared" ref="N447:R447" si="2239">N446</f>
        <v>54.972499999999997</v>
      </c>
      <c r="O447" s="51">
        <f t="shared" si="2239"/>
        <v>47.534999999999997</v>
      </c>
      <c r="P447" s="51">
        <f t="shared" si="2239"/>
        <v>38.302500000000002</v>
      </c>
      <c r="Q447" s="51">
        <f t="shared" si="2239"/>
        <v>25.317499999999999</v>
      </c>
      <c r="R447" s="51">
        <f t="shared" si="2239"/>
        <v>17.974999999999998</v>
      </c>
      <c r="S447" s="51">
        <f t="shared" ref="S447:T447" si="2240">(B446+B447)/2</f>
        <v>53.995000000000005</v>
      </c>
      <c r="T447" s="51">
        <f t="shared" si="2240"/>
        <v>46.129999999999995</v>
      </c>
      <c r="U447" s="51">
        <f t="shared" si="1283"/>
        <v>37.19</v>
      </c>
      <c r="V447" s="51">
        <f t="shared" ref="V447:W447" si="2241">(E446+E447)/2</f>
        <v>24.115000000000002</v>
      </c>
      <c r="W447" s="51">
        <f t="shared" si="2241"/>
        <v>17.799999999999997</v>
      </c>
      <c r="X447" s="51">
        <f t="shared" ref="X447:AB447" si="2242">(SUM(B444:B447))/4</f>
        <v>54.972499999999997</v>
      </c>
      <c r="Y447" s="51">
        <f t="shared" si="2242"/>
        <v>47.534999999999997</v>
      </c>
      <c r="Z447" s="51">
        <f t="shared" si="2242"/>
        <v>38.302500000000002</v>
      </c>
      <c r="AA447" s="51">
        <f t="shared" si="2242"/>
        <v>25.317499999999999</v>
      </c>
      <c r="AB447" s="51">
        <f t="shared" si="2242"/>
        <v>17.974999999999998</v>
      </c>
      <c r="AC447" s="51">
        <f t="shared" ref="AC447:AF447" si="2243">(B447+C447)/2</f>
        <v>49.49</v>
      </c>
      <c r="AD447" s="51">
        <f t="shared" si="2243"/>
        <v>41.045000000000002</v>
      </c>
      <c r="AE447" s="51">
        <f t="shared" si="2243"/>
        <v>30.315000000000001</v>
      </c>
      <c r="AF447" s="51">
        <f t="shared" si="2243"/>
        <v>20.795000000000002</v>
      </c>
      <c r="AG447" s="57"/>
      <c r="AH447" s="57"/>
      <c r="AI447" s="57"/>
      <c r="AJ447" s="57"/>
      <c r="AK447" s="51">
        <f t="shared" si="2093"/>
        <v>15.6075</v>
      </c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8"/>
      <c r="BK447" s="8"/>
      <c r="BL447" s="8"/>
      <c r="BM447" s="8"/>
    </row>
    <row r="448" spans="1:65" ht="30" hidden="1" customHeight="1" x14ac:dyDescent="0.45">
      <c r="A448" s="55">
        <f t="shared" si="1280"/>
        <v>44015</v>
      </c>
      <c r="B448" s="56">
        <v>53.23</v>
      </c>
      <c r="C448" s="56">
        <v>44.17</v>
      </c>
      <c r="D448" s="56">
        <v>35.93</v>
      </c>
      <c r="E448" s="56">
        <v>23.56</v>
      </c>
      <c r="F448" s="56">
        <v>17.48</v>
      </c>
      <c r="G448" s="56">
        <v>51.58</v>
      </c>
      <c r="H448" s="51">
        <f t="shared" ref="H448:M448" si="2244">B448-B447</f>
        <v>-0.40000000000000568</v>
      </c>
      <c r="I448" s="51">
        <f t="shared" si="2244"/>
        <v>-1.1799999999999997</v>
      </c>
      <c r="J448" s="51">
        <f t="shared" si="2244"/>
        <v>-0.81000000000000227</v>
      </c>
      <c r="K448" s="51">
        <f t="shared" si="2244"/>
        <v>-0.33000000000000185</v>
      </c>
      <c r="L448" s="51">
        <f t="shared" si="2244"/>
        <v>-0.21999999999999886</v>
      </c>
      <c r="M448" s="42">
        <f t="shared" si="2244"/>
        <v>0.40999999999999659</v>
      </c>
      <c r="N448" s="51">
        <f t="shared" ref="N448:R448" si="2245">AVERAGE(B448:B452)</f>
        <v>53.576000000000001</v>
      </c>
      <c r="O448" s="51">
        <f t="shared" si="2245"/>
        <v>45.096000000000004</v>
      </c>
      <c r="P448" s="51">
        <f t="shared" si="2245"/>
        <v>36.536000000000001</v>
      </c>
      <c r="Q448" s="51">
        <f t="shared" si="2245"/>
        <v>24.405999999999999</v>
      </c>
      <c r="R448" s="51">
        <f t="shared" si="2245"/>
        <v>17.718</v>
      </c>
      <c r="S448" s="51">
        <f t="shared" ref="S448:T448" si="2246">(B447+B448)/2</f>
        <v>53.43</v>
      </c>
      <c r="T448" s="51">
        <f t="shared" si="2246"/>
        <v>44.760000000000005</v>
      </c>
      <c r="U448" s="51">
        <f t="shared" si="1283"/>
        <v>36.335000000000001</v>
      </c>
      <c r="V448" s="51">
        <f t="shared" ref="V448:W448" si="2247">(E447+E448)/2</f>
        <v>23.725000000000001</v>
      </c>
      <c r="W448" s="51">
        <f t="shared" si="2247"/>
        <v>17.59</v>
      </c>
      <c r="X448" s="51">
        <f t="shared" ref="X448:AB448" si="2248">(SUM(B445:B448))/4</f>
        <v>54.174999999999997</v>
      </c>
      <c r="Y448" s="51">
        <f t="shared" si="2248"/>
        <v>46.114999999999995</v>
      </c>
      <c r="Z448" s="51">
        <f t="shared" si="2248"/>
        <v>37.230000000000004</v>
      </c>
      <c r="AA448" s="51">
        <f t="shared" si="2248"/>
        <v>24.2925</v>
      </c>
      <c r="AB448" s="51">
        <f t="shared" si="2248"/>
        <v>17.785</v>
      </c>
      <c r="AC448" s="51">
        <f t="shared" ref="AC448:AF448" si="2249">(B448+C448)/2</f>
        <v>48.7</v>
      </c>
      <c r="AD448" s="51">
        <f t="shared" si="2249"/>
        <v>40.049999999999997</v>
      </c>
      <c r="AE448" s="51">
        <f t="shared" si="2249"/>
        <v>29.744999999999997</v>
      </c>
      <c r="AF448" s="51">
        <f t="shared" si="2249"/>
        <v>20.52</v>
      </c>
      <c r="AG448" s="57"/>
      <c r="AH448" s="57"/>
      <c r="AI448" s="57"/>
      <c r="AJ448" s="57"/>
      <c r="AK448" s="51">
        <f t="shared" si="2093"/>
        <v>15.307499999999999</v>
      </c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8"/>
      <c r="BK448" s="8"/>
      <c r="BL448" s="8"/>
      <c r="BM448" s="8"/>
    </row>
    <row r="449" spans="1:65" ht="30" hidden="1" customHeight="1" x14ac:dyDescent="0.45">
      <c r="A449" s="55">
        <f t="shared" si="1280"/>
        <v>44022</v>
      </c>
      <c r="B449" s="56">
        <v>53.01</v>
      </c>
      <c r="C449" s="56">
        <v>45.13</v>
      </c>
      <c r="D449" s="56">
        <v>36.1</v>
      </c>
      <c r="E449" s="56">
        <v>23.39</v>
      </c>
      <c r="F449" s="56">
        <v>17.23</v>
      </c>
      <c r="G449" s="56">
        <v>52.72</v>
      </c>
      <c r="H449" s="51">
        <f t="shared" ref="H449:M449" si="2250">B449-B448</f>
        <v>-0.21999999999999886</v>
      </c>
      <c r="I449" s="51">
        <f t="shared" si="2250"/>
        <v>0.96000000000000085</v>
      </c>
      <c r="J449" s="51">
        <f t="shared" si="2250"/>
        <v>0.17000000000000171</v>
      </c>
      <c r="K449" s="51">
        <f t="shared" si="2250"/>
        <v>-0.16999999999999815</v>
      </c>
      <c r="L449" s="51">
        <f t="shared" si="2250"/>
        <v>-0.25</v>
      </c>
      <c r="M449" s="42">
        <f t="shared" si="2250"/>
        <v>1.1400000000000006</v>
      </c>
      <c r="N449" s="51">
        <f t="shared" ref="N449:R449" si="2251">N448</f>
        <v>53.576000000000001</v>
      </c>
      <c r="O449" s="51">
        <f t="shared" si="2251"/>
        <v>45.096000000000004</v>
      </c>
      <c r="P449" s="51">
        <f t="shared" si="2251"/>
        <v>36.536000000000001</v>
      </c>
      <c r="Q449" s="51">
        <f t="shared" si="2251"/>
        <v>24.405999999999999</v>
      </c>
      <c r="R449" s="51">
        <f t="shared" si="2251"/>
        <v>17.718</v>
      </c>
      <c r="S449" s="51">
        <f t="shared" ref="S449:T449" si="2252">(B448+B449)/2</f>
        <v>53.12</v>
      </c>
      <c r="T449" s="51">
        <f t="shared" si="2252"/>
        <v>44.650000000000006</v>
      </c>
      <c r="U449" s="51">
        <f t="shared" si="1283"/>
        <v>36.015000000000001</v>
      </c>
      <c r="V449" s="51">
        <f t="shared" ref="V449:W449" si="2253">(E448+E449)/2</f>
        <v>23.475000000000001</v>
      </c>
      <c r="W449" s="51">
        <f t="shared" si="2253"/>
        <v>17.355</v>
      </c>
      <c r="X449" s="51">
        <f t="shared" ref="X449:AB449" si="2254">(SUM(B446:B449))/4</f>
        <v>53.557499999999997</v>
      </c>
      <c r="Y449" s="51">
        <f t="shared" si="2254"/>
        <v>45.39</v>
      </c>
      <c r="Z449" s="51">
        <f t="shared" si="2254"/>
        <v>36.602499999999999</v>
      </c>
      <c r="AA449" s="51">
        <f t="shared" si="2254"/>
        <v>23.795000000000002</v>
      </c>
      <c r="AB449" s="51">
        <f t="shared" si="2254"/>
        <v>17.577500000000001</v>
      </c>
      <c r="AC449" s="51">
        <f t="shared" ref="AC449:AF449" si="2255">(B449+C449)/2</f>
        <v>49.07</v>
      </c>
      <c r="AD449" s="51">
        <f t="shared" si="2255"/>
        <v>40.615000000000002</v>
      </c>
      <c r="AE449" s="51">
        <f t="shared" si="2255"/>
        <v>29.745000000000001</v>
      </c>
      <c r="AF449" s="51">
        <f t="shared" si="2255"/>
        <v>20.310000000000002</v>
      </c>
      <c r="AG449" s="57"/>
      <c r="AH449" s="57"/>
      <c r="AI449" s="57"/>
      <c r="AJ449" s="57"/>
      <c r="AK449" s="51">
        <f t="shared" si="2093"/>
        <v>15.065</v>
      </c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8"/>
      <c r="BK449" s="8"/>
      <c r="BL449" s="8"/>
      <c r="BM449" s="8"/>
    </row>
    <row r="450" spans="1:65" ht="30" hidden="1" customHeight="1" x14ac:dyDescent="0.45">
      <c r="A450" s="55">
        <f t="shared" si="1280"/>
        <v>44029</v>
      </c>
      <c r="B450" s="56">
        <v>53.8</v>
      </c>
      <c r="C450" s="56">
        <v>45.05</v>
      </c>
      <c r="D450" s="56">
        <v>36.5</v>
      </c>
      <c r="E450" s="56">
        <v>24.24</v>
      </c>
      <c r="F450" s="56">
        <v>17.73</v>
      </c>
      <c r="G450" s="56">
        <v>52.48</v>
      </c>
      <c r="H450" s="51">
        <f t="shared" ref="H450:M450" si="2256">B450-B449</f>
        <v>0.78999999999999915</v>
      </c>
      <c r="I450" s="51">
        <f t="shared" si="2256"/>
        <v>-8.00000000000054E-2</v>
      </c>
      <c r="J450" s="51">
        <f t="shared" si="2256"/>
        <v>0.39999999999999858</v>
      </c>
      <c r="K450" s="51">
        <f t="shared" si="2256"/>
        <v>0.84999999999999787</v>
      </c>
      <c r="L450" s="51">
        <f t="shared" si="2256"/>
        <v>0.5</v>
      </c>
      <c r="M450" s="42">
        <f t="shared" si="2256"/>
        <v>-0.24000000000000199</v>
      </c>
      <c r="N450" s="51">
        <f t="shared" ref="N450:R450" si="2257">N449</f>
        <v>53.576000000000001</v>
      </c>
      <c r="O450" s="51">
        <f t="shared" si="2257"/>
        <v>45.096000000000004</v>
      </c>
      <c r="P450" s="51">
        <f t="shared" si="2257"/>
        <v>36.536000000000001</v>
      </c>
      <c r="Q450" s="51">
        <f t="shared" si="2257"/>
        <v>24.405999999999999</v>
      </c>
      <c r="R450" s="51">
        <f t="shared" si="2257"/>
        <v>17.718</v>
      </c>
      <c r="S450" s="51">
        <f t="shared" ref="S450:T450" si="2258">(B449+B450)/2</f>
        <v>53.405000000000001</v>
      </c>
      <c r="T450" s="51">
        <f t="shared" si="2258"/>
        <v>45.09</v>
      </c>
      <c r="U450" s="51">
        <f t="shared" si="1283"/>
        <v>36.299999999999997</v>
      </c>
      <c r="V450" s="51">
        <f t="shared" ref="V450:W450" si="2259">(E449+E450)/2</f>
        <v>23.814999999999998</v>
      </c>
      <c r="W450" s="51">
        <f t="shared" si="2259"/>
        <v>17.48</v>
      </c>
      <c r="X450" s="51">
        <f t="shared" ref="X450:AB450" si="2260">(SUM(B447:B450))/4</f>
        <v>53.417500000000004</v>
      </c>
      <c r="Y450" s="51">
        <f t="shared" si="2260"/>
        <v>44.924999999999997</v>
      </c>
      <c r="Z450" s="51">
        <f t="shared" si="2260"/>
        <v>36.317500000000003</v>
      </c>
      <c r="AA450" s="51">
        <f t="shared" si="2260"/>
        <v>23.77</v>
      </c>
      <c r="AB450" s="51">
        <f t="shared" si="2260"/>
        <v>17.535</v>
      </c>
      <c r="AC450" s="51">
        <f t="shared" ref="AC450:AF450" si="2261">(B450+C450)/2</f>
        <v>49.424999999999997</v>
      </c>
      <c r="AD450" s="51">
        <f t="shared" si="2261"/>
        <v>40.774999999999999</v>
      </c>
      <c r="AE450" s="51">
        <f t="shared" si="2261"/>
        <v>30.369999999999997</v>
      </c>
      <c r="AF450" s="51">
        <f t="shared" si="2261"/>
        <v>20.984999999999999</v>
      </c>
      <c r="AG450" s="57"/>
      <c r="AH450" s="57"/>
      <c r="AI450" s="57"/>
      <c r="AJ450" s="57"/>
      <c r="AK450" s="51">
        <f t="shared" si="2093"/>
        <v>15.297500000000001</v>
      </c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8"/>
      <c r="BK450" s="8"/>
      <c r="BL450" s="8"/>
      <c r="BM450" s="8"/>
    </row>
    <row r="451" spans="1:65" ht="30" hidden="1" customHeight="1" x14ac:dyDescent="0.45">
      <c r="A451" s="55">
        <f t="shared" si="1280"/>
        <v>44036</v>
      </c>
      <c r="B451" s="56">
        <v>54.16</v>
      </c>
      <c r="C451" s="56">
        <v>45.57</v>
      </c>
      <c r="D451" s="56">
        <v>36.93</v>
      </c>
      <c r="E451" s="56">
        <v>25.36</v>
      </c>
      <c r="F451" s="56">
        <v>18</v>
      </c>
      <c r="G451" s="56">
        <v>51.72</v>
      </c>
      <c r="H451" s="51">
        <f t="shared" ref="H451:M451" si="2262">B451-B450</f>
        <v>0.35999999999999943</v>
      </c>
      <c r="I451" s="51">
        <f t="shared" si="2262"/>
        <v>0.52000000000000313</v>
      </c>
      <c r="J451" s="51">
        <f t="shared" si="2262"/>
        <v>0.42999999999999972</v>
      </c>
      <c r="K451" s="51">
        <f t="shared" si="2262"/>
        <v>1.120000000000001</v>
      </c>
      <c r="L451" s="51">
        <f t="shared" si="2262"/>
        <v>0.26999999999999957</v>
      </c>
      <c r="M451" s="42">
        <f t="shared" si="2262"/>
        <v>-0.75999999999999801</v>
      </c>
      <c r="N451" s="51">
        <f t="shared" ref="N451:R451" si="2263">N450</f>
        <v>53.576000000000001</v>
      </c>
      <c r="O451" s="51">
        <f t="shared" si="2263"/>
        <v>45.096000000000004</v>
      </c>
      <c r="P451" s="51">
        <f t="shared" si="2263"/>
        <v>36.536000000000001</v>
      </c>
      <c r="Q451" s="51">
        <f t="shared" si="2263"/>
        <v>24.405999999999999</v>
      </c>
      <c r="R451" s="51">
        <f t="shared" si="2263"/>
        <v>17.718</v>
      </c>
      <c r="S451" s="51">
        <f t="shared" ref="S451:T451" si="2264">(B450+B451)/2</f>
        <v>53.98</v>
      </c>
      <c r="T451" s="51">
        <f t="shared" si="2264"/>
        <v>45.31</v>
      </c>
      <c r="U451" s="51">
        <f t="shared" si="1283"/>
        <v>36.715000000000003</v>
      </c>
      <c r="V451" s="51">
        <f t="shared" ref="V451:W451" si="2265">(E450+E451)/2</f>
        <v>24.799999999999997</v>
      </c>
      <c r="W451" s="51">
        <f t="shared" si="2265"/>
        <v>17.865000000000002</v>
      </c>
      <c r="X451" s="51">
        <f t="shared" ref="X451:AB451" si="2266">(SUM(B448:B451))/4</f>
        <v>53.55</v>
      </c>
      <c r="Y451" s="51">
        <f t="shared" si="2266"/>
        <v>44.980000000000004</v>
      </c>
      <c r="Z451" s="51">
        <f t="shared" si="2266"/>
        <v>36.365000000000002</v>
      </c>
      <c r="AA451" s="51">
        <f t="shared" si="2266"/>
        <v>24.137499999999999</v>
      </c>
      <c r="AB451" s="51">
        <f t="shared" si="2266"/>
        <v>17.61</v>
      </c>
      <c r="AC451" s="51">
        <f t="shared" ref="AC451:AF451" si="2267">(B451+C451)/2</f>
        <v>49.864999999999995</v>
      </c>
      <c r="AD451" s="51">
        <f t="shared" si="2267"/>
        <v>41.25</v>
      </c>
      <c r="AE451" s="51">
        <f t="shared" si="2267"/>
        <v>31.145</v>
      </c>
      <c r="AF451" s="51">
        <f t="shared" si="2267"/>
        <v>21.68</v>
      </c>
      <c r="AG451" s="57"/>
      <c r="AH451" s="57"/>
      <c r="AI451" s="57"/>
      <c r="AJ451" s="57"/>
      <c r="AK451" s="51">
        <f t="shared" si="2093"/>
        <v>15.9825</v>
      </c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8"/>
      <c r="BK451" s="8"/>
      <c r="BL451" s="8"/>
      <c r="BM451" s="8"/>
    </row>
    <row r="452" spans="1:65" ht="30" hidden="1" customHeight="1" x14ac:dyDescent="0.45">
      <c r="A452" s="55">
        <f t="shared" si="1280"/>
        <v>44043</v>
      </c>
      <c r="B452" s="56">
        <v>53.68</v>
      </c>
      <c r="C452" s="56">
        <v>45.56</v>
      </c>
      <c r="D452" s="56">
        <v>37.22</v>
      </c>
      <c r="E452" s="56">
        <v>25.48</v>
      </c>
      <c r="F452" s="56">
        <v>18.149999999999999</v>
      </c>
      <c r="G452" s="56">
        <v>50.73</v>
      </c>
      <c r="H452" s="51">
        <f t="shared" ref="H452:M452" si="2268">B452-B451</f>
        <v>-0.47999999999999687</v>
      </c>
      <c r="I452" s="51">
        <f t="shared" si="2268"/>
        <v>-9.9999999999980105E-3</v>
      </c>
      <c r="J452" s="51">
        <f t="shared" si="2268"/>
        <v>0.28999999999999915</v>
      </c>
      <c r="K452" s="51">
        <f t="shared" si="2268"/>
        <v>0.12000000000000099</v>
      </c>
      <c r="L452" s="51">
        <f t="shared" si="2268"/>
        <v>0.14999999999999858</v>
      </c>
      <c r="M452" s="42">
        <f t="shared" si="2268"/>
        <v>-0.99000000000000199</v>
      </c>
      <c r="N452" s="51">
        <f t="shared" ref="N452:R452" si="2269">N451</f>
        <v>53.576000000000001</v>
      </c>
      <c r="O452" s="51">
        <f t="shared" si="2269"/>
        <v>45.096000000000004</v>
      </c>
      <c r="P452" s="51">
        <f t="shared" si="2269"/>
        <v>36.536000000000001</v>
      </c>
      <c r="Q452" s="51">
        <f t="shared" si="2269"/>
        <v>24.405999999999999</v>
      </c>
      <c r="R452" s="51">
        <f t="shared" si="2269"/>
        <v>17.718</v>
      </c>
      <c r="S452" s="51">
        <f t="shared" ref="S452:T452" si="2270">(B451+B452)/2</f>
        <v>53.92</v>
      </c>
      <c r="T452" s="51">
        <f t="shared" si="2270"/>
        <v>45.564999999999998</v>
      </c>
      <c r="U452" s="51">
        <f t="shared" si="1283"/>
        <v>37.075000000000003</v>
      </c>
      <c r="V452" s="51">
        <f t="shared" ref="V452:W452" si="2271">(E451+E452)/2</f>
        <v>25.42</v>
      </c>
      <c r="W452" s="51">
        <f t="shared" si="2271"/>
        <v>18.074999999999999</v>
      </c>
      <c r="X452" s="51">
        <f t="shared" ref="X452:AB452" si="2272">(SUM(B449:B452))/4</f>
        <v>53.662500000000001</v>
      </c>
      <c r="Y452" s="51">
        <f t="shared" si="2272"/>
        <v>45.327500000000001</v>
      </c>
      <c r="Z452" s="51">
        <f t="shared" si="2272"/>
        <v>36.6875</v>
      </c>
      <c r="AA452" s="51">
        <f t="shared" si="2272"/>
        <v>24.6175</v>
      </c>
      <c r="AB452" s="51">
        <f t="shared" si="2272"/>
        <v>17.7775</v>
      </c>
      <c r="AC452" s="51">
        <f t="shared" ref="AC452:AF452" si="2273">(B452+C452)/2</f>
        <v>49.620000000000005</v>
      </c>
      <c r="AD452" s="51">
        <f t="shared" si="2273"/>
        <v>41.39</v>
      </c>
      <c r="AE452" s="51">
        <f t="shared" si="2273"/>
        <v>31.35</v>
      </c>
      <c r="AF452" s="51">
        <f t="shared" si="2273"/>
        <v>21.814999999999998</v>
      </c>
      <c r="AG452" s="57"/>
      <c r="AH452" s="57"/>
      <c r="AI452" s="57"/>
      <c r="AJ452" s="57"/>
      <c r="AK452" s="51">
        <f t="shared" si="2093"/>
        <v>16.397500000000001</v>
      </c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8"/>
      <c r="BK452" s="8"/>
      <c r="BL452" s="8"/>
      <c r="BM452" s="8"/>
    </row>
    <row r="453" spans="1:65" ht="30" hidden="1" customHeight="1" x14ac:dyDescent="0.45">
      <c r="A453" s="55">
        <f t="shared" si="1280"/>
        <v>44050</v>
      </c>
      <c r="B453" s="56">
        <v>53.46</v>
      </c>
      <c r="C453" s="56">
        <v>45.45</v>
      </c>
      <c r="D453" s="56">
        <v>37.39</v>
      </c>
      <c r="E453" s="56">
        <v>25.12</v>
      </c>
      <c r="F453" s="56">
        <v>18.100000000000001</v>
      </c>
      <c r="G453" s="56">
        <v>51.42</v>
      </c>
      <c r="H453" s="51">
        <f t="shared" ref="H453:M453" si="2274">B453-B452</f>
        <v>-0.21999999999999886</v>
      </c>
      <c r="I453" s="51">
        <f t="shared" si="2274"/>
        <v>-0.10999999999999943</v>
      </c>
      <c r="J453" s="51">
        <f t="shared" si="2274"/>
        <v>0.17000000000000171</v>
      </c>
      <c r="K453" s="51">
        <f t="shared" si="2274"/>
        <v>-0.35999999999999943</v>
      </c>
      <c r="L453" s="51">
        <f t="shared" si="2274"/>
        <v>-4.9999999999997158E-2</v>
      </c>
      <c r="M453" s="42">
        <f t="shared" si="2274"/>
        <v>0.69000000000000483</v>
      </c>
      <c r="N453" s="51">
        <f t="shared" ref="N453:R453" si="2275">AVERAGE(B453:B456)</f>
        <v>52.929999999999993</v>
      </c>
      <c r="O453" s="51">
        <f t="shared" si="2275"/>
        <v>44.645000000000003</v>
      </c>
      <c r="P453" s="51">
        <f t="shared" si="2275"/>
        <v>36.57</v>
      </c>
      <c r="Q453" s="51">
        <f t="shared" si="2275"/>
        <v>23.900000000000002</v>
      </c>
      <c r="R453" s="51">
        <f t="shared" si="2275"/>
        <v>17.865000000000002</v>
      </c>
      <c r="S453" s="51">
        <f t="shared" ref="S453:T453" si="2276">(B452+B453)/2</f>
        <v>53.57</v>
      </c>
      <c r="T453" s="51">
        <f t="shared" si="2276"/>
        <v>45.505000000000003</v>
      </c>
      <c r="U453" s="51">
        <f t="shared" si="1283"/>
        <v>37.305</v>
      </c>
      <c r="V453" s="51">
        <f t="shared" ref="V453:W453" si="2277">(E452+E453)/2</f>
        <v>25.3</v>
      </c>
      <c r="W453" s="51">
        <f t="shared" si="2277"/>
        <v>18.125</v>
      </c>
      <c r="X453" s="51">
        <f t="shared" ref="X453:AB453" si="2278">(SUM(B450:B453))/4</f>
        <v>53.774999999999999</v>
      </c>
      <c r="Y453" s="51">
        <f t="shared" si="2278"/>
        <v>45.407499999999999</v>
      </c>
      <c r="Z453" s="51">
        <f t="shared" si="2278"/>
        <v>37.010000000000005</v>
      </c>
      <c r="AA453" s="51">
        <f t="shared" si="2278"/>
        <v>25.05</v>
      </c>
      <c r="AB453" s="51">
        <f t="shared" si="2278"/>
        <v>17.995000000000001</v>
      </c>
      <c r="AC453" s="51">
        <f t="shared" ref="AC453:AF453" si="2279">(B453+C453)/2</f>
        <v>49.454999999999998</v>
      </c>
      <c r="AD453" s="51">
        <f t="shared" si="2279"/>
        <v>41.42</v>
      </c>
      <c r="AE453" s="51">
        <f t="shared" si="2279"/>
        <v>31.255000000000003</v>
      </c>
      <c r="AF453" s="51">
        <f t="shared" si="2279"/>
        <v>21.61</v>
      </c>
      <c r="AG453" s="57"/>
      <c r="AH453" s="57"/>
      <c r="AI453" s="57"/>
      <c r="AJ453" s="57"/>
      <c r="AK453" s="51">
        <f t="shared" si="2093"/>
        <v>16.362499999999997</v>
      </c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8"/>
      <c r="BK453" s="8"/>
      <c r="BL453" s="8"/>
      <c r="BM453" s="8"/>
    </row>
    <row r="454" spans="1:65" ht="30" hidden="1" customHeight="1" x14ac:dyDescent="0.45">
      <c r="A454" s="55">
        <f t="shared" si="1280"/>
        <v>44057</v>
      </c>
      <c r="B454" s="56">
        <v>53.05</v>
      </c>
      <c r="C454" s="56">
        <v>44.92</v>
      </c>
      <c r="D454" s="56">
        <v>36.83</v>
      </c>
      <c r="E454" s="56">
        <v>24.05</v>
      </c>
      <c r="F454" s="56">
        <v>17.97</v>
      </c>
      <c r="G454" s="56">
        <v>49.52</v>
      </c>
      <c r="H454" s="51">
        <f t="shared" ref="H454:M454" si="2280">B454-B453</f>
        <v>-0.41000000000000369</v>
      </c>
      <c r="I454" s="51">
        <f t="shared" si="2280"/>
        <v>-0.53000000000000114</v>
      </c>
      <c r="J454" s="51">
        <f t="shared" si="2280"/>
        <v>-0.56000000000000227</v>
      </c>
      <c r="K454" s="51">
        <f t="shared" si="2280"/>
        <v>-1.0700000000000003</v>
      </c>
      <c r="L454" s="51">
        <f t="shared" si="2280"/>
        <v>-0.13000000000000256</v>
      </c>
      <c r="M454" s="42">
        <f t="shared" si="2280"/>
        <v>-1.8999999999999986</v>
      </c>
      <c r="N454" s="51">
        <f t="shared" ref="N454:R454" si="2281">N453</f>
        <v>52.929999999999993</v>
      </c>
      <c r="O454" s="51">
        <f t="shared" si="2281"/>
        <v>44.645000000000003</v>
      </c>
      <c r="P454" s="51">
        <f t="shared" si="2281"/>
        <v>36.57</v>
      </c>
      <c r="Q454" s="51">
        <f t="shared" si="2281"/>
        <v>23.900000000000002</v>
      </c>
      <c r="R454" s="51">
        <f t="shared" si="2281"/>
        <v>17.865000000000002</v>
      </c>
      <c r="S454" s="51">
        <f t="shared" ref="S454:T454" si="2282">(B453+B454)/2</f>
        <v>53.254999999999995</v>
      </c>
      <c r="T454" s="51">
        <f t="shared" si="2282"/>
        <v>45.185000000000002</v>
      </c>
      <c r="U454" s="51">
        <f t="shared" si="1283"/>
        <v>37.11</v>
      </c>
      <c r="V454" s="51">
        <f t="shared" ref="V454:W454" si="2283">(E453+E454)/2</f>
        <v>24.585000000000001</v>
      </c>
      <c r="W454" s="51">
        <f t="shared" si="2283"/>
        <v>18.035</v>
      </c>
      <c r="X454" s="51">
        <f t="shared" ref="X454:AB454" si="2284">(SUM(B451:B454))/4</f>
        <v>53.587500000000006</v>
      </c>
      <c r="Y454" s="51">
        <f t="shared" si="2284"/>
        <v>45.375</v>
      </c>
      <c r="Z454" s="51">
        <f t="shared" si="2284"/>
        <v>37.092500000000001</v>
      </c>
      <c r="AA454" s="51">
        <f t="shared" si="2284"/>
        <v>25.002500000000001</v>
      </c>
      <c r="AB454" s="51">
        <f t="shared" si="2284"/>
        <v>18.055</v>
      </c>
      <c r="AC454" s="51">
        <f t="shared" ref="AC454:AF454" si="2285">(B454+C454)/2</f>
        <v>48.984999999999999</v>
      </c>
      <c r="AD454" s="51">
        <f t="shared" si="2285"/>
        <v>40.875</v>
      </c>
      <c r="AE454" s="51">
        <f t="shared" si="2285"/>
        <v>30.439999999999998</v>
      </c>
      <c r="AF454" s="51">
        <f t="shared" si="2285"/>
        <v>21.009999999999998</v>
      </c>
      <c r="AG454" s="57"/>
      <c r="AH454" s="57"/>
      <c r="AI454" s="57"/>
      <c r="AJ454" s="57"/>
      <c r="AK454" s="51">
        <f t="shared" si="2093"/>
        <v>15.960000000000003</v>
      </c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8"/>
      <c r="BK454" s="8"/>
      <c r="BL454" s="8"/>
      <c r="BM454" s="8"/>
    </row>
    <row r="455" spans="1:65" ht="30" hidden="1" customHeight="1" x14ac:dyDescent="0.45">
      <c r="A455" s="55">
        <f t="shared" si="1280"/>
        <v>44064</v>
      </c>
      <c r="B455" s="56">
        <v>52.88</v>
      </c>
      <c r="C455" s="56">
        <v>44.24</v>
      </c>
      <c r="D455" s="56">
        <v>36.049999999999997</v>
      </c>
      <c r="E455" s="56">
        <v>23.57</v>
      </c>
      <c r="F455" s="56">
        <v>17.78</v>
      </c>
      <c r="G455" s="56">
        <v>50.19</v>
      </c>
      <c r="H455" s="51">
        <f t="shared" ref="H455:M455" si="2286">B455-B454</f>
        <v>-0.1699999999999946</v>
      </c>
      <c r="I455" s="51">
        <f t="shared" si="2286"/>
        <v>-0.67999999999999972</v>
      </c>
      <c r="J455" s="51">
        <f t="shared" si="2286"/>
        <v>-0.78000000000000114</v>
      </c>
      <c r="K455" s="51">
        <f t="shared" si="2286"/>
        <v>-0.48000000000000043</v>
      </c>
      <c r="L455" s="51">
        <f t="shared" si="2286"/>
        <v>-0.18999999999999773</v>
      </c>
      <c r="M455" s="42">
        <f t="shared" si="2286"/>
        <v>0.6699999999999946</v>
      </c>
      <c r="N455" s="51">
        <f t="shared" ref="N455:R455" si="2287">N454</f>
        <v>52.929999999999993</v>
      </c>
      <c r="O455" s="51">
        <f t="shared" si="2287"/>
        <v>44.645000000000003</v>
      </c>
      <c r="P455" s="51">
        <f t="shared" si="2287"/>
        <v>36.57</v>
      </c>
      <c r="Q455" s="51">
        <f t="shared" si="2287"/>
        <v>23.900000000000002</v>
      </c>
      <c r="R455" s="51">
        <f t="shared" si="2287"/>
        <v>17.865000000000002</v>
      </c>
      <c r="S455" s="51">
        <f t="shared" ref="S455:T455" si="2288">(B454+B455)/2</f>
        <v>52.965000000000003</v>
      </c>
      <c r="T455" s="51">
        <f t="shared" si="2288"/>
        <v>44.58</v>
      </c>
      <c r="U455" s="51">
        <f t="shared" si="1283"/>
        <v>36.44</v>
      </c>
      <c r="V455" s="51">
        <f t="shared" ref="V455:W455" si="2289">(E454+E455)/2</f>
        <v>23.810000000000002</v>
      </c>
      <c r="W455" s="51">
        <f t="shared" si="2289"/>
        <v>17.875</v>
      </c>
      <c r="X455" s="51">
        <f t="shared" ref="X455:AB455" si="2290">(SUM(B452:B455))/4</f>
        <v>53.267499999999998</v>
      </c>
      <c r="Y455" s="51">
        <f t="shared" si="2290"/>
        <v>45.042500000000004</v>
      </c>
      <c r="Z455" s="51">
        <f t="shared" si="2290"/>
        <v>36.872500000000002</v>
      </c>
      <c r="AA455" s="51">
        <f t="shared" si="2290"/>
        <v>24.555</v>
      </c>
      <c r="AB455" s="51">
        <f t="shared" si="2290"/>
        <v>18</v>
      </c>
      <c r="AC455" s="51">
        <f t="shared" ref="AC455:AF455" si="2291">(B455+C455)/2</f>
        <v>48.56</v>
      </c>
      <c r="AD455" s="51">
        <f t="shared" si="2291"/>
        <v>40.144999999999996</v>
      </c>
      <c r="AE455" s="51">
        <f t="shared" si="2291"/>
        <v>29.81</v>
      </c>
      <c r="AF455" s="51">
        <f t="shared" si="2291"/>
        <v>20.675000000000001</v>
      </c>
      <c r="AG455" s="57"/>
      <c r="AH455" s="57"/>
      <c r="AI455" s="57"/>
      <c r="AJ455" s="57"/>
      <c r="AK455" s="51">
        <f t="shared" si="2093"/>
        <v>15.492500000000001</v>
      </c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8"/>
      <c r="BK455" s="8"/>
      <c r="BL455" s="8"/>
      <c r="BM455" s="8"/>
    </row>
    <row r="456" spans="1:65" ht="30" hidden="1" customHeight="1" x14ac:dyDescent="0.45">
      <c r="A456" s="55">
        <f t="shared" si="1280"/>
        <v>44071</v>
      </c>
      <c r="B456" s="56">
        <v>52.33</v>
      </c>
      <c r="C456" s="56">
        <v>43.97</v>
      </c>
      <c r="D456" s="56">
        <v>36.01</v>
      </c>
      <c r="E456" s="56">
        <v>22.86</v>
      </c>
      <c r="F456" s="56">
        <v>17.61</v>
      </c>
      <c r="G456" s="56">
        <v>47.99</v>
      </c>
      <c r="H456" s="51">
        <f t="shared" ref="H456:M456" si="2292">B456-B455</f>
        <v>-0.55000000000000426</v>
      </c>
      <c r="I456" s="51">
        <f t="shared" si="2292"/>
        <v>-0.27000000000000313</v>
      </c>
      <c r="J456" s="51">
        <f t="shared" si="2292"/>
        <v>-3.9999999999999147E-2</v>
      </c>
      <c r="K456" s="51">
        <f t="shared" si="2292"/>
        <v>-0.71000000000000085</v>
      </c>
      <c r="L456" s="51">
        <f t="shared" si="2292"/>
        <v>-0.17000000000000171</v>
      </c>
      <c r="M456" s="42">
        <f t="shared" si="2292"/>
        <v>-2.1999999999999957</v>
      </c>
      <c r="N456" s="51">
        <f t="shared" ref="N456:R456" si="2293">N455</f>
        <v>52.929999999999993</v>
      </c>
      <c r="O456" s="51">
        <f t="shared" si="2293"/>
        <v>44.645000000000003</v>
      </c>
      <c r="P456" s="51">
        <f t="shared" si="2293"/>
        <v>36.57</v>
      </c>
      <c r="Q456" s="51">
        <f t="shared" si="2293"/>
        <v>23.900000000000002</v>
      </c>
      <c r="R456" s="51">
        <f t="shared" si="2293"/>
        <v>17.865000000000002</v>
      </c>
      <c r="S456" s="51">
        <f t="shared" ref="S456:T456" si="2294">(B455+B456)/2</f>
        <v>52.605000000000004</v>
      </c>
      <c r="T456" s="51">
        <f t="shared" si="2294"/>
        <v>44.105000000000004</v>
      </c>
      <c r="U456" s="51">
        <f t="shared" si="1283"/>
        <v>36.03</v>
      </c>
      <c r="V456" s="51">
        <f t="shared" ref="V456:W456" si="2295">(E455+E456)/2</f>
        <v>23.215</v>
      </c>
      <c r="W456" s="51">
        <f t="shared" si="2295"/>
        <v>17.695</v>
      </c>
      <c r="X456" s="51">
        <f t="shared" ref="X456:AB456" si="2296">(SUM(B453:B456))/4</f>
        <v>52.929999999999993</v>
      </c>
      <c r="Y456" s="51">
        <f t="shared" si="2296"/>
        <v>44.645000000000003</v>
      </c>
      <c r="Z456" s="51">
        <f t="shared" si="2296"/>
        <v>36.57</v>
      </c>
      <c r="AA456" s="51">
        <f t="shared" si="2296"/>
        <v>23.900000000000002</v>
      </c>
      <c r="AB456" s="51">
        <f t="shared" si="2296"/>
        <v>17.865000000000002</v>
      </c>
      <c r="AC456" s="51">
        <f t="shared" ref="AC456:AF456" si="2297">(B456+C456)/2</f>
        <v>48.15</v>
      </c>
      <c r="AD456" s="51">
        <f t="shared" si="2297"/>
        <v>39.989999999999995</v>
      </c>
      <c r="AE456" s="51">
        <f t="shared" si="2297"/>
        <v>29.434999999999999</v>
      </c>
      <c r="AF456" s="51">
        <f t="shared" si="2297"/>
        <v>20.234999999999999</v>
      </c>
      <c r="AG456" s="57"/>
      <c r="AH456" s="57"/>
      <c r="AI456" s="57"/>
      <c r="AJ456" s="57"/>
      <c r="AK456" s="51">
        <f t="shared" si="2093"/>
        <v>15.104999999999999</v>
      </c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8"/>
      <c r="BK456" s="8"/>
      <c r="BL456" s="8"/>
      <c r="BM456" s="8"/>
    </row>
    <row r="457" spans="1:65" ht="30" hidden="1" customHeight="1" x14ac:dyDescent="0.45">
      <c r="A457" s="55">
        <f t="shared" si="1280"/>
        <v>44078</v>
      </c>
      <c r="B457" s="56">
        <v>51.91</v>
      </c>
      <c r="C457" s="56">
        <v>44.21</v>
      </c>
      <c r="D457" s="56">
        <v>35.76</v>
      </c>
      <c r="E457" s="56">
        <v>22.63</v>
      </c>
      <c r="F457" s="56">
        <v>17.010000000000002</v>
      </c>
      <c r="G457" s="56">
        <v>48.17</v>
      </c>
      <c r="H457" s="51">
        <f t="shared" ref="H457:M457" si="2298">B457-B456</f>
        <v>-0.42000000000000171</v>
      </c>
      <c r="I457" s="51">
        <f t="shared" si="2298"/>
        <v>0.24000000000000199</v>
      </c>
      <c r="J457" s="51">
        <f t="shared" si="2298"/>
        <v>-0.25</v>
      </c>
      <c r="K457" s="51">
        <f t="shared" si="2298"/>
        <v>-0.23000000000000043</v>
      </c>
      <c r="L457" s="51">
        <f t="shared" si="2298"/>
        <v>-0.59999999999999787</v>
      </c>
      <c r="M457" s="42">
        <f t="shared" si="2298"/>
        <v>0.17999999999999972</v>
      </c>
      <c r="N457" s="51">
        <f t="shared" ref="N457:R457" si="2299">AVERAGE(B457:B460)</f>
        <v>53.209999999999994</v>
      </c>
      <c r="O457" s="51">
        <f t="shared" si="2299"/>
        <v>44.685000000000002</v>
      </c>
      <c r="P457" s="51">
        <f t="shared" si="2299"/>
        <v>36.402500000000003</v>
      </c>
      <c r="Q457" s="51">
        <f t="shared" si="2299"/>
        <v>23.494999999999997</v>
      </c>
      <c r="R457" s="51">
        <f t="shared" si="2299"/>
        <v>17.285000000000004</v>
      </c>
      <c r="S457" s="51">
        <f t="shared" ref="S457:T457" si="2300">(B456+B457)/2</f>
        <v>52.12</v>
      </c>
      <c r="T457" s="51">
        <f t="shared" si="2300"/>
        <v>44.09</v>
      </c>
      <c r="U457" s="51">
        <f t="shared" si="1283"/>
        <v>35.884999999999998</v>
      </c>
      <c r="V457" s="51">
        <f t="shared" ref="V457:W457" si="2301">(E456+E457)/2</f>
        <v>22.744999999999997</v>
      </c>
      <c r="W457" s="51">
        <f t="shared" si="2301"/>
        <v>17.310000000000002</v>
      </c>
      <c r="X457" s="51">
        <f t="shared" ref="X457:AB457" si="2302">(SUM(B454:B457))/4</f>
        <v>52.542499999999997</v>
      </c>
      <c r="Y457" s="51">
        <f t="shared" si="2302"/>
        <v>44.335000000000001</v>
      </c>
      <c r="Z457" s="51">
        <f t="shared" si="2302"/>
        <v>36.162499999999994</v>
      </c>
      <c r="AA457" s="51">
        <f t="shared" si="2302"/>
        <v>23.2775</v>
      </c>
      <c r="AB457" s="51">
        <f t="shared" si="2302"/>
        <v>17.592500000000001</v>
      </c>
      <c r="AC457" s="51">
        <f t="shared" ref="AC457:AF457" si="2303">(B457+C457)/2</f>
        <v>48.06</v>
      </c>
      <c r="AD457" s="51">
        <f t="shared" si="2303"/>
        <v>39.984999999999999</v>
      </c>
      <c r="AE457" s="51">
        <f t="shared" si="2303"/>
        <v>29.195</v>
      </c>
      <c r="AF457" s="51">
        <f t="shared" si="2303"/>
        <v>19.82</v>
      </c>
      <c r="AG457" s="57"/>
      <c r="AH457" s="57"/>
      <c r="AI457" s="57"/>
      <c r="AJ457" s="57"/>
      <c r="AK457" s="51">
        <f t="shared" si="2093"/>
        <v>14.6775</v>
      </c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8"/>
      <c r="BK457" s="8"/>
      <c r="BL457" s="8"/>
      <c r="BM457" s="8"/>
    </row>
    <row r="458" spans="1:65" ht="30" hidden="1" customHeight="1" x14ac:dyDescent="0.45">
      <c r="A458" s="55">
        <f t="shared" si="1280"/>
        <v>44085</v>
      </c>
      <c r="B458" s="56">
        <v>51.97</v>
      </c>
      <c r="C458" s="56">
        <v>43.99</v>
      </c>
      <c r="D458" s="56">
        <v>35.65</v>
      </c>
      <c r="E458" s="56">
        <v>22.65</v>
      </c>
      <c r="F458" s="56">
        <v>16.940000000000001</v>
      </c>
      <c r="G458" s="56">
        <v>49.85</v>
      </c>
      <c r="H458" s="51">
        <f t="shared" ref="H458:M458" si="2304">B458-B457</f>
        <v>6.0000000000002274E-2</v>
      </c>
      <c r="I458" s="51">
        <f t="shared" si="2304"/>
        <v>-0.21999999999999886</v>
      </c>
      <c r="J458" s="51">
        <f t="shared" si="2304"/>
        <v>-0.10999999999999943</v>
      </c>
      <c r="K458" s="51">
        <f t="shared" si="2304"/>
        <v>1.9999999999999574E-2</v>
      </c>
      <c r="L458" s="51">
        <f t="shared" si="2304"/>
        <v>-7.0000000000000284E-2</v>
      </c>
      <c r="M458" s="42">
        <f t="shared" si="2304"/>
        <v>1.6799999999999997</v>
      </c>
      <c r="N458" s="51">
        <f t="shared" ref="N458:R458" si="2305">N457</f>
        <v>53.209999999999994</v>
      </c>
      <c r="O458" s="51">
        <f t="shared" si="2305"/>
        <v>44.685000000000002</v>
      </c>
      <c r="P458" s="51">
        <f t="shared" si="2305"/>
        <v>36.402500000000003</v>
      </c>
      <c r="Q458" s="51">
        <f t="shared" si="2305"/>
        <v>23.494999999999997</v>
      </c>
      <c r="R458" s="51">
        <f t="shared" si="2305"/>
        <v>17.285000000000004</v>
      </c>
      <c r="S458" s="51">
        <f t="shared" ref="S458:T458" si="2306">(B457+B458)/2</f>
        <v>51.94</v>
      </c>
      <c r="T458" s="51">
        <f t="shared" si="2306"/>
        <v>44.1</v>
      </c>
      <c r="U458" s="51">
        <f t="shared" si="1283"/>
        <v>35.704999999999998</v>
      </c>
      <c r="V458" s="51">
        <f t="shared" ref="V458:W458" si="2307">(E457+E458)/2</f>
        <v>22.64</v>
      </c>
      <c r="W458" s="51">
        <f t="shared" si="2307"/>
        <v>16.975000000000001</v>
      </c>
      <c r="X458" s="51">
        <f t="shared" ref="X458:AB458" si="2308">(SUM(B455:B458))/4</f>
        <v>52.272500000000001</v>
      </c>
      <c r="Y458" s="51">
        <f t="shared" si="2308"/>
        <v>44.102500000000006</v>
      </c>
      <c r="Z458" s="51">
        <f t="shared" si="2308"/>
        <v>35.8675</v>
      </c>
      <c r="AA458" s="51">
        <f t="shared" si="2308"/>
        <v>22.927500000000002</v>
      </c>
      <c r="AB458" s="51">
        <f t="shared" si="2308"/>
        <v>17.335000000000001</v>
      </c>
      <c r="AC458" s="51">
        <f t="shared" ref="AC458:AF458" si="2309">(B458+C458)/2</f>
        <v>47.980000000000004</v>
      </c>
      <c r="AD458" s="51">
        <f t="shared" si="2309"/>
        <v>39.82</v>
      </c>
      <c r="AE458" s="51">
        <f t="shared" si="2309"/>
        <v>29.15</v>
      </c>
      <c r="AF458" s="51">
        <f t="shared" si="2309"/>
        <v>19.795000000000002</v>
      </c>
      <c r="AG458" s="57"/>
      <c r="AH458" s="57"/>
      <c r="AI458" s="57"/>
      <c r="AJ458" s="57"/>
      <c r="AK458" s="51">
        <f t="shared" si="2093"/>
        <v>14.457500000000001</v>
      </c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8"/>
      <c r="BK458" s="8"/>
      <c r="BL458" s="8"/>
      <c r="BM458" s="8"/>
    </row>
    <row r="459" spans="1:65" ht="30" hidden="1" customHeight="1" x14ac:dyDescent="0.45">
      <c r="A459" s="55">
        <f t="shared" si="1280"/>
        <v>44092</v>
      </c>
      <c r="B459" s="56">
        <v>53.63</v>
      </c>
      <c r="C459" s="56">
        <v>44.77</v>
      </c>
      <c r="D459" s="56">
        <v>36.619999999999997</v>
      </c>
      <c r="E459" s="56">
        <v>23.57</v>
      </c>
      <c r="F459" s="56">
        <v>17.37</v>
      </c>
      <c r="G459" s="56">
        <v>53.66</v>
      </c>
      <c r="H459" s="51">
        <f t="shared" ref="H459:M459" si="2310">B459-B458</f>
        <v>1.6600000000000037</v>
      </c>
      <c r="I459" s="51">
        <f t="shared" si="2310"/>
        <v>0.78000000000000114</v>
      </c>
      <c r="J459" s="51">
        <f t="shared" si="2310"/>
        <v>0.96999999999999886</v>
      </c>
      <c r="K459" s="51">
        <f t="shared" si="2310"/>
        <v>0.92000000000000171</v>
      </c>
      <c r="L459" s="51">
        <f t="shared" si="2310"/>
        <v>0.42999999999999972</v>
      </c>
      <c r="M459" s="42">
        <f t="shared" si="2310"/>
        <v>3.8099999999999952</v>
      </c>
      <c r="N459" s="51">
        <f t="shared" ref="N459:R459" si="2311">N458</f>
        <v>53.209999999999994</v>
      </c>
      <c r="O459" s="51">
        <f t="shared" si="2311"/>
        <v>44.685000000000002</v>
      </c>
      <c r="P459" s="51">
        <f t="shared" si="2311"/>
        <v>36.402500000000003</v>
      </c>
      <c r="Q459" s="51">
        <f t="shared" si="2311"/>
        <v>23.494999999999997</v>
      </c>
      <c r="R459" s="51">
        <f t="shared" si="2311"/>
        <v>17.285000000000004</v>
      </c>
      <c r="S459" s="51">
        <f t="shared" ref="S459:T459" si="2312">(B458+B459)/2</f>
        <v>52.8</v>
      </c>
      <c r="T459" s="51">
        <f t="shared" si="2312"/>
        <v>44.38</v>
      </c>
      <c r="U459" s="51">
        <f t="shared" si="1283"/>
        <v>36.134999999999998</v>
      </c>
      <c r="V459" s="51">
        <f t="shared" ref="V459:W459" si="2313">(E458+E459)/2</f>
        <v>23.11</v>
      </c>
      <c r="W459" s="51">
        <f t="shared" si="2313"/>
        <v>17.155000000000001</v>
      </c>
      <c r="X459" s="51">
        <f t="shared" ref="X459:AB459" si="2314">(SUM(B456:B459))/4</f>
        <v>52.459999999999994</v>
      </c>
      <c r="Y459" s="51">
        <f t="shared" si="2314"/>
        <v>44.235000000000007</v>
      </c>
      <c r="Z459" s="51">
        <f t="shared" si="2314"/>
        <v>36.01</v>
      </c>
      <c r="AA459" s="51">
        <f t="shared" si="2314"/>
        <v>22.927499999999995</v>
      </c>
      <c r="AB459" s="51">
        <f t="shared" si="2314"/>
        <v>17.232500000000002</v>
      </c>
      <c r="AC459" s="51">
        <f t="shared" ref="AC459:AF459" si="2315">(B459+C459)/2</f>
        <v>49.2</v>
      </c>
      <c r="AD459" s="51">
        <f t="shared" si="2315"/>
        <v>40.695</v>
      </c>
      <c r="AE459" s="51">
        <f t="shared" si="2315"/>
        <v>30.094999999999999</v>
      </c>
      <c r="AF459" s="51">
        <f t="shared" si="2315"/>
        <v>20.47</v>
      </c>
      <c r="AG459" s="57"/>
      <c r="AH459" s="57"/>
      <c r="AI459" s="57"/>
      <c r="AJ459" s="57"/>
      <c r="AK459" s="51">
        <f t="shared" si="2093"/>
        <v>14.782500000000001</v>
      </c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8"/>
      <c r="BK459" s="8"/>
      <c r="BL459" s="8"/>
      <c r="BM459" s="8"/>
    </row>
    <row r="460" spans="1:65" ht="30" hidden="1" customHeight="1" x14ac:dyDescent="0.45">
      <c r="A460" s="55">
        <f t="shared" si="1280"/>
        <v>44099</v>
      </c>
      <c r="B460" s="56">
        <v>55.33</v>
      </c>
      <c r="C460" s="56">
        <v>45.77</v>
      </c>
      <c r="D460" s="56">
        <v>37.58</v>
      </c>
      <c r="E460" s="56">
        <v>25.13</v>
      </c>
      <c r="F460" s="56">
        <v>17.82</v>
      </c>
      <c r="G460" s="56">
        <v>59.97</v>
      </c>
      <c r="H460" s="51">
        <f t="shared" ref="H460:M460" si="2316">B460-B459</f>
        <v>1.6999999999999957</v>
      </c>
      <c r="I460" s="51">
        <f t="shared" si="2316"/>
        <v>1</v>
      </c>
      <c r="J460" s="51">
        <f t="shared" si="2316"/>
        <v>0.96000000000000085</v>
      </c>
      <c r="K460" s="51">
        <f t="shared" si="2316"/>
        <v>1.5599999999999987</v>
      </c>
      <c r="L460" s="51">
        <f t="shared" si="2316"/>
        <v>0.44999999999999929</v>
      </c>
      <c r="M460" s="42">
        <f t="shared" si="2316"/>
        <v>6.3100000000000023</v>
      </c>
      <c r="N460" s="51">
        <f t="shared" ref="N460:R460" si="2317">N459</f>
        <v>53.209999999999994</v>
      </c>
      <c r="O460" s="51">
        <f t="shared" si="2317"/>
        <v>44.685000000000002</v>
      </c>
      <c r="P460" s="51">
        <f t="shared" si="2317"/>
        <v>36.402500000000003</v>
      </c>
      <c r="Q460" s="51">
        <f t="shared" si="2317"/>
        <v>23.494999999999997</v>
      </c>
      <c r="R460" s="51">
        <f t="shared" si="2317"/>
        <v>17.285000000000004</v>
      </c>
      <c r="S460" s="51">
        <f t="shared" ref="S460:T460" si="2318">(B459+B460)/2</f>
        <v>54.480000000000004</v>
      </c>
      <c r="T460" s="51">
        <f t="shared" si="2318"/>
        <v>45.27</v>
      </c>
      <c r="U460" s="51">
        <f t="shared" si="1283"/>
        <v>37.099999999999994</v>
      </c>
      <c r="V460" s="51">
        <f t="shared" ref="V460:W460" si="2319">(E459+E460)/2</f>
        <v>24.35</v>
      </c>
      <c r="W460" s="51">
        <f t="shared" si="2319"/>
        <v>17.594999999999999</v>
      </c>
      <c r="X460" s="51">
        <f t="shared" ref="X460:AB460" si="2320">(SUM(B457:B460))/4</f>
        <v>53.209999999999994</v>
      </c>
      <c r="Y460" s="51">
        <f t="shared" si="2320"/>
        <v>44.685000000000002</v>
      </c>
      <c r="Z460" s="51">
        <f t="shared" si="2320"/>
        <v>36.402500000000003</v>
      </c>
      <c r="AA460" s="51">
        <f t="shared" si="2320"/>
        <v>23.494999999999997</v>
      </c>
      <c r="AB460" s="51">
        <f t="shared" si="2320"/>
        <v>17.285000000000004</v>
      </c>
      <c r="AC460" s="51">
        <f t="shared" ref="AC460:AF460" si="2321">(B460+C460)/2</f>
        <v>50.55</v>
      </c>
      <c r="AD460" s="51">
        <f t="shared" si="2321"/>
        <v>41.674999999999997</v>
      </c>
      <c r="AE460" s="51">
        <f t="shared" si="2321"/>
        <v>31.354999999999997</v>
      </c>
      <c r="AF460" s="51">
        <f t="shared" si="2321"/>
        <v>21.475000000000001</v>
      </c>
      <c r="AG460" s="57"/>
      <c r="AH460" s="57"/>
      <c r="AI460" s="57"/>
      <c r="AJ460" s="57"/>
      <c r="AK460" s="51">
        <f t="shared" si="2093"/>
        <v>15.6225</v>
      </c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8"/>
      <c r="BK460" s="8"/>
      <c r="BL460" s="8"/>
      <c r="BM460" s="8"/>
    </row>
    <row r="461" spans="1:65" ht="30" hidden="1" customHeight="1" x14ac:dyDescent="0.45">
      <c r="A461" s="55">
        <f t="shared" si="1280"/>
        <v>44106</v>
      </c>
      <c r="B461" s="56">
        <v>55.82</v>
      </c>
      <c r="C461" s="56">
        <v>46.68</v>
      </c>
      <c r="D461" s="56">
        <v>38.56</v>
      </c>
      <c r="E461" s="56">
        <v>26.03</v>
      </c>
      <c r="F461" s="56">
        <v>18.36</v>
      </c>
      <c r="G461" s="56">
        <v>58.21</v>
      </c>
      <c r="H461" s="51">
        <f t="shared" ref="H461:M461" si="2322">B461-B460</f>
        <v>0.49000000000000199</v>
      </c>
      <c r="I461" s="51">
        <f t="shared" si="2322"/>
        <v>0.90999999999999659</v>
      </c>
      <c r="J461" s="51">
        <f t="shared" si="2322"/>
        <v>0.98000000000000398</v>
      </c>
      <c r="K461" s="51">
        <f t="shared" si="2322"/>
        <v>0.90000000000000213</v>
      </c>
      <c r="L461" s="51">
        <f t="shared" si="2322"/>
        <v>0.53999999999999915</v>
      </c>
      <c r="M461" s="42">
        <f t="shared" si="2322"/>
        <v>-1.759999999999998</v>
      </c>
      <c r="N461" s="51">
        <f t="shared" ref="N461:R461" si="2323">AVERAGE(B461:B465)</f>
        <v>57.085999999999999</v>
      </c>
      <c r="O461" s="51">
        <f t="shared" si="2323"/>
        <v>47.944000000000003</v>
      </c>
      <c r="P461" s="51">
        <f t="shared" si="2323"/>
        <v>40.287999999999997</v>
      </c>
      <c r="Q461" s="51">
        <f t="shared" si="2323"/>
        <v>28.112000000000002</v>
      </c>
      <c r="R461" s="51">
        <f t="shared" si="2323"/>
        <v>19.043999999999997</v>
      </c>
      <c r="S461" s="51">
        <f t="shared" ref="S461:T461" si="2324">(B460+B461)/2</f>
        <v>55.575000000000003</v>
      </c>
      <c r="T461" s="51">
        <f t="shared" si="2324"/>
        <v>46.225000000000001</v>
      </c>
      <c r="U461" s="51">
        <f t="shared" si="1283"/>
        <v>38.07</v>
      </c>
      <c r="V461" s="51">
        <f t="shared" ref="V461:W461" si="2325">(E460+E461)/2</f>
        <v>25.58</v>
      </c>
      <c r="W461" s="51">
        <f t="shared" si="2325"/>
        <v>18.09</v>
      </c>
      <c r="X461" s="51">
        <f t="shared" ref="X461:AB461" si="2326">(SUM(B458:B461))/4</f>
        <v>54.1875</v>
      </c>
      <c r="Y461" s="51">
        <f t="shared" si="2326"/>
        <v>45.302500000000002</v>
      </c>
      <c r="Z461" s="51">
        <f t="shared" si="2326"/>
        <v>37.102499999999999</v>
      </c>
      <c r="AA461" s="51">
        <f t="shared" si="2326"/>
        <v>24.344999999999999</v>
      </c>
      <c r="AB461" s="51">
        <f t="shared" si="2326"/>
        <v>17.622500000000002</v>
      </c>
      <c r="AC461" s="51">
        <f t="shared" ref="AC461:AF461" si="2327">(B461+C461)/2</f>
        <v>51.25</v>
      </c>
      <c r="AD461" s="51">
        <f t="shared" si="2327"/>
        <v>42.620000000000005</v>
      </c>
      <c r="AE461" s="51">
        <f t="shared" si="2327"/>
        <v>32.295000000000002</v>
      </c>
      <c r="AF461" s="51">
        <f t="shared" si="2327"/>
        <v>22.195</v>
      </c>
      <c r="AG461" s="57"/>
      <c r="AH461" s="57"/>
      <c r="AI461" s="57"/>
      <c r="AJ461" s="57"/>
      <c r="AK461" s="51">
        <f t="shared" si="2093"/>
        <v>16.484999999999999</v>
      </c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8"/>
      <c r="BK461" s="8"/>
      <c r="BL461" s="8"/>
      <c r="BM461" s="8"/>
    </row>
    <row r="462" spans="1:65" ht="30" hidden="1" customHeight="1" x14ac:dyDescent="0.45">
      <c r="A462" s="55">
        <f t="shared" si="1280"/>
        <v>44113</v>
      </c>
      <c r="B462" s="56">
        <v>56.53</v>
      </c>
      <c r="C462" s="56">
        <v>47.07</v>
      </c>
      <c r="D462" s="56">
        <v>39.130000000000003</v>
      </c>
      <c r="E462" s="56">
        <v>27.02</v>
      </c>
      <c r="F462" s="56">
        <v>18.739999999999998</v>
      </c>
      <c r="G462" s="56">
        <v>57.73</v>
      </c>
      <c r="H462" s="51">
        <f t="shared" ref="H462:M462" si="2328">B462-B461</f>
        <v>0.71000000000000085</v>
      </c>
      <c r="I462" s="51">
        <f t="shared" si="2328"/>
        <v>0.39000000000000057</v>
      </c>
      <c r="J462" s="51">
        <f t="shared" si="2328"/>
        <v>0.57000000000000028</v>
      </c>
      <c r="K462" s="51">
        <f t="shared" si="2328"/>
        <v>0.98999999999999844</v>
      </c>
      <c r="L462" s="51">
        <f t="shared" si="2328"/>
        <v>0.37999999999999901</v>
      </c>
      <c r="M462" s="42">
        <f t="shared" si="2328"/>
        <v>-0.48000000000000398</v>
      </c>
      <c r="N462" s="51">
        <f t="shared" ref="N462:R462" si="2329">N461</f>
        <v>57.085999999999999</v>
      </c>
      <c r="O462" s="51">
        <f t="shared" si="2329"/>
        <v>47.944000000000003</v>
      </c>
      <c r="P462" s="51">
        <f t="shared" si="2329"/>
        <v>40.287999999999997</v>
      </c>
      <c r="Q462" s="51">
        <f t="shared" si="2329"/>
        <v>28.112000000000002</v>
      </c>
      <c r="R462" s="51">
        <f t="shared" si="2329"/>
        <v>19.043999999999997</v>
      </c>
      <c r="S462" s="51">
        <f t="shared" ref="S462:T462" si="2330">(B461+B462)/2</f>
        <v>56.174999999999997</v>
      </c>
      <c r="T462" s="51">
        <f t="shared" si="2330"/>
        <v>46.875</v>
      </c>
      <c r="U462" s="51">
        <f t="shared" si="1283"/>
        <v>38.844999999999999</v>
      </c>
      <c r="V462" s="51">
        <f t="shared" ref="V462:W462" si="2331">(E461+E462)/2</f>
        <v>26.524999999999999</v>
      </c>
      <c r="W462" s="51">
        <f t="shared" si="2331"/>
        <v>18.549999999999997</v>
      </c>
      <c r="X462" s="51">
        <f t="shared" ref="X462:AB462" si="2332">(SUM(B459:B462))/4</f>
        <v>55.327500000000001</v>
      </c>
      <c r="Y462" s="51">
        <f t="shared" si="2332"/>
        <v>46.072499999999998</v>
      </c>
      <c r="Z462" s="51">
        <f t="shared" si="2332"/>
        <v>37.972499999999997</v>
      </c>
      <c r="AA462" s="51">
        <f t="shared" si="2332"/>
        <v>25.4375</v>
      </c>
      <c r="AB462" s="51">
        <f t="shared" si="2332"/>
        <v>18.072499999999998</v>
      </c>
      <c r="AC462" s="51">
        <f t="shared" ref="AC462:AF462" si="2333">(B462+C462)/2</f>
        <v>51.8</v>
      </c>
      <c r="AD462" s="51">
        <f t="shared" si="2333"/>
        <v>43.1</v>
      </c>
      <c r="AE462" s="51">
        <f t="shared" si="2333"/>
        <v>33.075000000000003</v>
      </c>
      <c r="AF462" s="51">
        <f t="shared" si="2333"/>
        <v>22.88</v>
      </c>
      <c r="AG462" s="57"/>
      <c r="AH462" s="57"/>
      <c r="AI462" s="57"/>
      <c r="AJ462" s="57"/>
      <c r="AK462" s="51">
        <f t="shared" si="2093"/>
        <v>17.1875</v>
      </c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8"/>
      <c r="BK462" s="8"/>
      <c r="BL462" s="8"/>
      <c r="BM462" s="8"/>
    </row>
    <row r="463" spans="1:65" ht="30" hidden="1" customHeight="1" x14ac:dyDescent="0.45">
      <c r="A463" s="55">
        <f t="shared" si="1280"/>
        <v>44120</v>
      </c>
      <c r="B463" s="56">
        <v>57.25</v>
      </c>
      <c r="C463" s="56">
        <v>48.17</v>
      </c>
      <c r="D463" s="56">
        <v>40.94</v>
      </c>
      <c r="E463" s="56">
        <v>29.13</v>
      </c>
      <c r="F463" s="56">
        <v>19.18</v>
      </c>
      <c r="G463" s="56">
        <v>54.42</v>
      </c>
      <c r="H463" s="51">
        <f t="shared" ref="H463:M463" si="2334">B463-B462</f>
        <v>0.71999999999999886</v>
      </c>
      <c r="I463" s="51">
        <f t="shared" si="2334"/>
        <v>1.1000000000000014</v>
      </c>
      <c r="J463" s="51">
        <f t="shared" si="2334"/>
        <v>1.8099999999999952</v>
      </c>
      <c r="K463" s="51">
        <f t="shared" si="2334"/>
        <v>2.1099999999999994</v>
      </c>
      <c r="L463" s="51">
        <f t="shared" si="2334"/>
        <v>0.44000000000000128</v>
      </c>
      <c r="M463" s="42">
        <f t="shared" si="2334"/>
        <v>-3.3099999999999952</v>
      </c>
      <c r="N463" s="51">
        <f t="shared" ref="N463:R463" si="2335">N462</f>
        <v>57.085999999999999</v>
      </c>
      <c r="O463" s="51">
        <f t="shared" si="2335"/>
        <v>47.944000000000003</v>
      </c>
      <c r="P463" s="51">
        <f t="shared" si="2335"/>
        <v>40.287999999999997</v>
      </c>
      <c r="Q463" s="51">
        <f t="shared" si="2335"/>
        <v>28.112000000000002</v>
      </c>
      <c r="R463" s="51">
        <f t="shared" si="2335"/>
        <v>19.043999999999997</v>
      </c>
      <c r="S463" s="51">
        <f t="shared" ref="S463:T463" si="2336">(B462+B463)/2</f>
        <v>56.89</v>
      </c>
      <c r="T463" s="51">
        <f t="shared" si="2336"/>
        <v>47.620000000000005</v>
      </c>
      <c r="U463" s="51">
        <f t="shared" si="1283"/>
        <v>40.034999999999997</v>
      </c>
      <c r="V463" s="51">
        <f t="shared" ref="V463:W463" si="2337">(E462+E463)/2</f>
        <v>28.074999999999999</v>
      </c>
      <c r="W463" s="51">
        <f t="shared" si="2337"/>
        <v>18.96</v>
      </c>
      <c r="X463" s="51">
        <f t="shared" ref="X463:AB463" si="2338">(SUM(B460:B463))/4</f>
        <v>56.232500000000002</v>
      </c>
      <c r="Y463" s="51">
        <f t="shared" si="2338"/>
        <v>46.922499999999999</v>
      </c>
      <c r="Z463" s="51">
        <f t="shared" si="2338"/>
        <v>39.052500000000002</v>
      </c>
      <c r="AA463" s="51">
        <f t="shared" si="2338"/>
        <v>26.827499999999997</v>
      </c>
      <c r="AB463" s="51">
        <f t="shared" si="2338"/>
        <v>18.524999999999999</v>
      </c>
      <c r="AC463" s="51">
        <f t="shared" ref="AC463:AF463" si="2339">(B463+C463)/2</f>
        <v>52.71</v>
      </c>
      <c r="AD463" s="51">
        <f t="shared" si="2339"/>
        <v>44.555</v>
      </c>
      <c r="AE463" s="51">
        <f t="shared" si="2339"/>
        <v>35.034999999999997</v>
      </c>
      <c r="AF463" s="51">
        <f t="shared" si="2339"/>
        <v>24.155000000000001</v>
      </c>
      <c r="AG463" s="57"/>
      <c r="AH463" s="57"/>
      <c r="AI463" s="57"/>
      <c r="AJ463" s="57"/>
      <c r="AK463" s="51">
        <f t="shared" si="2093"/>
        <v>18.167499999999997</v>
      </c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8"/>
      <c r="BK463" s="8"/>
      <c r="BL463" s="8"/>
      <c r="BM463" s="8"/>
    </row>
    <row r="464" spans="1:65" ht="30" hidden="1" customHeight="1" x14ac:dyDescent="0.45">
      <c r="A464" s="55">
        <f t="shared" si="1280"/>
        <v>44127</v>
      </c>
      <c r="B464" s="56">
        <v>57.81</v>
      </c>
      <c r="C464" s="56">
        <v>48.94</v>
      </c>
      <c r="D464" s="56">
        <v>41.6</v>
      </c>
      <c r="E464" s="56">
        <v>29.47</v>
      </c>
      <c r="F464" s="56">
        <v>19.559999999999999</v>
      </c>
      <c r="G464" s="56">
        <v>60.09</v>
      </c>
      <c r="H464" s="51">
        <f t="shared" ref="H464:M464" si="2340">B464-B463</f>
        <v>0.56000000000000227</v>
      </c>
      <c r="I464" s="51">
        <f t="shared" si="2340"/>
        <v>0.76999999999999602</v>
      </c>
      <c r="J464" s="51">
        <f t="shared" si="2340"/>
        <v>0.66000000000000369</v>
      </c>
      <c r="K464" s="51">
        <f t="shared" si="2340"/>
        <v>0.33999999999999986</v>
      </c>
      <c r="L464" s="51">
        <f t="shared" si="2340"/>
        <v>0.37999999999999901</v>
      </c>
      <c r="M464" s="42">
        <f t="shared" si="2340"/>
        <v>5.6700000000000017</v>
      </c>
      <c r="N464" s="51">
        <f t="shared" ref="N464:R464" si="2341">N463</f>
        <v>57.085999999999999</v>
      </c>
      <c r="O464" s="51">
        <f t="shared" si="2341"/>
        <v>47.944000000000003</v>
      </c>
      <c r="P464" s="51">
        <f t="shared" si="2341"/>
        <v>40.287999999999997</v>
      </c>
      <c r="Q464" s="51">
        <f t="shared" si="2341"/>
        <v>28.112000000000002</v>
      </c>
      <c r="R464" s="51">
        <f t="shared" si="2341"/>
        <v>19.043999999999997</v>
      </c>
      <c r="S464" s="51">
        <f t="shared" ref="S464:T464" si="2342">(B463+B464)/2</f>
        <v>57.53</v>
      </c>
      <c r="T464" s="51">
        <f t="shared" si="2342"/>
        <v>48.555</v>
      </c>
      <c r="U464" s="51">
        <f t="shared" si="1283"/>
        <v>41.269999999999996</v>
      </c>
      <c r="V464" s="51">
        <f t="shared" ref="V464:W464" si="2343">(E463+E464)/2</f>
        <v>29.299999999999997</v>
      </c>
      <c r="W464" s="51">
        <f t="shared" si="2343"/>
        <v>19.369999999999997</v>
      </c>
      <c r="X464" s="51">
        <f t="shared" ref="X464:AB464" si="2344">(SUM(B461:B464))/4</f>
        <v>56.852499999999999</v>
      </c>
      <c r="Y464" s="51">
        <f t="shared" si="2344"/>
        <v>47.715000000000003</v>
      </c>
      <c r="Z464" s="51">
        <f t="shared" si="2344"/>
        <v>40.057499999999997</v>
      </c>
      <c r="AA464" s="51">
        <f t="shared" si="2344"/>
        <v>27.912499999999998</v>
      </c>
      <c r="AB464" s="51">
        <f t="shared" si="2344"/>
        <v>18.959999999999997</v>
      </c>
      <c r="AC464" s="51">
        <f t="shared" ref="AC464:AF464" si="2345">(B464+C464)/2</f>
        <v>53.375</v>
      </c>
      <c r="AD464" s="51">
        <f t="shared" si="2345"/>
        <v>45.269999999999996</v>
      </c>
      <c r="AE464" s="51">
        <f t="shared" si="2345"/>
        <v>35.534999999999997</v>
      </c>
      <c r="AF464" s="51">
        <f t="shared" si="2345"/>
        <v>24.515000000000001</v>
      </c>
      <c r="AG464" s="57"/>
      <c r="AH464" s="57"/>
      <c r="AI464" s="57"/>
      <c r="AJ464" s="57"/>
      <c r="AK464" s="51">
        <f t="shared" si="2093"/>
        <v>18.984999999999999</v>
      </c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8"/>
      <c r="BK464" s="8"/>
      <c r="BL464" s="8"/>
      <c r="BM464" s="8"/>
    </row>
    <row r="465" spans="1:65" ht="30" hidden="1" customHeight="1" x14ac:dyDescent="0.45">
      <c r="A465" s="55">
        <f t="shared" si="1280"/>
        <v>44134</v>
      </c>
      <c r="B465" s="56">
        <v>58.02</v>
      </c>
      <c r="C465" s="56">
        <v>48.86</v>
      </c>
      <c r="D465" s="56">
        <v>41.21</v>
      </c>
      <c r="E465" s="56">
        <v>28.91</v>
      </c>
      <c r="F465" s="56">
        <v>19.38</v>
      </c>
      <c r="G465" s="56">
        <v>60.35</v>
      </c>
      <c r="H465" s="51">
        <f t="shared" ref="H465:M465" si="2346">B465-B464</f>
        <v>0.21000000000000085</v>
      </c>
      <c r="I465" s="51">
        <f t="shared" si="2346"/>
        <v>-7.9999999999998295E-2</v>
      </c>
      <c r="J465" s="51">
        <f t="shared" si="2346"/>
        <v>-0.39000000000000057</v>
      </c>
      <c r="K465" s="51">
        <f t="shared" si="2346"/>
        <v>-0.55999999999999872</v>
      </c>
      <c r="L465" s="51">
        <f t="shared" si="2346"/>
        <v>-0.17999999999999972</v>
      </c>
      <c r="M465" s="42">
        <f t="shared" si="2346"/>
        <v>0.25999999999999801</v>
      </c>
      <c r="N465" s="51">
        <f t="shared" ref="N465:R465" si="2347">N464</f>
        <v>57.085999999999999</v>
      </c>
      <c r="O465" s="51">
        <f t="shared" si="2347"/>
        <v>47.944000000000003</v>
      </c>
      <c r="P465" s="51">
        <f t="shared" si="2347"/>
        <v>40.287999999999997</v>
      </c>
      <c r="Q465" s="51">
        <f t="shared" si="2347"/>
        <v>28.112000000000002</v>
      </c>
      <c r="R465" s="51">
        <f t="shared" si="2347"/>
        <v>19.043999999999997</v>
      </c>
      <c r="S465" s="51">
        <f t="shared" ref="S465:T465" si="2348">(B464+B465)/2</f>
        <v>57.915000000000006</v>
      </c>
      <c r="T465" s="51">
        <f t="shared" si="2348"/>
        <v>48.9</v>
      </c>
      <c r="U465" s="51">
        <f t="shared" si="1283"/>
        <v>41.405000000000001</v>
      </c>
      <c r="V465" s="51">
        <f t="shared" ref="V465:W465" si="2349">(E464+E465)/2</f>
        <v>29.189999999999998</v>
      </c>
      <c r="W465" s="51">
        <f t="shared" si="2349"/>
        <v>19.47</v>
      </c>
      <c r="X465" s="51">
        <f t="shared" ref="X465:AB465" si="2350">(SUM(B462:B465))/4</f>
        <v>57.402500000000003</v>
      </c>
      <c r="Y465" s="51">
        <f t="shared" si="2350"/>
        <v>48.260000000000005</v>
      </c>
      <c r="Z465" s="51">
        <f t="shared" si="2350"/>
        <v>40.72</v>
      </c>
      <c r="AA465" s="51">
        <f t="shared" si="2350"/>
        <v>28.6325</v>
      </c>
      <c r="AB465" s="51">
        <f t="shared" si="2350"/>
        <v>19.215</v>
      </c>
      <c r="AC465" s="51">
        <f t="shared" ref="AC465:AF465" si="2351">(B465+C465)/2</f>
        <v>53.44</v>
      </c>
      <c r="AD465" s="51">
        <f t="shared" si="2351"/>
        <v>45.034999999999997</v>
      </c>
      <c r="AE465" s="51">
        <f t="shared" si="2351"/>
        <v>35.06</v>
      </c>
      <c r="AF465" s="51">
        <f t="shared" si="2351"/>
        <v>24.145</v>
      </c>
      <c r="AG465" s="57"/>
      <c r="AH465" s="57"/>
      <c r="AI465" s="57"/>
      <c r="AJ465" s="57"/>
      <c r="AK465" s="51">
        <f t="shared" si="2093"/>
        <v>18.979999999999997</v>
      </c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8"/>
      <c r="BK465" s="8"/>
      <c r="BL465" s="8"/>
      <c r="BM465" s="8"/>
    </row>
    <row r="466" spans="1:65" ht="30" hidden="1" customHeight="1" x14ac:dyDescent="0.45">
      <c r="A466" s="55">
        <f t="shared" si="1280"/>
        <v>44141</v>
      </c>
      <c r="B466" s="56">
        <v>58.11</v>
      </c>
      <c r="C466" s="56">
        <v>49.6</v>
      </c>
      <c r="D466" s="56">
        <v>41.15</v>
      </c>
      <c r="E466" s="56">
        <v>28.93</v>
      </c>
      <c r="F466" s="56">
        <v>19.190000000000001</v>
      </c>
      <c r="G466" s="56">
        <v>62.45</v>
      </c>
      <c r="H466" s="51">
        <f t="shared" ref="H466:M466" si="2352">B466-B465</f>
        <v>8.9999999999996305E-2</v>
      </c>
      <c r="I466" s="51">
        <f t="shared" si="2352"/>
        <v>0.74000000000000199</v>
      </c>
      <c r="J466" s="51">
        <f t="shared" si="2352"/>
        <v>-6.0000000000002274E-2</v>
      </c>
      <c r="K466" s="51">
        <f t="shared" si="2352"/>
        <v>1.9999999999999574E-2</v>
      </c>
      <c r="L466" s="51">
        <f t="shared" si="2352"/>
        <v>-0.18999999999999773</v>
      </c>
      <c r="M466" s="42">
        <f t="shared" si="2352"/>
        <v>2.1000000000000014</v>
      </c>
      <c r="N466" s="51">
        <f t="shared" ref="N466:R466" si="2353">AVERAGE(B466:B469)</f>
        <v>59.745000000000005</v>
      </c>
      <c r="O466" s="51">
        <f t="shared" si="2353"/>
        <v>51.155000000000001</v>
      </c>
      <c r="P466" s="51">
        <f t="shared" si="2353"/>
        <v>42.542499999999997</v>
      </c>
      <c r="Q466" s="51">
        <f t="shared" si="2353"/>
        <v>29.8825</v>
      </c>
      <c r="R466" s="51">
        <f t="shared" si="2353"/>
        <v>19.377500000000001</v>
      </c>
      <c r="S466" s="51">
        <f t="shared" ref="S466:T466" si="2354">(B465+B466)/2</f>
        <v>58.064999999999998</v>
      </c>
      <c r="T466" s="51">
        <f t="shared" si="2354"/>
        <v>49.230000000000004</v>
      </c>
      <c r="U466" s="51">
        <f t="shared" si="1283"/>
        <v>41.18</v>
      </c>
      <c r="V466" s="51">
        <f t="shared" ref="V466:W466" si="2355">(E465+E466)/2</f>
        <v>28.92</v>
      </c>
      <c r="W466" s="51">
        <f t="shared" si="2355"/>
        <v>19.285</v>
      </c>
      <c r="X466" s="51">
        <f t="shared" ref="X466:AB466" si="2356">(SUM(B463:B466))/4</f>
        <v>57.797499999999999</v>
      </c>
      <c r="Y466" s="51">
        <f t="shared" si="2356"/>
        <v>48.892499999999998</v>
      </c>
      <c r="Z466" s="51">
        <f t="shared" si="2356"/>
        <v>41.225000000000001</v>
      </c>
      <c r="AA466" s="51">
        <f t="shared" si="2356"/>
        <v>29.11</v>
      </c>
      <c r="AB466" s="51">
        <f t="shared" si="2356"/>
        <v>19.327499999999997</v>
      </c>
      <c r="AC466" s="51">
        <f t="shared" ref="AC466:AF466" si="2357">(B466+C466)/2</f>
        <v>53.855000000000004</v>
      </c>
      <c r="AD466" s="51">
        <f t="shared" si="2357"/>
        <v>45.375</v>
      </c>
      <c r="AE466" s="51">
        <f t="shared" si="2357"/>
        <v>35.04</v>
      </c>
      <c r="AF466" s="51">
        <f t="shared" si="2357"/>
        <v>24.060000000000002</v>
      </c>
      <c r="AG466" s="57"/>
      <c r="AH466" s="57"/>
      <c r="AI466" s="57"/>
      <c r="AJ466" s="57"/>
      <c r="AK466" s="51">
        <f t="shared" si="2093"/>
        <v>18.752499999999998</v>
      </c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8"/>
      <c r="BK466" s="8"/>
      <c r="BL466" s="8"/>
      <c r="BM466" s="8"/>
    </row>
    <row r="467" spans="1:65" ht="30" hidden="1" customHeight="1" x14ac:dyDescent="0.45">
      <c r="A467" s="55">
        <f t="shared" si="1280"/>
        <v>44148</v>
      </c>
      <c r="B467" s="56">
        <v>58.67</v>
      </c>
      <c r="C467" s="56">
        <v>49.34</v>
      </c>
      <c r="D467" s="56">
        <v>41.36</v>
      </c>
      <c r="E467" s="56">
        <v>28.94</v>
      </c>
      <c r="F467" s="56">
        <v>19.16</v>
      </c>
      <c r="G467" s="56">
        <v>62.53</v>
      </c>
      <c r="H467" s="51">
        <f t="shared" ref="H467:M467" si="2358">B467-B466</f>
        <v>0.56000000000000227</v>
      </c>
      <c r="I467" s="51">
        <f t="shared" si="2358"/>
        <v>-0.25999999999999801</v>
      </c>
      <c r="J467" s="51">
        <f t="shared" si="2358"/>
        <v>0.21000000000000085</v>
      </c>
      <c r="K467" s="51">
        <f t="shared" si="2358"/>
        <v>1.0000000000001563E-2</v>
      </c>
      <c r="L467" s="51">
        <f t="shared" si="2358"/>
        <v>-3.0000000000001137E-2</v>
      </c>
      <c r="M467" s="42">
        <f t="shared" si="2358"/>
        <v>7.9999999999998295E-2</v>
      </c>
      <c r="N467" s="51">
        <f t="shared" ref="N467:R467" si="2359">N466</f>
        <v>59.745000000000005</v>
      </c>
      <c r="O467" s="51">
        <f t="shared" si="2359"/>
        <v>51.155000000000001</v>
      </c>
      <c r="P467" s="51">
        <f t="shared" si="2359"/>
        <v>42.542499999999997</v>
      </c>
      <c r="Q467" s="51">
        <f t="shared" si="2359"/>
        <v>29.8825</v>
      </c>
      <c r="R467" s="51">
        <f t="shared" si="2359"/>
        <v>19.377500000000001</v>
      </c>
      <c r="S467" s="51">
        <f t="shared" ref="S467:T467" si="2360">(B466+B467)/2</f>
        <v>58.39</v>
      </c>
      <c r="T467" s="51">
        <f t="shared" si="2360"/>
        <v>49.47</v>
      </c>
      <c r="U467" s="51">
        <f t="shared" si="1283"/>
        <v>41.254999999999995</v>
      </c>
      <c r="V467" s="51">
        <f t="shared" ref="V467:W467" si="2361">(E466+E467)/2</f>
        <v>28.935000000000002</v>
      </c>
      <c r="W467" s="51">
        <f t="shared" si="2361"/>
        <v>19.175000000000001</v>
      </c>
      <c r="X467" s="51">
        <f t="shared" ref="X467:AB467" si="2362">(SUM(B464:B467))/4</f>
        <v>58.152500000000003</v>
      </c>
      <c r="Y467" s="51">
        <f t="shared" si="2362"/>
        <v>49.185000000000002</v>
      </c>
      <c r="Z467" s="51">
        <f t="shared" si="2362"/>
        <v>41.33</v>
      </c>
      <c r="AA467" s="51">
        <f t="shared" si="2362"/>
        <v>29.0625</v>
      </c>
      <c r="AB467" s="51">
        <f t="shared" si="2362"/>
        <v>19.322499999999998</v>
      </c>
      <c r="AC467" s="51">
        <f t="shared" ref="AC467:AF467" si="2363">(B467+C467)/2</f>
        <v>54.005000000000003</v>
      </c>
      <c r="AD467" s="51">
        <f t="shared" si="2363"/>
        <v>45.35</v>
      </c>
      <c r="AE467" s="51">
        <f t="shared" si="2363"/>
        <v>35.15</v>
      </c>
      <c r="AF467" s="51">
        <f t="shared" si="2363"/>
        <v>24.05</v>
      </c>
      <c r="AG467" s="57"/>
      <c r="AH467" s="57"/>
      <c r="AI467" s="57"/>
      <c r="AJ467" s="57"/>
      <c r="AK467" s="51">
        <f t="shared" si="2093"/>
        <v>18.704999999999998</v>
      </c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8"/>
      <c r="BK467" s="8"/>
      <c r="BL467" s="8"/>
      <c r="BM467" s="8"/>
    </row>
    <row r="468" spans="1:65" ht="30" hidden="1" customHeight="1" x14ac:dyDescent="0.45">
      <c r="A468" s="55">
        <f t="shared" si="1280"/>
        <v>44155</v>
      </c>
      <c r="B468" s="56">
        <v>59.52</v>
      </c>
      <c r="C468" s="56">
        <v>51.59</v>
      </c>
      <c r="D468" s="56">
        <v>42.4</v>
      </c>
      <c r="E468" s="56">
        <v>29.88</v>
      </c>
      <c r="F468" s="56">
        <v>19.57</v>
      </c>
      <c r="G468" s="56">
        <v>62.82</v>
      </c>
      <c r="H468" s="51">
        <f t="shared" ref="H468:M468" si="2364">B468-B467</f>
        <v>0.85000000000000142</v>
      </c>
      <c r="I468" s="51">
        <f t="shared" si="2364"/>
        <v>2.25</v>
      </c>
      <c r="J468" s="51">
        <f t="shared" si="2364"/>
        <v>1.0399999999999991</v>
      </c>
      <c r="K468" s="51">
        <f t="shared" si="2364"/>
        <v>0.93999999999999773</v>
      </c>
      <c r="L468" s="51">
        <f t="shared" si="2364"/>
        <v>0.41000000000000014</v>
      </c>
      <c r="M468" s="42">
        <f t="shared" si="2364"/>
        <v>0.28999999999999915</v>
      </c>
      <c r="N468" s="51">
        <f t="shared" ref="N468:R468" si="2365">N467</f>
        <v>59.745000000000005</v>
      </c>
      <c r="O468" s="51">
        <f t="shared" si="2365"/>
        <v>51.155000000000001</v>
      </c>
      <c r="P468" s="51">
        <f t="shared" si="2365"/>
        <v>42.542499999999997</v>
      </c>
      <c r="Q468" s="51">
        <f t="shared" si="2365"/>
        <v>29.8825</v>
      </c>
      <c r="R468" s="51">
        <f t="shared" si="2365"/>
        <v>19.377500000000001</v>
      </c>
      <c r="S468" s="51">
        <f t="shared" ref="S468:T468" si="2366">(B467+B468)/2</f>
        <v>59.094999999999999</v>
      </c>
      <c r="T468" s="51">
        <f t="shared" si="2366"/>
        <v>50.465000000000003</v>
      </c>
      <c r="U468" s="51">
        <f t="shared" si="1283"/>
        <v>41.879999999999995</v>
      </c>
      <c r="V468" s="51">
        <f t="shared" ref="V468:W468" si="2367">(E467+E468)/2</f>
        <v>29.41</v>
      </c>
      <c r="W468" s="51">
        <f t="shared" si="2367"/>
        <v>19.365000000000002</v>
      </c>
      <c r="X468" s="51">
        <f t="shared" ref="X468:AB468" si="2368">(SUM(B465:B468))/4</f>
        <v>58.580000000000005</v>
      </c>
      <c r="Y468" s="51">
        <f t="shared" si="2368"/>
        <v>49.847500000000004</v>
      </c>
      <c r="Z468" s="51">
        <f t="shared" si="2368"/>
        <v>41.53</v>
      </c>
      <c r="AA468" s="51">
        <f t="shared" si="2368"/>
        <v>29.164999999999999</v>
      </c>
      <c r="AB468" s="51">
        <f t="shared" si="2368"/>
        <v>19.325000000000003</v>
      </c>
      <c r="AC468" s="51">
        <f t="shared" ref="AC468:AF468" si="2369">(B468+C468)/2</f>
        <v>55.555000000000007</v>
      </c>
      <c r="AD468" s="51">
        <f t="shared" si="2369"/>
        <v>46.995000000000005</v>
      </c>
      <c r="AE468" s="51">
        <f t="shared" si="2369"/>
        <v>36.14</v>
      </c>
      <c r="AF468" s="51">
        <f t="shared" si="2369"/>
        <v>24.725000000000001</v>
      </c>
      <c r="AG468" s="57"/>
      <c r="AH468" s="57"/>
      <c r="AI468" s="57"/>
      <c r="AJ468" s="57"/>
      <c r="AK468" s="51">
        <f t="shared" si="2093"/>
        <v>19.037500000000001</v>
      </c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8"/>
      <c r="BK468" s="8"/>
      <c r="BL468" s="8"/>
      <c r="BM468" s="8"/>
    </row>
    <row r="469" spans="1:65" ht="30" hidden="1" customHeight="1" x14ac:dyDescent="0.45">
      <c r="A469" s="55">
        <f t="shared" si="1280"/>
        <v>44162</v>
      </c>
      <c r="B469" s="56">
        <v>62.68</v>
      </c>
      <c r="C469" s="56">
        <v>54.09</v>
      </c>
      <c r="D469" s="56">
        <v>45.26</v>
      </c>
      <c r="E469" s="56">
        <v>31.78</v>
      </c>
      <c r="F469" s="56">
        <v>19.59</v>
      </c>
      <c r="G469" s="56">
        <v>68.22</v>
      </c>
      <c r="H469" s="51">
        <f t="shared" ref="H469:M469" si="2370">B469-B468</f>
        <v>3.1599999999999966</v>
      </c>
      <c r="I469" s="51">
        <f t="shared" si="2370"/>
        <v>2.5</v>
      </c>
      <c r="J469" s="51">
        <f t="shared" si="2370"/>
        <v>2.8599999999999994</v>
      </c>
      <c r="K469" s="51">
        <f t="shared" si="2370"/>
        <v>1.9000000000000021</v>
      </c>
      <c r="L469" s="51">
        <f t="shared" si="2370"/>
        <v>1.9999999999999574E-2</v>
      </c>
      <c r="M469" s="42">
        <f t="shared" si="2370"/>
        <v>5.3999999999999986</v>
      </c>
      <c r="N469" s="51">
        <f t="shared" ref="N469:R469" si="2371">N468</f>
        <v>59.745000000000005</v>
      </c>
      <c r="O469" s="51">
        <f t="shared" si="2371"/>
        <v>51.155000000000001</v>
      </c>
      <c r="P469" s="51">
        <f t="shared" si="2371"/>
        <v>42.542499999999997</v>
      </c>
      <c r="Q469" s="51">
        <f t="shared" si="2371"/>
        <v>29.8825</v>
      </c>
      <c r="R469" s="51">
        <f t="shared" si="2371"/>
        <v>19.377500000000001</v>
      </c>
      <c r="S469" s="51">
        <f t="shared" ref="S469:T469" si="2372">(B468+B469)/2</f>
        <v>61.1</v>
      </c>
      <c r="T469" s="51">
        <f t="shared" si="2372"/>
        <v>52.84</v>
      </c>
      <c r="U469" s="51">
        <f t="shared" si="1283"/>
        <v>43.83</v>
      </c>
      <c r="V469" s="51">
        <f t="shared" ref="V469:W469" si="2373">(E468+E469)/2</f>
        <v>30.83</v>
      </c>
      <c r="W469" s="51">
        <f t="shared" si="2373"/>
        <v>19.579999999999998</v>
      </c>
      <c r="X469" s="51">
        <f t="shared" ref="X469:AB469" si="2374">(SUM(B466:B469))/4</f>
        <v>59.745000000000005</v>
      </c>
      <c r="Y469" s="51">
        <f t="shared" si="2374"/>
        <v>51.155000000000001</v>
      </c>
      <c r="Z469" s="51">
        <f t="shared" si="2374"/>
        <v>42.542499999999997</v>
      </c>
      <c r="AA469" s="51">
        <f t="shared" si="2374"/>
        <v>29.8825</v>
      </c>
      <c r="AB469" s="51">
        <f t="shared" si="2374"/>
        <v>19.377500000000001</v>
      </c>
      <c r="AC469" s="51">
        <f t="shared" ref="AC469:AF469" si="2375">(B469+C469)/2</f>
        <v>58.385000000000005</v>
      </c>
      <c r="AD469" s="51">
        <f t="shared" si="2375"/>
        <v>49.674999999999997</v>
      </c>
      <c r="AE469" s="51">
        <f t="shared" si="2375"/>
        <v>38.519999999999996</v>
      </c>
      <c r="AF469" s="51">
        <f t="shared" si="2375"/>
        <v>25.685000000000002</v>
      </c>
      <c r="AG469" s="57"/>
      <c r="AH469" s="57"/>
      <c r="AI469" s="57"/>
      <c r="AJ469" s="57"/>
      <c r="AK469" s="51">
        <f t="shared" si="2093"/>
        <v>19.854999999999997</v>
      </c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8"/>
      <c r="BK469" s="8"/>
      <c r="BL469" s="8"/>
      <c r="BM469" s="8"/>
    </row>
    <row r="470" spans="1:65" ht="30" hidden="1" customHeight="1" x14ac:dyDescent="0.45">
      <c r="A470" s="55">
        <f t="shared" si="1280"/>
        <v>44169</v>
      </c>
      <c r="B470" s="56">
        <v>67.05</v>
      </c>
      <c r="C470" s="56">
        <v>57.2</v>
      </c>
      <c r="D470" s="56">
        <v>47.99</v>
      </c>
      <c r="E470" s="56">
        <v>33.47</v>
      </c>
      <c r="F470" s="56">
        <v>21.06</v>
      </c>
      <c r="G470" s="56">
        <v>72.31</v>
      </c>
      <c r="H470" s="51">
        <f t="shared" ref="H470:M470" si="2376">B470-B469</f>
        <v>4.3699999999999974</v>
      </c>
      <c r="I470" s="51">
        <f t="shared" si="2376"/>
        <v>3.1099999999999994</v>
      </c>
      <c r="J470" s="51">
        <f t="shared" si="2376"/>
        <v>2.730000000000004</v>
      </c>
      <c r="K470" s="51">
        <f t="shared" si="2376"/>
        <v>1.6899999999999977</v>
      </c>
      <c r="L470" s="51">
        <f t="shared" si="2376"/>
        <v>1.4699999999999989</v>
      </c>
      <c r="M470" s="42">
        <f t="shared" si="2376"/>
        <v>4.0900000000000034</v>
      </c>
      <c r="N470" s="51">
        <f t="shared" ref="N470:R470" si="2377">N469</f>
        <v>59.745000000000005</v>
      </c>
      <c r="O470" s="51">
        <f t="shared" si="2377"/>
        <v>51.155000000000001</v>
      </c>
      <c r="P470" s="51">
        <f t="shared" si="2377"/>
        <v>42.542499999999997</v>
      </c>
      <c r="Q470" s="51">
        <f t="shared" si="2377"/>
        <v>29.8825</v>
      </c>
      <c r="R470" s="51">
        <f t="shared" si="2377"/>
        <v>19.377500000000001</v>
      </c>
      <c r="S470" s="51">
        <f t="shared" ref="S470:T470" si="2378">(B469+B470)/2</f>
        <v>64.864999999999995</v>
      </c>
      <c r="T470" s="51">
        <f t="shared" si="2378"/>
        <v>55.645000000000003</v>
      </c>
      <c r="U470" s="51">
        <f t="shared" si="1283"/>
        <v>46.625</v>
      </c>
      <c r="V470" s="51">
        <f t="shared" ref="V470:W470" si="2379">(E469+E470)/2</f>
        <v>32.625</v>
      </c>
      <c r="W470" s="51">
        <f t="shared" si="2379"/>
        <v>20.324999999999999</v>
      </c>
      <c r="X470" s="51">
        <f t="shared" ref="X470:AB470" si="2380">(SUM(B467:B470))/4</f>
        <v>61.980000000000004</v>
      </c>
      <c r="Y470" s="51">
        <f t="shared" si="2380"/>
        <v>53.055000000000007</v>
      </c>
      <c r="Z470" s="51">
        <f t="shared" si="2380"/>
        <v>44.252499999999998</v>
      </c>
      <c r="AA470" s="51">
        <f t="shared" si="2380"/>
        <v>31.017499999999998</v>
      </c>
      <c r="AB470" s="51">
        <f t="shared" si="2380"/>
        <v>19.845000000000002</v>
      </c>
      <c r="AC470" s="51">
        <f t="shared" ref="AC470:AF470" si="2381">(B470+C470)/2</f>
        <v>62.125</v>
      </c>
      <c r="AD470" s="51">
        <f t="shared" si="2381"/>
        <v>52.594999999999999</v>
      </c>
      <c r="AE470" s="51">
        <f t="shared" si="2381"/>
        <v>40.730000000000004</v>
      </c>
      <c r="AF470" s="51">
        <f t="shared" si="2381"/>
        <v>27.265000000000001</v>
      </c>
      <c r="AG470" s="57"/>
      <c r="AH470" s="57"/>
      <c r="AI470" s="57"/>
      <c r="AJ470" s="57"/>
      <c r="AK470" s="51">
        <f t="shared" si="2093"/>
        <v>21.125</v>
      </c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8"/>
      <c r="BK470" s="8"/>
      <c r="BL470" s="8"/>
      <c r="BM470" s="8"/>
    </row>
    <row r="471" spans="1:65" ht="30" hidden="1" customHeight="1" x14ac:dyDescent="0.45">
      <c r="A471" s="55">
        <f t="shared" si="1280"/>
        <v>44176</v>
      </c>
      <c r="B471" s="56">
        <v>72.12</v>
      </c>
      <c r="C471" s="56">
        <v>61.7</v>
      </c>
      <c r="D471" s="56">
        <v>53.18</v>
      </c>
      <c r="E471" s="56">
        <v>36.11</v>
      </c>
      <c r="F471" s="56">
        <v>21.82</v>
      </c>
      <c r="G471" s="56">
        <v>77.91</v>
      </c>
      <c r="H471" s="51">
        <f t="shared" ref="H471:M471" si="2382">B471-B470</f>
        <v>5.0700000000000074</v>
      </c>
      <c r="I471" s="51">
        <f t="shared" si="2382"/>
        <v>4.5</v>
      </c>
      <c r="J471" s="51">
        <f t="shared" si="2382"/>
        <v>5.1899999999999977</v>
      </c>
      <c r="K471" s="51">
        <f t="shared" si="2382"/>
        <v>2.6400000000000006</v>
      </c>
      <c r="L471" s="51">
        <f t="shared" si="2382"/>
        <v>0.76000000000000156</v>
      </c>
      <c r="M471" s="42">
        <f t="shared" si="2382"/>
        <v>5.5999999999999943</v>
      </c>
      <c r="N471" s="51">
        <f t="shared" ref="N471:R471" si="2383">AVERAGE(B471:B474)</f>
        <v>80.314999999999998</v>
      </c>
      <c r="O471" s="51">
        <f t="shared" si="2383"/>
        <v>68.067499999999995</v>
      </c>
      <c r="P471" s="51">
        <f t="shared" si="2383"/>
        <v>62.015000000000001</v>
      </c>
      <c r="Q471" s="51">
        <f t="shared" si="2383"/>
        <v>41.73</v>
      </c>
      <c r="R471" s="51">
        <f t="shared" si="2383"/>
        <v>23.652499999999996</v>
      </c>
      <c r="S471" s="51">
        <f t="shared" ref="S471:T471" si="2384">(B470+B471)/2</f>
        <v>69.585000000000008</v>
      </c>
      <c r="T471" s="51">
        <f t="shared" si="2384"/>
        <v>59.45</v>
      </c>
      <c r="U471" s="51">
        <f t="shared" si="1283"/>
        <v>50.585000000000001</v>
      </c>
      <c r="V471" s="51">
        <f t="shared" ref="V471:W471" si="2385">(E470+E471)/2</f>
        <v>34.79</v>
      </c>
      <c r="W471" s="51">
        <f t="shared" si="2385"/>
        <v>21.439999999999998</v>
      </c>
      <c r="X471" s="51">
        <f t="shared" ref="X471:AB471" si="2386">(SUM(B468:B471))/4</f>
        <v>65.342500000000001</v>
      </c>
      <c r="Y471" s="51">
        <f t="shared" si="2386"/>
        <v>56.144999999999996</v>
      </c>
      <c r="Z471" s="51">
        <f t="shared" si="2386"/>
        <v>47.207500000000003</v>
      </c>
      <c r="AA471" s="51">
        <f t="shared" si="2386"/>
        <v>32.81</v>
      </c>
      <c r="AB471" s="51">
        <f t="shared" si="2386"/>
        <v>20.509999999999998</v>
      </c>
      <c r="AC471" s="51">
        <f t="shared" ref="AC471:AF471" si="2387">(B471+C471)/2</f>
        <v>66.91</v>
      </c>
      <c r="AD471" s="51">
        <f t="shared" si="2387"/>
        <v>57.44</v>
      </c>
      <c r="AE471" s="51">
        <f t="shared" si="2387"/>
        <v>44.644999999999996</v>
      </c>
      <c r="AF471" s="51">
        <f t="shared" si="2387"/>
        <v>28.965</v>
      </c>
      <c r="AG471" s="57"/>
      <c r="AH471" s="57"/>
      <c r="AI471" s="57"/>
      <c r="AJ471" s="57"/>
      <c r="AK471" s="51">
        <f t="shared" si="2093"/>
        <v>22.765000000000001</v>
      </c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8"/>
      <c r="BK471" s="8"/>
      <c r="BL471" s="8"/>
      <c r="BM471" s="8"/>
    </row>
    <row r="472" spans="1:65" ht="30" hidden="1" customHeight="1" x14ac:dyDescent="0.45">
      <c r="A472" s="55">
        <f t="shared" si="1280"/>
        <v>44183</v>
      </c>
      <c r="B472" s="56">
        <v>80.349999999999994</v>
      </c>
      <c r="C472" s="56">
        <v>66.58</v>
      </c>
      <c r="D472" s="56">
        <v>62.02</v>
      </c>
      <c r="E472" s="56">
        <v>41.11</v>
      </c>
      <c r="F472" s="56">
        <v>23.31</v>
      </c>
      <c r="G472" s="56">
        <v>83.96</v>
      </c>
      <c r="H472" s="51">
        <f t="shared" ref="H472:M472" si="2388">B472-B471</f>
        <v>8.2299999999999898</v>
      </c>
      <c r="I472" s="51">
        <f t="shared" si="2388"/>
        <v>4.8799999999999955</v>
      </c>
      <c r="J472" s="51">
        <f t="shared" si="2388"/>
        <v>8.8400000000000034</v>
      </c>
      <c r="K472" s="51">
        <f t="shared" si="2388"/>
        <v>5</v>
      </c>
      <c r="L472" s="51">
        <f t="shared" si="2388"/>
        <v>1.4899999999999984</v>
      </c>
      <c r="M472" s="42">
        <f t="shared" si="2388"/>
        <v>6.0499999999999972</v>
      </c>
      <c r="N472" s="51">
        <f t="shared" ref="N472:R472" si="2389">N471</f>
        <v>80.314999999999998</v>
      </c>
      <c r="O472" s="51">
        <f t="shared" si="2389"/>
        <v>68.067499999999995</v>
      </c>
      <c r="P472" s="51">
        <f t="shared" si="2389"/>
        <v>62.015000000000001</v>
      </c>
      <c r="Q472" s="51">
        <f t="shared" si="2389"/>
        <v>41.73</v>
      </c>
      <c r="R472" s="51">
        <f t="shared" si="2389"/>
        <v>23.652499999999996</v>
      </c>
      <c r="S472" s="51">
        <f t="shared" ref="S472:T472" si="2390">(B471+B472)/2</f>
        <v>76.234999999999999</v>
      </c>
      <c r="T472" s="51">
        <f t="shared" si="2390"/>
        <v>64.14</v>
      </c>
      <c r="U472" s="51">
        <f t="shared" si="1283"/>
        <v>57.6</v>
      </c>
      <c r="V472" s="51">
        <f t="shared" ref="V472:W472" si="2391">(E471+E472)/2</f>
        <v>38.61</v>
      </c>
      <c r="W472" s="51">
        <f t="shared" si="2391"/>
        <v>22.564999999999998</v>
      </c>
      <c r="X472" s="51">
        <f t="shared" ref="X472:AB472" si="2392">(SUM(B469:B472))/4</f>
        <v>70.55</v>
      </c>
      <c r="Y472" s="51">
        <f t="shared" si="2392"/>
        <v>59.892499999999998</v>
      </c>
      <c r="Z472" s="51">
        <f t="shared" si="2392"/>
        <v>52.112500000000004</v>
      </c>
      <c r="AA472" s="51">
        <f t="shared" si="2392"/>
        <v>35.6175</v>
      </c>
      <c r="AB472" s="51">
        <f t="shared" si="2392"/>
        <v>21.445</v>
      </c>
      <c r="AC472" s="51">
        <f t="shared" ref="AC472:AF472" si="2393">(B472+C472)/2</f>
        <v>73.465000000000003</v>
      </c>
      <c r="AD472" s="51">
        <f t="shared" si="2393"/>
        <v>64.3</v>
      </c>
      <c r="AE472" s="51">
        <f t="shared" si="2393"/>
        <v>51.564999999999998</v>
      </c>
      <c r="AF472" s="51">
        <f t="shared" si="2393"/>
        <v>32.21</v>
      </c>
      <c r="AG472" s="57"/>
      <c r="AH472" s="57"/>
      <c r="AI472" s="57"/>
      <c r="AJ472" s="57"/>
      <c r="AK472" s="51">
        <f t="shared" si="2093"/>
        <v>25.237499999999997</v>
      </c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8"/>
      <c r="BK472" s="8"/>
      <c r="BL472" s="8"/>
      <c r="BM472" s="8"/>
    </row>
    <row r="473" spans="1:65" ht="30" hidden="1" customHeight="1" x14ac:dyDescent="0.45">
      <c r="A473" s="55">
        <f>A472+6</f>
        <v>44189</v>
      </c>
      <c r="B473" s="56">
        <v>85.1</v>
      </c>
      <c r="C473" s="56">
        <v>71.650000000000006</v>
      </c>
      <c r="D473" s="56">
        <v>66.849999999999994</v>
      </c>
      <c r="E473" s="56">
        <v>44.8</v>
      </c>
      <c r="F473" s="56">
        <v>24.54</v>
      </c>
      <c r="G473" s="56">
        <v>85.31</v>
      </c>
      <c r="H473" s="51">
        <f t="shared" ref="H473:M473" si="2394">B473-B472</f>
        <v>4.75</v>
      </c>
      <c r="I473" s="51">
        <f t="shared" si="2394"/>
        <v>5.0700000000000074</v>
      </c>
      <c r="J473" s="51">
        <f t="shared" si="2394"/>
        <v>4.8299999999999912</v>
      </c>
      <c r="K473" s="51">
        <f t="shared" si="2394"/>
        <v>3.6899999999999977</v>
      </c>
      <c r="L473" s="51">
        <f t="shared" si="2394"/>
        <v>1.2300000000000004</v>
      </c>
      <c r="M473" s="42">
        <f t="shared" si="2394"/>
        <v>1.3500000000000085</v>
      </c>
      <c r="N473" s="51">
        <f t="shared" ref="N473:R473" si="2395">N472</f>
        <v>80.314999999999998</v>
      </c>
      <c r="O473" s="51">
        <f t="shared" si="2395"/>
        <v>68.067499999999995</v>
      </c>
      <c r="P473" s="51">
        <f t="shared" si="2395"/>
        <v>62.015000000000001</v>
      </c>
      <c r="Q473" s="51">
        <f t="shared" si="2395"/>
        <v>41.73</v>
      </c>
      <c r="R473" s="51">
        <f t="shared" si="2395"/>
        <v>23.652499999999996</v>
      </c>
      <c r="S473" s="51">
        <f t="shared" ref="S473:T473" si="2396">(B472+B473)/2</f>
        <v>82.724999999999994</v>
      </c>
      <c r="T473" s="51">
        <f t="shared" si="2396"/>
        <v>69.115000000000009</v>
      </c>
      <c r="U473" s="51">
        <f t="shared" si="1283"/>
        <v>64.435000000000002</v>
      </c>
      <c r="V473" s="51">
        <f t="shared" ref="V473:W473" si="2397">(E472+E473)/2</f>
        <v>42.954999999999998</v>
      </c>
      <c r="W473" s="51">
        <f t="shared" si="2397"/>
        <v>23.924999999999997</v>
      </c>
      <c r="X473" s="51">
        <f t="shared" ref="X473:AB473" si="2398">(SUM(B470:B473))/4</f>
        <v>76.155000000000001</v>
      </c>
      <c r="Y473" s="51">
        <f t="shared" si="2398"/>
        <v>64.282499999999999</v>
      </c>
      <c r="Z473" s="51">
        <f t="shared" si="2398"/>
        <v>57.51</v>
      </c>
      <c r="AA473" s="51">
        <f t="shared" si="2398"/>
        <v>38.872500000000002</v>
      </c>
      <c r="AB473" s="51">
        <f t="shared" si="2398"/>
        <v>22.682499999999997</v>
      </c>
      <c r="AC473" s="51">
        <f t="shared" ref="AC473:AF473" si="2399">(B473+C473)/2</f>
        <v>78.375</v>
      </c>
      <c r="AD473" s="51">
        <f t="shared" si="2399"/>
        <v>69.25</v>
      </c>
      <c r="AE473" s="51">
        <f t="shared" si="2399"/>
        <v>55.824999999999996</v>
      </c>
      <c r="AF473" s="51">
        <f t="shared" si="2399"/>
        <v>34.67</v>
      </c>
      <c r="AG473" s="57"/>
      <c r="AH473" s="57"/>
      <c r="AI473" s="57"/>
      <c r="AJ473" s="57"/>
      <c r="AK473" s="51">
        <f t="shared" si="2093"/>
        <v>28.089999999999996</v>
      </c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8"/>
      <c r="BK473" s="8"/>
      <c r="BL473" s="8"/>
      <c r="BM473" s="8"/>
    </row>
    <row r="474" spans="1:65" ht="30" hidden="1" customHeight="1" x14ac:dyDescent="0.45">
      <c r="A474" s="55">
        <f>A473+7</f>
        <v>44196</v>
      </c>
      <c r="B474" s="56">
        <v>83.69</v>
      </c>
      <c r="C474" s="56">
        <v>72.34</v>
      </c>
      <c r="D474" s="56">
        <v>66.010000000000005</v>
      </c>
      <c r="E474" s="56">
        <v>44.9</v>
      </c>
      <c r="F474" s="56">
        <v>24.94</v>
      </c>
      <c r="G474" s="56">
        <v>83.72</v>
      </c>
      <c r="H474" s="51">
        <f t="shared" ref="H474:M474" si="2400">B474-B473</f>
        <v>-1.4099999999999966</v>
      </c>
      <c r="I474" s="51">
        <f t="shared" si="2400"/>
        <v>0.68999999999999773</v>
      </c>
      <c r="J474" s="51">
        <f t="shared" si="2400"/>
        <v>-0.8399999999999892</v>
      </c>
      <c r="K474" s="51">
        <f t="shared" si="2400"/>
        <v>0.10000000000000142</v>
      </c>
      <c r="L474" s="51">
        <f t="shared" si="2400"/>
        <v>0.40000000000000213</v>
      </c>
      <c r="M474" s="42">
        <f t="shared" si="2400"/>
        <v>-1.5900000000000034</v>
      </c>
      <c r="N474" s="51">
        <f t="shared" ref="N474:R474" si="2401">N473</f>
        <v>80.314999999999998</v>
      </c>
      <c r="O474" s="51">
        <f t="shared" si="2401"/>
        <v>68.067499999999995</v>
      </c>
      <c r="P474" s="51">
        <f t="shared" si="2401"/>
        <v>62.015000000000001</v>
      </c>
      <c r="Q474" s="51">
        <f t="shared" si="2401"/>
        <v>41.73</v>
      </c>
      <c r="R474" s="51">
        <f t="shared" si="2401"/>
        <v>23.652499999999996</v>
      </c>
      <c r="S474" s="51">
        <f t="shared" ref="S474:T474" si="2402">(B473+B474)/2</f>
        <v>84.394999999999996</v>
      </c>
      <c r="T474" s="51">
        <f t="shared" si="2402"/>
        <v>71.995000000000005</v>
      </c>
      <c r="U474" s="51">
        <f t="shared" si="1283"/>
        <v>66.430000000000007</v>
      </c>
      <c r="V474" s="51">
        <f t="shared" ref="V474:W474" si="2403">(E473+E474)/2</f>
        <v>44.849999999999994</v>
      </c>
      <c r="W474" s="51">
        <f t="shared" si="2403"/>
        <v>24.740000000000002</v>
      </c>
      <c r="X474" s="51">
        <f t="shared" ref="X474:AB474" si="2404">(SUM(B471:B474))/4</f>
        <v>80.314999999999998</v>
      </c>
      <c r="Y474" s="51">
        <f t="shared" si="2404"/>
        <v>68.067499999999995</v>
      </c>
      <c r="Z474" s="51">
        <f t="shared" si="2404"/>
        <v>62.015000000000001</v>
      </c>
      <c r="AA474" s="51">
        <f t="shared" si="2404"/>
        <v>41.73</v>
      </c>
      <c r="AB474" s="51">
        <f t="shared" si="2404"/>
        <v>23.652499999999996</v>
      </c>
      <c r="AC474" s="51">
        <f t="shared" ref="AC474:AF474" si="2405">(B474+C474)/2</f>
        <v>78.015000000000001</v>
      </c>
      <c r="AD474" s="51">
        <f t="shared" si="2405"/>
        <v>69.175000000000011</v>
      </c>
      <c r="AE474" s="51">
        <f t="shared" si="2405"/>
        <v>55.454999999999998</v>
      </c>
      <c r="AF474" s="51">
        <f t="shared" si="2405"/>
        <v>34.92</v>
      </c>
      <c r="AG474" s="57"/>
      <c r="AH474" s="57"/>
      <c r="AI474" s="57"/>
      <c r="AJ474" s="57"/>
      <c r="AK474" s="51">
        <f t="shared" si="2093"/>
        <v>29.445</v>
      </c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8"/>
      <c r="BK474" s="8"/>
      <c r="BL474" s="8"/>
      <c r="BM474" s="8"/>
    </row>
    <row r="475" spans="1:65" ht="30" hidden="1" customHeight="1" x14ac:dyDescent="0.45">
      <c r="A475" s="55">
        <f>A474+8</f>
        <v>44204</v>
      </c>
      <c r="B475" s="56">
        <v>84.67</v>
      </c>
      <c r="C475" s="56">
        <v>78.16</v>
      </c>
      <c r="D475" s="56">
        <v>68.34</v>
      </c>
      <c r="E475" s="56">
        <v>45.56</v>
      </c>
      <c r="F475" s="56">
        <v>25.23</v>
      </c>
      <c r="G475" s="56">
        <v>80.78</v>
      </c>
      <c r="H475" s="51">
        <f t="shared" ref="H475:M475" si="2406">B475-B474</f>
        <v>0.98000000000000398</v>
      </c>
      <c r="I475" s="51">
        <f t="shared" si="2406"/>
        <v>5.8199999999999932</v>
      </c>
      <c r="J475" s="51">
        <f t="shared" si="2406"/>
        <v>2.3299999999999983</v>
      </c>
      <c r="K475" s="51">
        <f t="shared" si="2406"/>
        <v>0.66000000000000369</v>
      </c>
      <c r="L475" s="51">
        <f t="shared" si="2406"/>
        <v>0.28999999999999915</v>
      </c>
      <c r="M475" s="42">
        <f t="shared" si="2406"/>
        <v>-2.9399999999999977</v>
      </c>
      <c r="N475" s="51">
        <f t="shared" ref="N475:R475" si="2407">AVERAGE(B475:B478)</f>
        <v>88.077500000000001</v>
      </c>
      <c r="O475" s="51">
        <f t="shared" si="2407"/>
        <v>82.237500000000011</v>
      </c>
      <c r="P475" s="51">
        <f t="shared" si="2407"/>
        <v>72.39</v>
      </c>
      <c r="Q475" s="51">
        <f t="shared" si="2407"/>
        <v>47.495000000000005</v>
      </c>
      <c r="R475" s="51">
        <f t="shared" si="2407"/>
        <v>26.470000000000002</v>
      </c>
      <c r="S475" s="51">
        <f t="shared" ref="S475:T475" si="2408">(B474+B475)/2</f>
        <v>84.18</v>
      </c>
      <c r="T475" s="51">
        <f t="shared" si="2408"/>
        <v>75.25</v>
      </c>
      <c r="U475" s="51">
        <f t="shared" si="1283"/>
        <v>67.175000000000011</v>
      </c>
      <c r="V475" s="51">
        <f t="shared" ref="V475:W475" si="2409">(E474+E475)/2</f>
        <v>45.230000000000004</v>
      </c>
      <c r="W475" s="51">
        <f t="shared" si="2409"/>
        <v>25.085000000000001</v>
      </c>
      <c r="X475" s="51">
        <f t="shared" ref="X475:AB475" si="2410">(SUM(B472:B475))/4</f>
        <v>83.452500000000001</v>
      </c>
      <c r="Y475" s="51">
        <f t="shared" si="2410"/>
        <v>72.182500000000005</v>
      </c>
      <c r="Z475" s="51">
        <f t="shared" si="2410"/>
        <v>65.805000000000007</v>
      </c>
      <c r="AA475" s="51">
        <f t="shared" si="2410"/>
        <v>44.092500000000001</v>
      </c>
      <c r="AB475" s="51">
        <f t="shared" si="2410"/>
        <v>24.504999999999999</v>
      </c>
      <c r="AC475" s="51">
        <f t="shared" ref="AC475:AF475" si="2411">(B475+C475)/2</f>
        <v>81.414999999999992</v>
      </c>
      <c r="AD475" s="51">
        <f t="shared" si="2411"/>
        <v>73.25</v>
      </c>
      <c r="AE475" s="51">
        <f t="shared" si="2411"/>
        <v>56.95</v>
      </c>
      <c r="AF475" s="51">
        <f t="shared" si="2411"/>
        <v>35.395000000000003</v>
      </c>
      <c r="AG475" s="57"/>
      <c r="AH475" s="57"/>
      <c r="AI475" s="57"/>
      <c r="AJ475" s="57"/>
      <c r="AK475" s="51">
        <f t="shared" si="2093"/>
        <v>29.807499999999997</v>
      </c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8"/>
      <c r="BK475" s="8"/>
      <c r="BL475" s="8"/>
      <c r="BM475" s="8"/>
    </row>
    <row r="476" spans="1:65" ht="30" hidden="1" customHeight="1" x14ac:dyDescent="0.45">
      <c r="A476" s="55">
        <f t="shared" ref="A476:A479" si="2412">A475+7</f>
        <v>44211</v>
      </c>
      <c r="B476" s="56">
        <v>88.34</v>
      </c>
      <c r="C476" s="56">
        <v>82.95</v>
      </c>
      <c r="D476" s="56">
        <v>72.37</v>
      </c>
      <c r="E476" s="56">
        <v>47.78</v>
      </c>
      <c r="F476" s="56">
        <v>26.55</v>
      </c>
      <c r="G476" s="56">
        <v>87.98</v>
      </c>
      <c r="H476" s="51">
        <f t="shared" ref="H476:M476" si="2413">B476-B475</f>
        <v>3.6700000000000017</v>
      </c>
      <c r="I476" s="51">
        <f t="shared" si="2413"/>
        <v>4.7900000000000063</v>
      </c>
      <c r="J476" s="51">
        <f t="shared" si="2413"/>
        <v>4.0300000000000011</v>
      </c>
      <c r="K476" s="51">
        <f t="shared" si="2413"/>
        <v>2.2199999999999989</v>
      </c>
      <c r="L476" s="51">
        <f t="shared" si="2413"/>
        <v>1.3200000000000003</v>
      </c>
      <c r="M476" s="42">
        <f t="shared" si="2413"/>
        <v>7.2000000000000028</v>
      </c>
      <c r="N476" s="51">
        <f t="shared" ref="N476:R476" si="2414">N475</f>
        <v>88.077500000000001</v>
      </c>
      <c r="O476" s="51">
        <f t="shared" si="2414"/>
        <v>82.237500000000011</v>
      </c>
      <c r="P476" s="51">
        <f t="shared" si="2414"/>
        <v>72.39</v>
      </c>
      <c r="Q476" s="51">
        <f t="shared" si="2414"/>
        <v>47.495000000000005</v>
      </c>
      <c r="R476" s="51">
        <f t="shared" si="2414"/>
        <v>26.470000000000002</v>
      </c>
      <c r="S476" s="51">
        <f t="shared" ref="S476:T476" si="2415">(B475+B476)/2</f>
        <v>86.504999999999995</v>
      </c>
      <c r="T476" s="51">
        <f t="shared" si="2415"/>
        <v>80.555000000000007</v>
      </c>
      <c r="U476" s="51">
        <f t="shared" si="1283"/>
        <v>70.355000000000004</v>
      </c>
      <c r="V476" s="51">
        <f t="shared" ref="V476:W476" si="2416">(E475+E476)/2</f>
        <v>46.67</v>
      </c>
      <c r="W476" s="51">
        <f t="shared" si="2416"/>
        <v>25.89</v>
      </c>
      <c r="X476" s="51">
        <f t="shared" ref="X476:AB476" si="2417">(SUM(B473:B476))/4</f>
        <v>85.449999999999989</v>
      </c>
      <c r="Y476" s="51">
        <f t="shared" si="2417"/>
        <v>76.275000000000006</v>
      </c>
      <c r="Z476" s="51">
        <f t="shared" si="2417"/>
        <v>68.392500000000013</v>
      </c>
      <c r="AA476" s="51">
        <f t="shared" si="2417"/>
        <v>45.76</v>
      </c>
      <c r="AB476" s="51">
        <f t="shared" si="2417"/>
        <v>25.315000000000001</v>
      </c>
      <c r="AC476" s="51">
        <f t="shared" ref="AC476:AF476" si="2418">(B476+C476)/2</f>
        <v>85.64500000000001</v>
      </c>
      <c r="AD476" s="51">
        <f t="shared" si="2418"/>
        <v>77.66</v>
      </c>
      <c r="AE476" s="51">
        <f t="shared" si="2418"/>
        <v>60.075000000000003</v>
      </c>
      <c r="AF476" s="51">
        <f t="shared" si="2418"/>
        <v>37.164999999999999</v>
      </c>
      <c r="AG476" s="57"/>
      <c r="AH476" s="57"/>
      <c r="AI476" s="57"/>
      <c r="AJ476" s="57"/>
      <c r="AK476" s="51">
        <f t="shared" si="2093"/>
        <v>30.93</v>
      </c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8"/>
      <c r="BK476" s="8"/>
      <c r="BL476" s="8"/>
      <c r="BM476" s="8"/>
    </row>
    <row r="477" spans="1:65" ht="30" hidden="1" customHeight="1" x14ac:dyDescent="0.45">
      <c r="A477" s="55">
        <f t="shared" si="2412"/>
        <v>44218</v>
      </c>
      <c r="B477" s="56">
        <v>90.22</v>
      </c>
      <c r="C477" s="56">
        <v>85.98</v>
      </c>
      <c r="D477" s="56">
        <v>76.48</v>
      </c>
      <c r="E477" s="56">
        <v>49.95</v>
      </c>
      <c r="F477" s="56">
        <v>27.51</v>
      </c>
      <c r="G477" s="56">
        <v>87.92</v>
      </c>
      <c r="H477" s="51">
        <f t="shared" ref="H477:M477" si="2419">B477-B476</f>
        <v>1.8799999999999955</v>
      </c>
      <c r="I477" s="51">
        <f t="shared" si="2419"/>
        <v>3.0300000000000011</v>
      </c>
      <c r="J477" s="51">
        <f t="shared" si="2419"/>
        <v>4.1099999999999994</v>
      </c>
      <c r="K477" s="51">
        <f t="shared" si="2419"/>
        <v>2.1700000000000017</v>
      </c>
      <c r="L477" s="51">
        <f t="shared" si="2419"/>
        <v>0.96000000000000085</v>
      </c>
      <c r="M477" s="42">
        <f t="shared" si="2419"/>
        <v>-6.0000000000002274E-2</v>
      </c>
      <c r="N477" s="51">
        <f t="shared" ref="N477:R477" si="2420">N476</f>
        <v>88.077500000000001</v>
      </c>
      <c r="O477" s="51">
        <f t="shared" si="2420"/>
        <v>82.237500000000011</v>
      </c>
      <c r="P477" s="51">
        <f t="shared" si="2420"/>
        <v>72.39</v>
      </c>
      <c r="Q477" s="51">
        <f t="shared" si="2420"/>
        <v>47.495000000000005</v>
      </c>
      <c r="R477" s="51">
        <f t="shared" si="2420"/>
        <v>26.470000000000002</v>
      </c>
      <c r="S477" s="51">
        <f t="shared" ref="S477:T477" si="2421">(B476+B477)/2</f>
        <v>89.28</v>
      </c>
      <c r="T477" s="51">
        <f t="shared" si="2421"/>
        <v>84.465000000000003</v>
      </c>
      <c r="U477" s="51">
        <f t="shared" si="1283"/>
        <v>74.425000000000011</v>
      </c>
      <c r="V477" s="51">
        <f t="shared" ref="V477:W477" si="2422">(E476+E477)/2</f>
        <v>48.865000000000002</v>
      </c>
      <c r="W477" s="51">
        <f t="shared" si="2422"/>
        <v>27.03</v>
      </c>
      <c r="X477" s="51">
        <f t="shared" ref="X477:AB477" si="2423">(SUM(B474:B477))/4</f>
        <v>86.730000000000018</v>
      </c>
      <c r="Y477" s="51">
        <f t="shared" si="2423"/>
        <v>79.857500000000002</v>
      </c>
      <c r="Z477" s="51">
        <f t="shared" si="2423"/>
        <v>70.800000000000011</v>
      </c>
      <c r="AA477" s="51">
        <f t="shared" si="2423"/>
        <v>47.047499999999999</v>
      </c>
      <c r="AB477" s="51">
        <f t="shared" si="2423"/>
        <v>26.057500000000001</v>
      </c>
      <c r="AC477" s="51">
        <f t="shared" ref="AC477:AF477" si="2424">(B477+C477)/2</f>
        <v>88.1</v>
      </c>
      <c r="AD477" s="51">
        <f t="shared" si="2424"/>
        <v>81.23</v>
      </c>
      <c r="AE477" s="51">
        <f t="shared" si="2424"/>
        <v>63.215000000000003</v>
      </c>
      <c r="AF477" s="51">
        <f t="shared" si="2424"/>
        <v>38.730000000000004</v>
      </c>
      <c r="AG477" s="57"/>
      <c r="AH477" s="57"/>
      <c r="AI477" s="57"/>
      <c r="AJ477" s="57"/>
      <c r="AK477" s="51">
        <f t="shared" si="2093"/>
        <v>32.597500000000004</v>
      </c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8"/>
      <c r="BK477" s="8"/>
      <c r="BL477" s="8"/>
      <c r="BM477" s="8"/>
    </row>
    <row r="478" spans="1:65" ht="30" hidden="1" customHeight="1" x14ac:dyDescent="0.45">
      <c r="A478" s="55">
        <f t="shared" si="2412"/>
        <v>44225</v>
      </c>
      <c r="B478" s="56">
        <v>89.08</v>
      </c>
      <c r="C478" s="56">
        <v>81.86</v>
      </c>
      <c r="D478" s="56">
        <v>72.37</v>
      </c>
      <c r="E478" s="56">
        <v>46.69</v>
      </c>
      <c r="F478" s="56">
        <v>26.59</v>
      </c>
      <c r="G478" s="56">
        <v>90.46</v>
      </c>
      <c r="H478" s="51">
        <f t="shared" ref="H478:M478" si="2425">B478-B477</f>
        <v>-1.1400000000000006</v>
      </c>
      <c r="I478" s="51">
        <f t="shared" si="2425"/>
        <v>-4.1200000000000045</v>
      </c>
      <c r="J478" s="51">
        <f t="shared" si="2425"/>
        <v>-4.1099999999999994</v>
      </c>
      <c r="K478" s="51">
        <f t="shared" si="2425"/>
        <v>-3.2600000000000051</v>
      </c>
      <c r="L478" s="51">
        <f t="shared" si="2425"/>
        <v>-0.92000000000000171</v>
      </c>
      <c r="M478" s="42">
        <f t="shared" si="2425"/>
        <v>2.539999999999992</v>
      </c>
      <c r="N478" s="51">
        <f t="shared" ref="N478:R478" si="2426">N477</f>
        <v>88.077500000000001</v>
      </c>
      <c r="O478" s="51">
        <f t="shared" si="2426"/>
        <v>82.237500000000011</v>
      </c>
      <c r="P478" s="51">
        <f t="shared" si="2426"/>
        <v>72.39</v>
      </c>
      <c r="Q478" s="51">
        <f t="shared" si="2426"/>
        <v>47.495000000000005</v>
      </c>
      <c r="R478" s="51">
        <f t="shared" si="2426"/>
        <v>26.470000000000002</v>
      </c>
      <c r="S478" s="51">
        <f t="shared" ref="S478:T478" si="2427">(B477+B478)/2</f>
        <v>89.65</v>
      </c>
      <c r="T478" s="51">
        <f t="shared" si="2427"/>
        <v>83.92</v>
      </c>
      <c r="U478" s="51">
        <f t="shared" si="1283"/>
        <v>74.425000000000011</v>
      </c>
      <c r="V478" s="51">
        <f t="shared" ref="V478:W478" si="2428">(E477+E478)/2</f>
        <v>48.32</v>
      </c>
      <c r="W478" s="51">
        <f t="shared" si="2428"/>
        <v>27.05</v>
      </c>
      <c r="X478" s="51">
        <f t="shared" ref="X478:AB478" si="2429">(SUM(B475:B478))/4</f>
        <v>88.077500000000001</v>
      </c>
      <c r="Y478" s="51">
        <f t="shared" si="2429"/>
        <v>82.237500000000011</v>
      </c>
      <c r="Z478" s="51">
        <f t="shared" si="2429"/>
        <v>72.39</v>
      </c>
      <c r="AA478" s="51">
        <f t="shared" si="2429"/>
        <v>47.495000000000005</v>
      </c>
      <c r="AB478" s="51">
        <f t="shared" si="2429"/>
        <v>26.470000000000002</v>
      </c>
      <c r="AC478" s="51">
        <f t="shared" ref="AC478:AF478" si="2430">(B478+C478)/2</f>
        <v>85.47</v>
      </c>
      <c r="AD478" s="51">
        <f t="shared" si="2430"/>
        <v>77.115000000000009</v>
      </c>
      <c r="AE478" s="51">
        <f t="shared" si="2430"/>
        <v>59.53</v>
      </c>
      <c r="AF478" s="51">
        <f t="shared" si="2430"/>
        <v>36.64</v>
      </c>
      <c r="AG478" s="57"/>
      <c r="AH478" s="57"/>
      <c r="AI478" s="57"/>
      <c r="AJ478" s="57"/>
      <c r="AK478" s="51">
        <f t="shared" si="2093"/>
        <v>32.335000000000001</v>
      </c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8"/>
      <c r="BK478" s="8"/>
      <c r="BL478" s="8"/>
      <c r="BM478" s="8"/>
    </row>
    <row r="479" spans="1:65" ht="30" hidden="1" customHeight="1" x14ac:dyDescent="0.45">
      <c r="A479" s="55">
        <f t="shared" si="2412"/>
        <v>44232</v>
      </c>
      <c r="B479" s="56">
        <v>86.22</v>
      </c>
      <c r="C479" s="56">
        <v>77.95</v>
      </c>
      <c r="D479" s="56">
        <v>67.540000000000006</v>
      </c>
      <c r="E479" s="56">
        <v>39.51</v>
      </c>
      <c r="F479" s="56">
        <v>25.21</v>
      </c>
      <c r="G479" s="56">
        <v>85.65</v>
      </c>
      <c r="H479" s="51">
        <f t="shared" ref="H479:M479" si="2431">B479-B478</f>
        <v>-2.8599999999999994</v>
      </c>
      <c r="I479" s="51">
        <f t="shared" si="2431"/>
        <v>-3.9099999999999966</v>
      </c>
      <c r="J479" s="51">
        <f t="shared" si="2431"/>
        <v>-4.8299999999999983</v>
      </c>
      <c r="K479" s="51">
        <f t="shared" si="2431"/>
        <v>-7.18</v>
      </c>
      <c r="L479" s="51">
        <f t="shared" si="2431"/>
        <v>-1.379999999999999</v>
      </c>
      <c r="M479" s="42">
        <f t="shared" si="2431"/>
        <v>-4.8099999999999881</v>
      </c>
      <c r="N479" s="51">
        <f t="shared" ref="N479:R479" si="2432">AVERAGE(B479:B482)</f>
        <v>85.712500000000006</v>
      </c>
      <c r="O479" s="51">
        <f t="shared" si="2432"/>
        <v>74.575000000000003</v>
      </c>
      <c r="P479" s="51">
        <f t="shared" si="2432"/>
        <v>65.570000000000007</v>
      </c>
      <c r="Q479" s="51">
        <f t="shared" si="2432"/>
        <v>39.222499999999997</v>
      </c>
      <c r="R479" s="51">
        <f t="shared" si="2432"/>
        <v>24.825000000000003</v>
      </c>
      <c r="S479" s="51">
        <f t="shared" ref="S479:T479" si="2433">(B478+B479)/2</f>
        <v>87.65</v>
      </c>
      <c r="T479" s="51">
        <f t="shared" si="2433"/>
        <v>79.905000000000001</v>
      </c>
      <c r="U479" s="51">
        <f t="shared" si="1283"/>
        <v>69.955000000000013</v>
      </c>
      <c r="V479" s="51">
        <f t="shared" ref="V479:W479" si="2434">(E478+E479)/2</f>
        <v>43.099999999999994</v>
      </c>
      <c r="W479" s="51">
        <f t="shared" si="2434"/>
        <v>25.9</v>
      </c>
      <c r="X479" s="51">
        <f t="shared" ref="X479:AB479" si="2435">(SUM(B476:B479))/4</f>
        <v>88.465000000000003</v>
      </c>
      <c r="Y479" s="51">
        <f t="shared" si="2435"/>
        <v>82.185000000000002</v>
      </c>
      <c r="Z479" s="51">
        <f t="shared" si="2435"/>
        <v>72.190000000000012</v>
      </c>
      <c r="AA479" s="51">
        <f t="shared" si="2435"/>
        <v>45.982500000000002</v>
      </c>
      <c r="AB479" s="51">
        <f t="shared" si="2435"/>
        <v>26.465000000000003</v>
      </c>
      <c r="AC479" s="51">
        <f t="shared" ref="AC479:AF479" si="2436">(B479+C479)/2</f>
        <v>82.085000000000008</v>
      </c>
      <c r="AD479" s="51">
        <f t="shared" si="2436"/>
        <v>72.745000000000005</v>
      </c>
      <c r="AE479" s="51">
        <f t="shared" si="2436"/>
        <v>53.525000000000006</v>
      </c>
      <c r="AF479" s="51">
        <f t="shared" si="2436"/>
        <v>32.36</v>
      </c>
      <c r="AG479" s="57"/>
      <c r="AH479" s="57"/>
      <c r="AI479" s="57"/>
      <c r="AJ479" s="57"/>
      <c r="AK479" s="51">
        <f t="shared" si="2093"/>
        <v>29.15</v>
      </c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8"/>
      <c r="BK479" s="8"/>
      <c r="BL479" s="8"/>
      <c r="BM479" s="8"/>
    </row>
    <row r="480" spans="1:65" ht="30" hidden="1" customHeight="1" x14ac:dyDescent="0.45">
      <c r="A480" s="55">
        <v>44238</v>
      </c>
      <c r="B480" s="56">
        <v>86.4</v>
      </c>
      <c r="C480" s="56">
        <v>74.16</v>
      </c>
      <c r="D480" s="56">
        <v>65.56</v>
      </c>
      <c r="E480" s="56">
        <v>38.409999999999997</v>
      </c>
      <c r="F480" s="56">
        <v>24.6</v>
      </c>
      <c r="G480" s="56">
        <v>88.4</v>
      </c>
      <c r="H480" s="51">
        <f t="shared" ref="H480:M480" si="2437">B480-B479</f>
        <v>0.18000000000000682</v>
      </c>
      <c r="I480" s="51">
        <f t="shared" si="2437"/>
        <v>-3.7900000000000063</v>
      </c>
      <c r="J480" s="51">
        <f t="shared" si="2437"/>
        <v>-1.980000000000004</v>
      </c>
      <c r="K480" s="51">
        <f t="shared" si="2437"/>
        <v>-1.1000000000000014</v>
      </c>
      <c r="L480" s="51">
        <f t="shared" si="2437"/>
        <v>-0.60999999999999943</v>
      </c>
      <c r="M480" s="42">
        <f t="shared" si="2437"/>
        <v>2.75</v>
      </c>
      <c r="N480" s="51">
        <f t="shared" ref="N480:R480" si="2438">N479</f>
        <v>85.712500000000006</v>
      </c>
      <c r="O480" s="51">
        <f t="shared" si="2438"/>
        <v>74.575000000000003</v>
      </c>
      <c r="P480" s="51">
        <f t="shared" si="2438"/>
        <v>65.570000000000007</v>
      </c>
      <c r="Q480" s="51">
        <f t="shared" si="2438"/>
        <v>39.222499999999997</v>
      </c>
      <c r="R480" s="51">
        <f t="shared" si="2438"/>
        <v>24.825000000000003</v>
      </c>
      <c r="S480" s="51">
        <f t="shared" ref="S480:T480" si="2439">(B479+B480)/2</f>
        <v>86.31</v>
      </c>
      <c r="T480" s="51">
        <f t="shared" si="2439"/>
        <v>76.055000000000007</v>
      </c>
      <c r="U480" s="51">
        <f t="shared" si="1283"/>
        <v>66.550000000000011</v>
      </c>
      <c r="V480" s="51">
        <f t="shared" ref="V480:W480" si="2440">(E479+E480)/2</f>
        <v>38.959999999999994</v>
      </c>
      <c r="W480" s="51">
        <f t="shared" si="2440"/>
        <v>24.905000000000001</v>
      </c>
      <c r="X480" s="51">
        <f t="shared" ref="X480:AB480" si="2441">(SUM(B477:B480))/4</f>
        <v>87.97999999999999</v>
      </c>
      <c r="Y480" s="51">
        <f t="shared" si="2441"/>
        <v>79.987500000000011</v>
      </c>
      <c r="Z480" s="51">
        <f t="shared" si="2441"/>
        <v>70.487500000000011</v>
      </c>
      <c r="AA480" s="51">
        <f t="shared" si="2441"/>
        <v>43.64</v>
      </c>
      <c r="AB480" s="51">
        <f t="shared" si="2441"/>
        <v>25.977499999999999</v>
      </c>
      <c r="AC480" s="51">
        <f t="shared" ref="AC480:AF480" si="2442">(B480+C480)/2</f>
        <v>80.28</v>
      </c>
      <c r="AD480" s="51">
        <f t="shared" si="2442"/>
        <v>69.86</v>
      </c>
      <c r="AE480" s="51">
        <f t="shared" si="2442"/>
        <v>51.984999999999999</v>
      </c>
      <c r="AF480" s="51">
        <f t="shared" si="2442"/>
        <v>31.504999999999999</v>
      </c>
      <c r="AG480" s="57"/>
      <c r="AH480" s="57"/>
      <c r="AI480" s="57"/>
      <c r="AJ480" s="57"/>
      <c r="AK480" s="51">
        <f t="shared" si="2093"/>
        <v>26.582499999999996</v>
      </c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8"/>
      <c r="BK480" s="8"/>
      <c r="BL480" s="8"/>
      <c r="BM480" s="8"/>
    </row>
    <row r="481" spans="1:65" ht="30" hidden="1" customHeight="1" x14ac:dyDescent="0.45">
      <c r="A481" s="55">
        <v>44246</v>
      </c>
      <c r="B481" s="56">
        <v>85.88</v>
      </c>
      <c r="C481" s="56">
        <v>74.13</v>
      </c>
      <c r="D481" s="56">
        <v>65.58</v>
      </c>
      <c r="E481" s="56">
        <v>39.57</v>
      </c>
      <c r="F481" s="56">
        <v>24.96</v>
      </c>
      <c r="G481" s="56">
        <v>85.79</v>
      </c>
      <c r="H481" s="51">
        <f t="shared" ref="H481:M481" si="2443">B481-B480</f>
        <v>-0.52000000000001023</v>
      </c>
      <c r="I481" s="51">
        <f t="shared" si="2443"/>
        <v>-3.0000000000001137E-2</v>
      </c>
      <c r="J481" s="51">
        <f t="shared" si="2443"/>
        <v>1.9999999999996021E-2</v>
      </c>
      <c r="K481" s="51">
        <f t="shared" si="2443"/>
        <v>1.1600000000000037</v>
      </c>
      <c r="L481" s="51">
        <f t="shared" si="2443"/>
        <v>0.35999999999999943</v>
      </c>
      <c r="M481" s="42">
        <f t="shared" si="2443"/>
        <v>-2.6099999999999994</v>
      </c>
      <c r="N481" s="51">
        <f t="shared" ref="N481:R481" si="2444">N480</f>
        <v>85.712500000000006</v>
      </c>
      <c r="O481" s="51">
        <f t="shared" si="2444"/>
        <v>74.575000000000003</v>
      </c>
      <c r="P481" s="51">
        <f t="shared" si="2444"/>
        <v>65.570000000000007</v>
      </c>
      <c r="Q481" s="51">
        <f t="shared" si="2444"/>
        <v>39.222499999999997</v>
      </c>
      <c r="R481" s="51">
        <f t="shared" si="2444"/>
        <v>24.825000000000003</v>
      </c>
      <c r="S481" s="51">
        <f t="shared" ref="S481:T481" si="2445">(B480+B481)/2</f>
        <v>86.14</v>
      </c>
      <c r="T481" s="51">
        <f t="shared" si="2445"/>
        <v>74.144999999999996</v>
      </c>
      <c r="U481" s="51">
        <f t="shared" si="1283"/>
        <v>65.569999999999993</v>
      </c>
      <c r="V481" s="51">
        <f t="shared" ref="V481:W481" si="2446">(E480+E481)/2</f>
        <v>38.989999999999995</v>
      </c>
      <c r="W481" s="51">
        <f t="shared" si="2446"/>
        <v>24.78</v>
      </c>
      <c r="X481" s="51">
        <f t="shared" ref="X481:AB481" si="2447">(SUM(B478:B481))/4</f>
        <v>86.89500000000001</v>
      </c>
      <c r="Y481" s="51">
        <f t="shared" si="2447"/>
        <v>77.025000000000006</v>
      </c>
      <c r="Z481" s="51">
        <f t="shared" si="2447"/>
        <v>67.762500000000003</v>
      </c>
      <c r="AA481" s="51">
        <f t="shared" si="2447"/>
        <v>41.044999999999995</v>
      </c>
      <c r="AB481" s="51">
        <f t="shared" si="2447"/>
        <v>25.340000000000003</v>
      </c>
      <c r="AC481" s="51">
        <f t="shared" ref="AC481:AF481" si="2448">(B481+C481)/2</f>
        <v>80.004999999999995</v>
      </c>
      <c r="AD481" s="51">
        <f t="shared" si="2448"/>
        <v>69.85499999999999</v>
      </c>
      <c r="AE481" s="51">
        <f t="shared" si="2448"/>
        <v>52.575000000000003</v>
      </c>
      <c r="AF481" s="51">
        <f t="shared" si="2448"/>
        <v>32.265000000000001</v>
      </c>
      <c r="AG481" s="57"/>
      <c r="AH481" s="57"/>
      <c r="AI481" s="57"/>
      <c r="AJ481" s="57"/>
      <c r="AK481" s="51">
        <f t="shared" si="2093"/>
        <v>26.534999999999997</v>
      </c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8"/>
      <c r="BK481" s="8"/>
      <c r="BL481" s="8"/>
      <c r="BM481" s="8"/>
    </row>
    <row r="482" spans="1:65" ht="30" hidden="1" customHeight="1" x14ac:dyDescent="0.45">
      <c r="A482" s="55">
        <f t="shared" ref="A482:A486" si="2449">A481+7</f>
        <v>44253</v>
      </c>
      <c r="B482" s="56">
        <v>84.35</v>
      </c>
      <c r="C482" s="56">
        <v>72.06</v>
      </c>
      <c r="D482" s="56">
        <v>63.6</v>
      </c>
      <c r="E482" s="56">
        <v>39.4</v>
      </c>
      <c r="F482" s="56">
        <v>24.53</v>
      </c>
      <c r="G482" s="56">
        <v>82.16</v>
      </c>
      <c r="H482" s="51">
        <f t="shared" ref="H482:M482" si="2450">B482-B481</f>
        <v>-1.5300000000000011</v>
      </c>
      <c r="I482" s="51">
        <f t="shared" si="2450"/>
        <v>-2.0699999999999932</v>
      </c>
      <c r="J482" s="51">
        <f t="shared" si="2450"/>
        <v>-1.9799999999999969</v>
      </c>
      <c r="K482" s="51">
        <f t="shared" si="2450"/>
        <v>-0.17000000000000171</v>
      </c>
      <c r="L482" s="51">
        <f t="shared" si="2450"/>
        <v>-0.42999999999999972</v>
      </c>
      <c r="M482" s="42">
        <f t="shared" si="2450"/>
        <v>-3.6300000000000097</v>
      </c>
      <c r="N482" s="51">
        <f t="shared" ref="N482:R482" si="2451">N481</f>
        <v>85.712500000000006</v>
      </c>
      <c r="O482" s="51">
        <f t="shared" si="2451"/>
        <v>74.575000000000003</v>
      </c>
      <c r="P482" s="51">
        <f t="shared" si="2451"/>
        <v>65.570000000000007</v>
      </c>
      <c r="Q482" s="51">
        <f t="shared" si="2451"/>
        <v>39.222499999999997</v>
      </c>
      <c r="R482" s="51">
        <f t="shared" si="2451"/>
        <v>24.825000000000003</v>
      </c>
      <c r="S482" s="51">
        <f t="shared" ref="S482:T482" si="2452">(B481+B482)/2</f>
        <v>85.114999999999995</v>
      </c>
      <c r="T482" s="51">
        <f t="shared" si="2452"/>
        <v>73.094999999999999</v>
      </c>
      <c r="U482" s="51">
        <f t="shared" si="1283"/>
        <v>64.59</v>
      </c>
      <c r="V482" s="51">
        <f t="shared" ref="V482:W482" si="2453">(E481+E482)/2</f>
        <v>39.484999999999999</v>
      </c>
      <c r="W482" s="51">
        <f t="shared" si="2453"/>
        <v>24.745000000000001</v>
      </c>
      <c r="X482" s="51">
        <f t="shared" ref="X482:AB482" si="2454">(SUM(B479:B482))/4</f>
        <v>85.712500000000006</v>
      </c>
      <c r="Y482" s="51">
        <f t="shared" si="2454"/>
        <v>74.575000000000003</v>
      </c>
      <c r="Z482" s="51">
        <f t="shared" si="2454"/>
        <v>65.570000000000007</v>
      </c>
      <c r="AA482" s="51">
        <f t="shared" si="2454"/>
        <v>39.222499999999997</v>
      </c>
      <c r="AB482" s="51">
        <f t="shared" si="2454"/>
        <v>24.825000000000003</v>
      </c>
      <c r="AC482" s="51">
        <f t="shared" ref="AC482:AF482" si="2455">(B482+C482)/2</f>
        <v>78.204999999999998</v>
      </c>
      <c r="AD482" s="51">
        <f t="shared" si="2455"/>
        <v>67.83</v>
      </c>
      <c r="AE482" s="51">
        <f t="shared" si="2455"/>
        <v>51.5</v>
      </c>
      <c r="AF482" s="51">
        <f t="shared" si="2455"/>
        <v>31.965</v>
      </c>
      <c r="AG482" s="57"/>
      <c r="AH482" s="57"/>
      <c r="AI482" s="57"/>
      <c r="AJ482" s="57"/>
      <c r="AK482" s="51">
        <f t="shared" si="2093"/>
        <v>26.765000000000001</v>
      </c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8"/>
      <c r="BK482" s="8"/>
      <c r="BL482" s="8"/>
      <c r="BM482" s="8"/>
    </row>
    <row r="483" spans="1:65" ht="30" hidden="1" customHeight="1" x14ac:dyDescent="0.45">
      <c r="A483" s="55">
        <f t="shared" si="2449"/>
        <v>44260</v>
      </c>
      <c r="B483" s="56">
        <v>84.66</v>
      </c>
      <c r="C483" s="56">
        <v>70.83</v>
      </c>
      <c r="D483" s="56">
        <v>61.77</v>
      </c>
      <c r="E483" s="56">
        <v>38.67</v>
      </c>
      <c r="F483" s="56">
        <v>24.09</v>
      </c>
      <c r="G483" s="56">
        <v>90.84</v>
      </c>
      <c r="H483" s="51">
        <f t="shared" ref="H483:M483" si="2456">B483-B482</f>
        <v>0.31000000000000227</v>
      </c>
      <c r="I483" s="51">
        <f t="shared" si="2456"/>
        <v>-1.230000000000004</v>
      </c>
      <c r="J483" s="51">
        <f t="shared" si="2456"/>
        <v>-1.8299999999999983</v>
      </c>
      <c r="K483" s="51">
        <f t="shared" si="2456"/>
        <v>-0.72999999999999687</v>
      </c>
      <c r="L483" s="51">
        <f t="shared" si="2456"/>
        <v>-0.44000000000000128</v>
      </c>
      <c r="M483" s="42">
        <f t="shared" si="2456"/>
        <v>8.6800000000000068</v>
      </c>
      <c r="N483" s="51">
        <f t="shared" ref="N483:R483" si="2457">AVERAGE(B483:B486)</f>
        <v>85.75</v>
      </c>
      <c r="O483" s="51">
        <f t="shared" si="2457"/>
        <v>70.432500000000005</v>
      </c>
      <c r="P483" s="51">
        <f t="shared" si="2457"/>
        <v>60.71</v>
      </c>
      <c r="Q483" s="51">
        <f t="shared" si="2457"/>
        <v>38.032499999999999</v>
      </c>
      <c r="R483" s="51">
        <f t="shared" si="2457"/>
        <v>23.647500000000001</v>
      </c>
      <c r="S483" s="51">
        <f t="shared" ref="S483:T483" si="2458">(B482+B483)/2</f>
        <v>84.504999999999995</v>
      </c>
      <c r="T483" s="51">
        <f t="shared" si="2458"/>
        <v>71.444999999999993</v>
      </c>
      <c r="U483" s="51">
        <f t="shared" si="1283"/>
        <v>62.685000000000002</v>
      </c>
      <c r="V483" s="51">
        <f t="shared" ref="V483:W483" si="2459">(E482+E483)/2</f>
        <v>39.034999999999997</v>
      </c>
      <c r="W483" s="51">
        <f t="shared" si="2459"/>
        <v>24.310000000000002</v>
      </c>
      <c r="X483" s="51">
        <f t="shared" ref="X483:AB483" si="2460">(SUM(B480:B483))/4</f>
        <v>85.322499999999991</v>
      </c>
      <c r="Y483" s="51">
        <f t="shared" si="2460"/>
        <v>72.795000000000002</v>
      </c>
      <c r="Z483" s="51">
        <f t="shared" si="2460"/>
        <v>64.127499999999998</v>
      </c>
      <c r="AA483" s="51">
        <f t="shared" si="2460"/>
        <v>39.012500000000003</v>
      </c>
      <c r="AB483" s="51">
        <f t="shared" si="2460"/>
        <v>24.545000000000002</v>
      </c>
      <c r="AC483" s="51">
        <f t="shared" ref="AC483:AF483" si="2461">(B483+C483)/2</f>
        <v>77.745000000000005</v>
      </c>
      <c r="AD483" s="51">
        <f t="shared" si="2461"/>
        <v>66.3</v>
      </c>
      <c r="AE483" s="51">
        <f t="shared" si="2461"/>
        <v>50.22</v>
      </c>
      <c r="AF483" s="51">
        <f t="shared" si="2461"/>
        <v>31.380000000000003</v>
      </c>
      <c r="AG483" s="57"/>
      <c r="AH483" s="57"/>
      <c r="AI483" s="57"/>
      <c r="AJ483" s="57"/>
      <c r="AK483" s="51">
        <f t="shared" si="2093"/>
        <v>26.322499999999998</v>
      </c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8"/>
      <c r="BK483" s="8"/>
      <c r="BL483" s="8"/>
      <c r="BM483" s="8"/>
    </row>
    <row r="484" spans="1:65" ht="30" hidden="1" customHeight="1" x14ac:dyDescent="0.45">
      <c r="A484" s="55">
        <f t="shared" si="2449"/>
        <v>44267</v>
      </c>
      <c r="B484" s="56">
        <v>84.79</v>
      </c>
      <c r="C484" s="56">
        <v>70.239999999999995</v>
      </c>
      <c r="D484" s="56">
        <v>59.88</v>
      </c>
      <c r="E484" s="56">
        <v>37.450000000000003</v>
      </c>
      <c r="F484" s="56">
        <v>23.77</v>
      </c>
      <c r="G484" s="56">
        <v>90.3</v>
      </c>
      <c r="H484" s="51">
        <f t="shared" ref="H484:M484" si="2462">B484-B483</f>
        <v>0.13000000000000966</v>
      </c>
      <c r="I484" s="51">
        <f t="shared" si="2462"/>
        <v>-0.59000000000000341</v>
      </c>
      <c r="J484" s="51">
        <f t="shared" si="2462"/>
        <v>-1.8900000000000006</v>
      </c>
      <c r="K484" s="51">
        <f t="shared" si="2462"/>
        <v>-1.2199999999999989</v>
      </c>
      <c r="L484" s="51">
        <f t="shared" si="2462"/>
        <v>-0.32000000000000028</v>
      </c>
      <c r="M484" s="42">
        <f t="shared" si="2462"/>
        <v>-0.54000000000000625</v>
      </c>
      <c r="N484" s="51">
        <f t="shared" ref="N484:R484" si="2463">N483</f>
        <v>85.75</v>
      </c>
      <c r="O484" s="51">
        <f t="shared" si="2463"/>
        <v>70.432500000000005</v>
      </c>
      <c r="P484" s="51">
        <f t="shared" si="2463"/>
        <v>60.71</v>
      </c>
      <c r="Q484" s="51">
        <f t="shared" si="2463"/>
        <v>38.032499999999999</v>
      </c>
      <c r="R484" s="51">
        <f t="shared" si="2463"/>
        <v>23.647500000000001</v>
      </c>
      <c r="S484" s="51">
        <f t="shared" ref="S484:T484" si="2464">(B483+B484)/2</f>
        <v>84.724999999999994</v>
      </c>
      <c r="T484" s="51">
        <f t="shared" si="2464"/>
        <v>70.534999999999997</v>
      </c>
      <c r="U484" s="51">
        <f t="shared" si="1283"/>
        <v>60.825000000000003</v>
      </c>
      <c r="V484" s="51">
        <f t="shared" ref="V484:W484" si="2465">(E483+E484)/2</f>
        <v>38.06</v>
      </c>
      <c r="W484" s="51">
        <f t="shared" si="2465"/>
        <v>23.93</v>
      </c>
      <c r="X484" s="51">
        <f t="shared" ref="X484:AB484" si="2466">(SUM(B481:B484))/4</f>
        <v>84.92</v>
      </c>
      <c r="Y484" s="51">
        <f t="shared" si="2466"/>
        <v>71.814999999999998</v>
      </c>
      <c r="Z484" s="51">
        <f t="shared" si="2466"/>
        <v>62.707500000000003</v>
      </c>
      <c r="AA484" s="51">
        <f t="shared" si="2466"/>
        <v>38.772500000000001</v>
      </c>
      <c r="AB484" s="51">
        <f t="shared" si="2466"/>
        <v>24.337499999999999</v>
      </c>
      <c r="AC484" s="51">
        <f t="shared" ref="AC484:AF484" si="2467">(B484+C484)/2</f>
        <v>77.515000000000001</v>
      </c>
      <c r="AD484" s="51">
        <f t="shared" si="2467"/>
        <v>65.06</v>
      </c>
      <c r="AE484" s="51">
        <f t="shared" si="2467"/>
        <v>48.665000000000006</v>
      </c>
      <c r="AF484" s="51">
        <f t="shared" si="2467"/>
        <v>30.61</v>
      </c>
      <c r="AG484" s="57"/>
      <c r="AH484" s="57"/>
      <c r="AI484" s="57"/>
      <c r="AJ484" s="57"/>
      <c r="AK484" s="51">
        <f t="shared" si="2093"/>
        <v>25.645000000000003</v>
      </c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8"/>
      <c r="BK484" s="8"/>
      <c r="BL484" s="8"/>
      <c r="BM484" s="8"/>
    </row>
    <row r="485" spans="1:65" ht="30" hidden="1" customHeight="1" x14ac:dyDescent="0.45">
      <c r="A485" s="55">
        <f t="shared" si="2449"/>
        <v>44274</v>
      </c>
      <c r="B485" s="56">
        <v>85.53</v>
      </c>
      <c r="C485" s="56">
        <v>69.34</v>
      </c>
      <c r="D485" s="56">
        <v>59.34</v>
      </c>
      <c r="E485" s="56">
        <v>36.81</v>
      </c>
      <c r="F485" s="56">
        <v>23.32</v>
      </c>
      <c r="G485" s="56">
        <v>92.54</v>
      </c>
      <c r="H485" s="51">
        <f t="shared" ref="H485:M485" si="2468">B485-B484</f>
        <v>0.73999999999999488</v>
      </c>
      <c r="I485" s="51">
        <f t="shared" si="2468"/>
        <v>-0.89999999999999147</v>
      </c>
      <c r="J485" s="51">
        <f t="shared" si="2468"/>
        <v>-0.53999999999999915</v>
      </c>
      <c r="K485" s="51">
        <f t="shared" si="2468"/>
        <v>-0.64000000000000057</v>
      </c>
      <c r="L485" s="51">
        <f t="shared" si="2468"/>
        <v>-0.44999999999999929</v>
      </c>
      <c r="M485" s="42">
        <f t="shared" si="2468"/>
        <v>2.2400000000000091</v>
      </c>
      <c r="N485" s="51">
        <f t="shared" ref="N485:R485" si="2469">N484</f>
        <v>85.75</v>
      </c>
      <c r="O485" s="51">
        <f t="shared" si="2469"/>
        <v>70.432500000000005</v>
      </c>
      <c r="P485" s="51">
        <f t="shared" si="2469"/>
        <v>60.71</v>
      </c>
      <c r="Q485" s="51">
        <f t="shared" si="2469"/>
        <v>38.032499999999999</v>
      </c>
      <c r="R485" s="51">
        <f t="shared" si="2469"/>
        <v>23.647500000000001</v>
      </c>
      <c r="S485" s="51">
        <f t="shared" ref="S485:T485" si="2470">(B484+B485)/2</f>
        <v>85.16</v>
      </c>
      <c r="T485" s="51">
        <f t="shared" si="2470"/>
        <v>69.789999999999992</v>
      </c>
      <c r="U485" s="51">
        <f t="shared" si="1283"/>
        <v>59.61</v>
      </c>
      <c r="V485" s="51">
        <f t="shared" ref="V485:W485" si="2471">(E484+E485)/2</f>
        <v>37.130000000000003</v>
      </c>
      <c r="W485" s="51">
        <f t="shared" si="2471"/>
        <v>23.545000000000002</v>
      </c>
      <c r="X485" s="51">
        <f t="shared" ref="X485:AB485" si="2472">(SUM(B482:B485))/4</f>
        <v>84.83250000000001</v>
      </c>
      <c r="Y485" s="51">
        <f t="shared" si="2472"/>
        <v>70.617500000000007</v>
      </c>
      <c r="Z485" s="51">
        <f t="shared" si="2472"/>
        <v>61.147500000000001</v>
      </c>
      <c r="AA485" s="51">
        <f t="shared" si="2472"/>
        <v>38.082499999999996</v>
      </c>
      <c r="AB485" s="51">
        <f t="shared" si="2472"/>
        <v>23.927500000000002</v>
      </c>
      <c r="AC485" s="51">
        <f t="shared" ref="AC485:AF485" si="2473">(B485+C485)/2</f>
        <v>77.435000000000002</v>
      </c>
      <c r="AD485" s="51">
        <f t="shared" si="2473"/>
        <v>64.34</v>
      </c>
      <c r="AE485" s="51">
        <f t="shared" si="2473"/>
        <v>48.075000000000003</v>
      </c>
      <c r="AF485" s="51">
        <f t="shared" si="2473"/>
        <v>30.065000000000001</v>
      </c>
      <c r="AG485" s="57"/>
      <c r="AH485" s="57"/>
      <c r="AI485" s="57"/>
      <c r="AJ485" s="57"/>
      <c r="AK485" s="51">
        <f t="shared" si="2093"/>
        <v>24.987500000000004</v>
      </c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8"/>
      <c r="BK485" s="8"/>
      <c r="BL485" s="8"/>
      <c r="BM485" s="8"/>
    </row>
    <row r="486" spans="1:65" ht="30" hidden="1" customHeight="1" x14ac:dyDescent="0.45">
      <c r="A486" s="55">
        <f t="shared" si="2449"/>
        <v>44281</v>
      </c>
      <c r="B486" s="56">
        <v>88.02</v>
      </c>
      <c r="C486" s="56">
        <v>71.319999999999993</v>
      </c>
      <c r="D486" s="56">
        <v>61.85</v>
      </c>
      <c r="E486" s="56">
        <v>39.200000000000003</v>
      </c>
      <c r="F486" s="56">
        <v>23.41</v>
      </c>
      <c r="G486" s="56">
        <v>103.95</v>
      </c>
      <c r="H486" s="51">
        <f t="shared" ref="H486:M486" si="2474">B486-B485</f>
        <v>2.4899999999999949</v>
      </c>
      <c r="I486" s="51">
        <f t="shared" si="2474"/>
        <v>1.9799999999999898</v>
      </c>
      <c r="J486" s="51">
        <f t="shared" si="2474"/>
        <v>2.509999999999998</v>
      </c>
      <c r="K486" s="51">
        <f t="shared" si="2474"/>
        <v>2.3900000000000006</v>
      </c>
      <c r="L486" s="51">
        <f t="shared" si="2474"/>
        <v>8.9999999999999858E-2</v>
      </c>
      <c r="M486" s="42">
        <f t="shared" si="2474"/>
        <v>11.409999999999997</v>
      </c>
      <c r="N486" s="51">
        <f t="shared" ref="N486:R486" si="2475">N485</f>
        <v>85.75</v>
      </c>
      <c r="O486" s="51">
        <f t="shared" si="2475"/>
        <v>70.432500000000005</v>
      </c>
      <c r="P486" s="51">
        <f t="shared" si="2475"/>
        <v>60.71</v>
      </c>
      <c r="Q486" s="51">
        <f t="shared" si="2475"/>
        <v>38.032499999999999</v>
      </c>
      <c r="R486" s="51">
        <f t="shared" si="2475"/>
        <v>23.647500000000001</v>
      </c>
      <c r="S486" s="51">
        <f t="shared" ref="S486:T486" si="2476">(B485+B486)/2</f>
        <v>86.775000000000006</v>
      </c>
      <c r="T486" s="51">
        <f t="shared" si="2476"/>
        <v>70.33</v>
      </c>
      <c r="U486" s="51">
        <f t="shared" si="1283"/>
        <v>60.594999999999999</v>
      </c>
      <c r="V486" s="51">
        <f t="shared" ref="V486:W486" si="2477">(E485+E486)/2</f>
        <v>38.005000000000003</v>
      </c>
      <c r="W486" s="51">
        <f t="shared" si="2477"/>
        <v>23.365000000000002</v>
      </c>
      <c r="X486" s="51">
        <f t="shared" ref="X486:AB486" si="2478">(SUM(B483:B486))/4</f>
        <v>85.75</v>
      </c>
      <c r="Y486" s="51">
        <f t="shared" si="2478"/>
        <v>70.432500000000005</v>
      </c>
      <c r="Z486" s="51">
        <f t="shared" si="2478"/>
        <v>60.71</v>
      </c>
      <c r="AA486" s="51">
        <f t="shared" si="2478"/>
        <v>38.032499999999999</v>
      </c>
      <c r="AB486" s="51">
        <f t="shared" si="2478"/>
        <v>23.647500000000001</v>
      </c>
      <c r="AC486" s="51">
        <f t="shared" ref="AC486:AF486" si="2479">(B486+C486)/2</f>
        <v>79.669999999999987</v>
      </c>
      <c r="AD486" s="51">
        <f t="shared" si="2479"/>
        <v>66.584999999999994</v>
      </c>
      <c r="AE486" s="51">
        <f t="shared" si="2479"/>
        <v>50.525000000000006</v>
      </c>
      <c r="AF486" s="51">
        <f t="shared" si="2479"/>
        <v>31.305</v>
      </c>
      <c r="AG486" s="57"/>
      <c r="AH486" s="57"/>
      <c r="AI486" s="57"/>
      <c r="AJ486" s="57"/>
      <c r="AK486" s="51">
        <f t="shared" si="2093"/>
        <v>25.335000000000001</v>
      </c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8"/>
      <c r="BK486" s="8"/>
      <c r="BL486" s="8"/>
      <c r="BM486" s="8"/>
    </row>
    <row r="487" spans="1:65" ht="30" hidden="1" customHeight="1" x14ac:dyDescent="0.45">
      <c r="A487" s="55">
        <v>44287</v>
      </c>
      <c r="B487" s="56">
        <v>90.12</v>
      </c>
      <c r="C487" s="56">
        <v>75.05</v>
      </c>
      <c r="D487" s="56">
        <v>66.3</v>
      </c>
      <c r="E487" s="56">
        <v>43.9</v>
      </c>
      <c r="F487" s="56">
        <v>24.71</v>
      </c>
      <c r="G487" s="56">
        <v>99.38</v>
      </c>
      <c r="H487" s="51">
        <f t="shared" ref="H487:M487" si="2480">B487-B486</f>
        <v>2.1000000000000085</v>
      </c>
      <c r="I487" s="51">
        <f t="shared" si="2480"/>
        <v>3.730000000000004</v>
      </c>
      <c r="J487" s="51">
        <f t="shared" si="2480"/>
        <v>4.4499999999999957</v>
      </c>
      <c r="K487" s="51">
        <f t="shared" si="2480"/>
        <v>4.6999999999999957</v>
      </c>
      <c r="L487" s="51">
        <f t="shared" si="2480"/>
        <v>1.3000000000000007</v>
      </c>
      <c r="M487" s="42">
        <f t="shared" si="2480"/>
        <v>-4.5700000000000074</v>
      </c>
      <c r="N487" s="51">
        <f t="shared" ref="N487:R487" si="2481">AVERAGE(B487:B491)</f>
        <v>90.256</v>
      </c>
      <c r="O487" s="51">
        <f t="shared" si="2481"/>
        <v>78.707999999999998</v>
      </c>
      <c r="P487" s="51">
        <f t="shared" si="2481"/>
        <v>70.186000000000007</v>
      </c>
      <c r="Q487" s="51">
        <f t="shared" si="2481"/>
        <v>47.917999999999999</v>
      </c>
      <c r="R487" s="51">
        <f t="shared" si="2481"/>
        <v>25.919999999999998</v>
      </c>
      <c r="S487" s="51">
        <f t="shared" ref="S487:T487" si="2482">(B486+B487)/2</f>
        <v>89.07</v>
      </c>
      <c r="T487" s="51">
        <f t="shared" si="2482"/>
        <v>73.185000000000002</v>
      </c>
      <c r="U487" s="51">
        <f t="shared" si="1283"/>
        <v>64.075000000000003</v>
      </c>
      <c r="V487" s="51">
        <f t="shared" ref="V487:W487" si="2483">(E486+E487)/2</f>
        <v>41.55</v>
      </c>
      <c r="W487" s="51">
        <f t="shared" si="2483"/>
        <v>24.060000000000002</v>
      </c>
      <c r="X487" s="51">
        <f t="shared" ref="X487:AB487" si="2484">(SUM(B484:B487))/4</f>
        <v>87.114999999999995</v>
      </c>
      <c r="Y487" s="51">
        <f t="shared" si="2484"/>
        <v>71.487499999999997</v>
      </c>
      <c r="Z487" s="51">
        <f t="shared" si="2484"/>
        <v>61.842500000000001</v>
      </c>
      <c r="AA487" s="51">
        <f t="shared" si="2484"/>
        <v>39.340000000000003</v>
      </c>
      <c r="AB487" s="51">
        <f t="shared" si="2484"/>
        <v>23.802500000000002</v>
      </c>
      <c r="AC487" s="51">
        <f t="shared" ref="AC487:AF487" si="2485">(B487+C487)/2</f>
        <v>82.585000000000008</v>
      </c>
      <c r="AD487" s="51">
        <f t="shared" si="2485"/>
        <v>70.674999999999997</v>
      </c>
      <c r="AE487" s="51">
        <f t="shared" si="2485"/>
        <v>55.099999999999994</v>
      </c>
      <c r="AF487" s="51">
        <f t="shared" si="2485"/>
        <v>34.305</v>
      </c>
      <c r="AG487" s="57"/>
      <c r="AH487" s="57"/>
      <c r="AI487" s="57"/>
      <c r="AJ487" s="57"/>
      <c r="AK487" s="51">
        <f t="shared" si="2093"/>
        <v>27.454999999999998</v>
      </c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8"/>
      <c r="BK487" s="8"/>
      <c r="BL487" s="8"/>
      <c r="BM487" s="8"/>
    </row>
    <row r="488" spans="1:65" ht="30" hidden="1" customHeight="1" x14ac:dyDescent="0.45">
      <c r="A488" s="55">
        <v>44295</v>
      </c>
      <c r="B488" s="56">
        <v>89.75</v>
      </c>
      <c r="C488" s="56">
        <v>76.38</v>
      </c>
      <c r="D488" s="56">
        <v>67.63</v>
      </c>
      <c r="E488" s="56">
        <v>45.44</v>
      </c>
      <c r="F488" s="56">
        <v>25.58</v>
      </c>
      <c r="G488" s="56">
        <v>92.7</v>
      </c>
      <c r="H488" s="51">
        <f t="shared" ref="H488:M488" si="2486">B488-B487</f>
        <v>-0.37000000000000455</v>
      </c>
      <c r="I488" s="51">
        <f t="shared" si="2486"/>
        <v>1.3299999999999983</v>
      </c>
      <c r="J488" s="51">
        <f t="shared" si="2486"/>
        <v>1.3299999999999983</v>
      </c>
      <c r="K488" s="51">
        <f t="shared" si="2486"/>
        <v>1.5399999999999991</v>
      </c>
      <c r="L488" s="51">
        <f t="shared" si="2486"/>
        <v>0.86999999999999744</v>
      </c>
      <c r="M488" s="42">
        <f t="shared" si="2486"/>
        <v>-6.6799999999999926</v>
      </c>
      <c r="N488" s="51">
        <f t="shared" ref="N488:R488" si="2487">N487</f>
        <v>90.256</v>
      </c>
      <c r="O488" s="51">
        <f t="shared" si="2487"/>
        <v>78.707999999999998</v>
      </c>
      <c r="P488" s="51">
        <f t="shared" si="2487"/>
        <v>70.186000000000007</v>
      </c>
      <c r="Q488" s="51">
        <f t="shared" si="2487"/>
        <v>47.917999999999999</v>
      </c>
      <c r="R488" s="51">
        <f t="shared" si="2487"/>
        <v>25.919999999999998</v>
      </c>
      <c r="S488" s="51">
        <f t="shared" ref="S488:T488" si="2488">(B487+B488)/2</f>
        <v>89.935000000000002</v>
      </c>
      <c r="T488" s="51">
        <f t="shared" si="2488"/>
        <v>75.715000000000003</v>
      </c>
      <c r="U488" s="51">
        <f t="shared" si="1283"/>
        <v>66.965000000000003</v>
      </c>
      <c r="V488" s="51">
        <f t="shared" ref="V488:W488" si="2489">(E487+E488)/2</f>
        <v>44.67</v>
      </c>
      <c r="W488" s="51">
        <f t="shared" si="2489"/>
        <v>25.145</v>
      </c>
      <c r="X488" s="51">
        <f t="shared" ref="X488:AB488" si="2490">(SUM(B485:B488))/4</f>
        <v>88.355000000000004</v>
      </c>
      <c r="Y488" s="51">
        <f t="shared" si="2490"/>
        <v>73.022499999999994</v>
      </c>
      <c r="Z488" s="51">
        <f t="shared" si="2490"/>
        <v>63.78</v>
      </c>
      <c r="AA488" s="51">
        <f t="shared" si="2490"/>
        <v>41.337499999999999</v>
      </c>
      <c r="AB488" s="51">
        <f t="shared" si="2490"/>
        <v>24.254999999999999</v>
      </c>
      <c r="AC488" s="51">
        <f t="shared" ref="AC488:AF488" si="2491">(B488+C488)/2</f>
        <v>83.064999999999998</v>
      </c>
      <c r="AD488" s="51">
        <f t="shared" si="2491"/>
        <v>72.004999999999995</v>
      </c>
      <c r="AE488" s="51">
        <f t="shared" si="2491"/>
        <v>56.534999999999997</v>
      </c>
      <c r="AF488" s="51">
        <f t="shared" si="2491"/>
        <v>35.51</v>
      </c>
      <c r="AG488" s="57"/>
      <c r="AH488" s="57"/>
      <c r="AI488" s="57"/>
      <c r="AJ488" s="57"/>
      <c r="AK488" s="51">
        <f t="shared" si="2093"/>
        <v>29.557499999999997</v>
      </c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8"/>
      <c r="BK488" s="8"/>
      <c r="BL488" s="8"/>
      <c r="BM488" s="8"/>
    </row>
    <row r="489" spans="1:65" ht="30" hidden="1" customHeight="1" x14ac:dyDescent="0.45">
      <c r="A489" s="55">
        <f t="shared" ref="A489:A503" si="2492">A488+7</f>
        <v>44302</v>
      </c>
      <c r="B489" s="56">
        <v>89.83</v>
      </c>
      <c r="C489" s="56">
        <v>77.66</v>
      </c>
      <c r="D489" s="56">
        <v>69.959999999999994</v>
      </c>
      <c r="E489" s="56">
        <v>47.71</v>
      </c>
      <c r="F489" s="56">
        <v>25.7</v>
      </c>
      <c r="G489" s="56">
        <v>91.75</v>
      </c>
      <c r="H489" s="51">
        <f t="shared" ref="H489:M489" si="2493">B489-B488</f>
        <v>7.9999999999998295E-2</v>
      </c>
      <c r="I489" s="51">
        <f t="shared" si="2493"/>
        <v>1.2800000000000011</v>
      </c>
      <c r="J489" s="51">
        <f t="shared" si="2493"/>
        <v>2.3299999999999983</v>
      </c>
      <c r="K489" s="51">
        <f t="shared" si="2493"/>
        <v>2.2700000000000031</v>
      </c>
      <c r="L489" s="51">
        <f t="shared" si="2493"/>
        <v>0.12000000000000099</v>
      </c>
      <c r="M489" s="42">
        <f t="shared" si="2493"/>
        <v>-0.95000000000000284</v>
      </c>
      <c r="N489" s="51">
        <f t="shared" ref="N489:R489" si="2494">N488</f>
        <v>90.256</v>
      </c>
      <c r="O489" s="51">
        <f t="shared" si="2494"/>
        <v>78.707999999999998</v>
      </c>
      <c r="P489" s="51">
        <f t="shared" si="2494"/>
        <v>70.186000000000007</v>
      </c>
      <c r="Q489" s="51">
        <f t="shared" si="2494"/>
        <v>47.917999999999999</v>
      </c>
      <c r="R489" s="51">
        <f t="shared" si="2494"/>
        <v>25.919999999999998</v>
      </c>
      <c r="S489" s="51">
        <f t="shared" ref="S489:T489" si="2495">(B488+B489)/2</f>
        <v>89.789999999999992</v>
      </c>
      <c r="T489" s="51">
        <f t="shared" si="2495"/>
        <v>77.02</v>
      </c>
      <c r="U489" s="51">
        <f t="shared" si="1283"/>
        <v>68.794999999999987</v>
      </c>
      <c r="V489" s="51">
        <f t="shared" ref="V489:W489" si="2496">(E488+E489)/2</f>
        <v>46.575000000000003</v>
      </c>
      <c r="W489" s="51">
        <f t="shared" si="2496"/>
        <v>25.64</v>
      </c>
      <c r="X489" s="51">
        <f t="shared" ref="X489:AB489" si="2497">(SUM(B486:B489))/4</f>
        <v>89.429999999999993</v>
      </c>
      <c r="Y489" s="51">
        <f t="shared" si="2497"/>
        <v>75.102499999999992</v>
      </c>
      <c r="Z489" s="51">
        <f t="shared" si="2497"/>
        <v>66.435000000000002</v>
      </c>
      <c r="AA489" s="51">
        <f t="shared" si="2497"/>
        <v>44.0625</v>
      </c>
      <c r="AB489" s="51">
        <f t="shared" si="2497"/>
        <v>24.85</v>
      </c>
      <c r="AC489" s="51">
        <f t="shared" ref="AC489:AF489" si="2498">(B489+C489)/2</f>
        <v>83.745000000000005</v>
      </c>
      <c r="AD489" s="51">
        <f t="shared" si="2498"/>
        <v>73.81</v>
      </c>
      <c r="AE489" s="51">
        <f t="shared" si="2498"/>
        <v>58.834999999999994</v>
      </c>
      <c r="AF489" s="51">
        <f t="shared" si="2498"/>
        <v>36.704999999999998</v>
      </c>
      <c r="AG489" s="57"/>
      <c r="AH489" s="57"/>
      <c r="AI489" s="57"/>
      <c r="AJ489" s="57"/>
      <c r="AK489" s="51">
        <f t="shared" si="2093"/>
        <v>30.7575</v>
      </c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8"/>
      <c r="BK489" s="8"/>
      <c r="BL489" s="8"/>
      <c r="BM489" s="8"/>
    </row>
    <row r="490" spans="1:65" ht="30" hidden="1" customHeight="1" x14ac:dyDescent="0.45">
      <c r="A490" s="55">
        <f t="shared" si="2492"/>
        <v>44309</v>
      </c>
      <c r="B490" s="56">
        <v>90.58</v>
      </c>
      <c r="C490" s="56">
        <v>81.2</v>
      </c>
      <c r="D490" s="56">
        <v>72.930000000000007</v>
      </c>
      <c r="E490" s="56">
        <v>50.35</v>
      </c>
      <c r="F490" s="56">
        <v>26.58</v>
      </c>
      <c r="G490" s="56">
        <v>90.89</v>
      </c>
      <c r="H490" s="51">
        <f t="shared" ref="H490:M490" si="2499">B490-B489</f>
        <v>0.75</v>
      </c>
      <c r="I490" s="51">
        <f t="shared" si="2499"/>
        <v>3.5400000000000063</v>
      </c>
      <c r="J490" s="51">
        <f t="shared" si="2499"/>
        <v>2.9700000000000131</v>
      </c>
      <c r="K490" s="51">
        <f t="shared" si="2499"/>
        <v>2.6400000000000006</v>
      </c>
      <c r="L490" s="51">
        <f t="shared" si="2499"/>
        <v>0.87999999999999901</v>
      </c>
      <c r="M490" s="42">
        <f t="shared" si="2499"/>
        <v>-0.85999999999999943</v>
      </c>
      <c r="N490" s="51">
        <f t="shared" ref="N490:R490" si="2500">N489</f>
        <v>90.256</v>
      </c>
      <c r="O490" s="51">
        <f t="shared" si="2500"/>
        <v>78.707999999999998</v>
      </c>
      <c r="P490" s="51">
        <f t="shared" si="2500"/>
        <v>70.186000000000007</v>
      </c>
      <c r="Q490" s="51">
        <f t="shared" si="2500"/>
        <v>47.917999999999999</v>
      </c>
      <c r="R490" s="51">
        <f t="shared" si="2500"/>
        <v>25.919999999999998</v>
      </c>
      <c r="S490" s="51">
        <f t="shared" ref="S490:T490" si="2501">(B489+B490)/2</f>
        <v>90.204999999999998</v>
      </c>
      <c r="T490" s="51">
        <f t="shared" si="2501"/>
        <v>79.430000000000007</v>
      </c>
      <c r="U490" s="51">
        <f t="shared" si="1283"/>
        <v>71.444999999999993</v>
      </c>
      <c r="V490" s="51">
        <f t="shared" ref="V490:W490" si="2502">(E489+E490)/2</f>
        <v>49.03</v>
      </c>
      <c r="W490" s="51">
        <f t="shared" si="2502"/>
        <v>26.14</v>
      </c>
      <c r="X490" s="51">
        <f t="shared" ref="X490:AB490" si="2503">(SUM(B487:B490))/4</f>
        <v>90.07</v>
      </c>
      <c r="Y490" s="51">
        <f t="shared" si="2503"/>
        <v>77.572500000000005</v>
      </c>
      <c r="Z490" s="51">
        <f t="shared" si="2503"/>
        <v>69.204999999999998</v>
      </c>
      <c r="AA490" s="51">
        <f t="shared" si="2503"/>
        <v>46.85</v>
      </c>
      <c r="AB490" s="51">
        <f t="shared" si="2503"/>
        <v>25.642499999999998</v>
      </c>
      <c r="AC490" s="51">
        <f t="shared" ref="AC490:AF490" si="2504">(B490+C490)/2</f>
        <v>85.89</v>
      </c>
      <c r="AD490" s="51">
        <f t="shared" si="2504"/>
        <v>77.064999999999998</v>
      </c>
      <c r="AE490" s="51">
        <f t="shared" si="2504"/>
        <v>61.64</v>
      </c>
      <c r="AF490" s="51">
        <f t="shared" si="2504"/>
        <v>38.465000000000003</v>
      </c>
      <c r="AG490" s="57"/>
      <c r="AH490" s="57"/>
      <c r="AI490" s="57"/>
      <c r="AJ490" s="57"/>
      <c r="AK490" s="51">
        <f t="shared" si="2093"/>
        <v>32.234999999999999</v>
      </c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8"/>
      <c r="BK490" s="8"/>
      <c r="BL490" s="8"/>
      <c r="BM490" s="8"/>
    </row>
    <row r="491" spans="1:65" ht="30" hidden="1" customHeight="1" x14ac:dyDescent="0.45">
      <c r="A491" s="55">
        <f t="shared" si="2492"/>
        <v>44316</v>
      </c>
      <c r="B491" s="56">
        <v>91</v>
      </c>
      <c r="C491" s="56">
        <v>83.25</v>
      </c>
      <c r="D491" s="56">
        <v>74.11</v>
      </c>
      <c r="E491" s="56">
        <v>52.19</v>
      </c>
      <c r="F491" s="56">
        <v>27.03</v>
      </c>
      <c r="G491" s="56">
        <v>91.71</v>
      </c>
      <c r="H491" s="51">
        <f t="shared" ref="H491:M491" si="2505">B491-B490</f>
        <v>0.42000000000000171</v>
      </c>
      <c r="I491" s="51">
        <f t="shared" si="2505"/>
        <v>2.0499999999999972</v>
      </c>
      <c r="J491" s="51">
        <f t="shared" si="2505"/>
        <v>1.1799999999999926</v>
      </c>
      <c r="K491" s="51">
        <f t="shared" si="2505"/>
        <v>1.8399999999999963</v>
      </c>
      <c r="L491" s="51">
        <f t="shared" si="2505"/>
        <v>0.45000000000000284</v>
      </c>
      <c r="M491" s="42">
        <f t="shared" si="2505"/>
        <v>0.81999999999999318</v>
      </c>
      <c r="N491" s="51">
        <f t="shared" ref="N491:R491" si="2506">N490</f>
        <v>90.256</v>
      </c>
      <c r="O491" s="51">
        <f t="shared" si="2506"/>
        <v>78.707999999999998</v>
      </c>
      <c r="P491" s="51">
        <f t="shared" si="2506"/>
        <v>70.186000000000007</v>
      </c>
      <c r="Q491" s="51">
        <f t="shared" si="2506"/>
        <v>47.917999999999999</v>
      </c>
      <c r="R491" s="51">
        <f t="shared" si="2506"/>
        <v>25.919999999999998</v>
      </c>
      <c r="S491" s="51">
        <f t="shared" ref="S491:T491" si="2507">(B490+B491)/2</f>
        <v>90.789999999999992</v>
      </c>
      <c r="T491" s="51">
        <f t="shared" si="2507"/>
        <v>82.224999999999994</v>
      </c>
      <c r="U491" s="51">
        <f t="shared" si="1283"/>
        <v>73.52000000000001</v>
      </c>
      <c r="V491" s="51">
        <f t="shared" ref="V491:W491" si="2508">(E490+E491)/2</f>
        <v>51.269999999999996</v>
      </c>
      <c r="W491" s="51">
        <f t="shared" si="2508"/>
        <v>26.805</v>
      </c>
      <c r="X491" s="51">
        <f t="shared" ref="X491:AB491" si="2509">(SUM(B488:B491))/4</f>
        <v>90.289999999999992</v>
      </c>
      <c r="Y491" s="51">
        <f t="shared" si="2509"/>
        <v>79.622500000000002</v>
      </c>
      <c r="Z491" s="51">
        <f t="shared" si="2509"/>
        <v>71.157499999999999</v>
      </c>
      <c r="AA491" s="51">
        <f t="shared" si="2509"/>
        <v>48.922499999999999</v>
      </c>
      <c r="AB491" s="51">
        <f t="shared" si="2509"/>
        <v>26.2225</v>
      </c>
      <c r="AC491" s="51">
        <f t="shared" ref="AC491:AF491" si="2510">(B491+C491)/2</f>
        <v>87.125</v>
      </c>
      <c r="AD491" s="51">
        <f t="shared" si="2510"/>
        <v>78.680000000000007</v>
      </c>
      <c r="AE491" s="51">
        <f t="shared" si="2510"/>
        <v>63.15</v>
      </c>
      <c r="AF491" s="51">
        <f t="shared" si="2510"/>
        <v>39.61</v>
      </c>
      <c r="AG491" s="57"/>
      <c r="AH491" s="57"/>
      <c r="AI491" s="57"/>
      <c r="AJ491" s="57"/>
      <c r="AK491" s="51">
        <f t="shared" si="2093"/>
        <v>33.687499999999993</v>
      </c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8"/>
      <c r="BK491" s="8"/>
      <c r="BL491" s="8"/>
      <c r="BM491" s="8"/>
    </row>
    <row r="492" spans="1:65" ht="30" hidden="1" customHeight="1" x14ac:dyDescent="0.45">
      <c r="A492" s="55">
        <f t="shared" si="2492"/>
        <v>44323</v>
      </c>
      <c r="B492" s="56">
        <v>91.45</v>
      </c>
      <c r="C492" s="56">
        <v>84.34</v>
      </c>
      <c r="D492" s="56">
        <v>75.430000000000007</v>
      </c>
      <c r="E492" s="56">
        <v>53.64</v>
      </c>
      <c r="F492" s="56">
        <v>27.92</v>
      </c>
      <c r="G492" s="56">
        <v>95.28</v>
      </c>
      <c r="H492" s="51">
        <f t="shared" ref="H492:M492" si="2511">B492-B491</f>
        <v>0.45000000000000284</v>
      </c>
      <c r="I492" s="51">
        <f t="shared" si="2511"/>
        <v>1.0900000000000034</v>
      </c>
      <c r="J492" s="51">
        <f t="shared" si="2511"/>
        <v>1.3200000000000074</v>
      </c>
      <c r="K492" s="51">
        <f t="shared" si="2511"/>
        <v>1.4500000000000028</v>
      </c>
      <c r="L492" s="51">
        <f t="shared" si="2511"/>
        <v>0.89000000000000057</v>
      </c>
      <c r="M492" s="42">
        <f t="shared" si="2511"/>
        <v>3.5700000000000074</v>
      </c>
      <c r="N492" s="51">
        <f t="shared" ref="N492:R492" si="2512">AVERAGE(B492:B495)</f>
        <v>95.114999999999995</v>
      </c>
      <c r="O492" s="51">
        <f t="shared" si="2512"/>
        <v>86.62</v>
      </c>
      <c r="P492" s="51">
        <f t="shared" si="2512"/>
        <v>77.942499999999995</v>
      </c>
      <c r="Q492" s="51">
        <f t="shared" si="2512"/>
        <v>54.72</v>
      </c>
      <c r="R492" s="51">
        <f t="shared" si="2512"/>
        <v>28.447499999999998</v>
      </c>
      <c r="S492" s="51">
        <f t="shared" ref="S492:T492" si="2513">(B491+B492)/2</f>
        <v>91.224999999999994</v>
      </c>
      <c r="T492" s="51">
        <f t="shared" si="2513"/>
        <v>83.795000000000002</v>
      </c>
      <c r="U492" s="51">
        <f t="shared" si="1283"/>
        <v>74.77000000000001</v>
      </c>
      <c r="V492" s="51">
        <f t="shared" ref="V492:W492" si="2514">(E491+E492)/2</f>
        <v>52.914999999999999</v>
      </c>
      <c r="W492" s="51">
        <f t="shared" si="2514"/>
        <v>27.475000000000001</v>
      </c>
      <c r="X492" s="51">
        <f t="shared" ref="X492:AB492" si="2515">(SUM(B489:B492))/4</f>
        <v>90.714999999999989</v>
      </c>
      <c r="Y492" s="51">
        <f t="shared" si="2515"/>
        <v>81.612500000000011</v>
      </c>
      <c r="Z492" s="51">
        <f t="shared" si="2515"/>
        <v>73.107500000000002</v>
      </c>
      <c r="AA492" s="51">
        <f t="shared" si="2515"/>
        <v>50.972499999999997</v>
      </c>
      <c r="AB492" s="51">
        <f t="shared" si="2515"/>
        <v>26.807500000000001</v>
      </c>
      <c r="AC492" s="51">
        <f t="shared" ref="AC492:AF492" si="2516">(B492+C492)/2</f>
        <v>87.89500000000001</v>
      </c>
      <c r="AD492" s="51">
        <f t="shared" si="2516"/>
        <v>79.885000000000005</v>
      </c>
      <c r="AE492" s="51">
        <f t="shared" si="2516"/>
        <v>64.534999999999997</v>
      </c>
      <c r="AF492" s="51">
        <f t="shared" si="2516"/>
        <v>40.78</v>
      </c>
      <c r="AG492" s="57"/>
      <c r="AH492" s="57"/>
      <c r="AI492" s="57"/>
      <c r="AJ492" s="57"/>
      <c r="AK492" s="51">
        <f t="shared" si="2093"/>
        <v>34.844999999999999</v>
      </c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8"/>
      <c r="BK492" s="8"/>
      <c r="BL492" s="8"/>
      <c r="BM492" s="8"/>
    </row>
    <row r="493" spans="1:65" ht="30" hidden="1" customHeight="1" x14ac:dyDescent="0.45">
      <c r="A493" s="55">
        <f t="shared" si="2492"/>
        <v>44330</v>
      </c>
      <c r="B493" s="56">
        <v>95.08</v>
      </c>
      <c r="C493" s="56">
        <v>85.95</v>
      </c>
      <c r="D493" s="56">
        <v>79.64</v>
      </c>
      <c r="E493" s="56">
        <v>55.98</v>
      </c>
      <c r="F493" s="56">
        <v>28.66</v>
      </c>
      <c r="G493" s="56">
        <v>100.43</v>
      </c>
      <c r="H493" s="51">
        <f t="shared" ref="H493:M493" si="2517">B493-B492</f>
        <v>3.6299999999999955</v>
      </c>
      <c r="I493" s="51">
        <f t="shared" si="2517"/>
        <v>1.6099999999999994</v>
      </c>
      <c r="J493" s="51">
        <f t="shared" si="2517"/>
        <v>4.2099999999999937</v>
      </c>
      <c r="K493" s="51">
        <f t="shared" si="2517"/>
        <v>2.3399999999999963</v>
      </c>
      <c r="L493" s="51">
        <f t="shared" si="2517"/>
        <v>0.73999999999999844</v>
      </c>
      <c r="M493" s="42">
        <f t="shared" si="2517"/>
        <v>5.1500000000000057</v>
      </c>
      <c r="N493" s="51">
        <f t="shared" ref="N493:R493" si="2518">N492</f>
        <v>95.114999999999995</v>
      </c>
      <c r="O493" s="51">
        <f t="shared" si="2518"/>
        <v>86.62</v>
      </c>
      <c r="P493" s="51">
        <f t="shared" si="2518"/>
        <v>77.942499999999995</v>
      </c>
      <c r="Q493" s="51">
        <f t="shared" si="2518"/>
        <v>54.72</v>
      </c>
      <c r="R493" s="51">
        <f t="shared" si="2518"/>
        <v>28.447499999999998</v>
      </c>
      <c r="S493" s="51">
        <f t="shared" ref="S493:T493" si="2519">(B492+B493)/2</f>
        <v>93.265000000000001</v>
      </c>
      <c r="T493" s="51">
        <f t="shared" si="2519"/>
        <v>85.14500000000001</v>
      </c>
      <c r="U493" s="51">
        <f t="shared" si="1283"/>
        <v>77.534999999999997</v>
      </c>
      <c r="V493" s="51">
        <f t="shared" ref="V493:W493" si="2520">(E492+E493)/2</f>
        <v>54.81</v>
      </c>
      <c r="W493" s="51">
        <f t="shared" si="2520"/>
        <v>28.29</v>
      </c>
      <c r="X493" s="51">
        <f t="shared" ref="X493:AB493" si="2521">(SUM(B490:B493))/4</f>
        <v>92.027499999999989</v>
      </c>
      <c r="Y493" s="51">
        <f t="shared" si="2521"/>
        <v>83.685000000000002</v>
      </c>
      <c r="Z493" s="51">
        <f t="shared" si="2521"/>
        <v>75.527500000000003</v>
      </c>
      <c r="AA493" s="51">
        <f t="shared" si="2521"/>
        <v>53.04</v>
      </c>
      <c r="AB493" s="51">
        <f t="shared" si="2521"/>
        <v>27.547499999999999</v>
      </c>
      <c r="AC493" s="51">
        <f t="shared" ref="AC493:AF493" si="2522">(B493+C493)/2</f>
        <v>90.515000000000001</v>
      </c>
      <c r="AD493" s="51">
        <f t="shared" si="2522"/>
        <v>82.795000000000002</v>
      </c>
      <c r="AE493" s="51">
        <f t="shared" si="2522"/>
        <v>67.81</v>
      </c>
      <c r="AF493" s="51">
        <f t="shared" si="2522"/>
        <v>42.32</v>
      </c>
      <c r="AG493" s="57"/>
      <c r="AH493" s="57"/>
      <c r="AI493" s="57"/>
      <c r="AJ493" s="57"/>
      <c r="AK493" s="51">
        <f t="shared" si="2093"/>
        <v>36.199999999999996</v>
      </c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8"/>
      <c r="BK493" s="8"/>
      <c r="BL493" s="8"/>
      <c r="BM493" s="8"/>
    </row>
    <row r="494" spans="1:65" ht="30" hidden="1" customHeight="1" x14ac:dyDescent="0.45">
      <c r="A494" s="55">
        <f t="shared" si="2492"/>
        <v>44337</v>
      </c>
      <c r="B494" s="56">
        <v>96.23</v>
      </c>
      <c r="C494" s="56">
        <v>87.78</v>
      </c>
      <c r="D494" s="56">
        <v>79.42</v>
      </c>
      <c r="E494" s="56">
        <v>55.64</v>
      </c>
      <c r="F494" s="56">
        <v>28.65</v>
      </c>
      <c r="G494" s="56">
        <v>104.5</v>
      </c>
      <c r="H494" s="51">
        <f t="shared" ref="H494:M494" si="2523">B494-B493</f>
        <v>1.1500000000000057</v>
      </c>
      <c r="I494" s="51">
        <f t="shared" si="2523"/>
        <v>1.8299999999999983</v>
      </c>
      <c r="J494" s="51">
        <f t="shared" si="2523"/>
        <v>-0.21999999999999886</v>
      </c>
      <c r="K494" s="51">
        <f t="shared" si="2523"/>
        <v>-0.33999999999999631</v>
      </c>
      <c r="L494" s="51">
        <f t="shared" si="2523"/>
        <v>-1.0000000000001563E-2</v>
      </c>
      <c r="M494" s="42">
        <f t="shared" si="2523"/>
        <v>4.0699999999999932</v>
      </c>
      <c r="N494" s="51">
        <f t="shared" ref="N494:R494" si="2524">N493</f>
        <v>95.114999999999995</v>
      </c>
      <c r="O494" s="51">
        <f t="shared" si="2524"/>
        <v>86.62</v>
      </c>
      <c r="P494" s="51">
        <f t="shared" si="2524"/>
        <v>77.942499999999995</v>
      </c>
      <c r="Q494" s="51">
        <f t="shared" si="2524"/>
        <v>54.72</v>
      </c>
      <c r="R494" s="51">
        <f t="shared" si="2524"/>
        <v>28.447499999999998</v>
      </c>
      <c r="S494" s="51">
        <f t="shared" ref="S494:T494" si="2525">(B493+B494)/2</f>
        <v>95.655000000000001</v>
      </c>
      <c r="T494" s="51">
        <f t="shared" si="2525"/>
        <v>86.865000000000009</v>
      </c>
      <c r="U494" s="51">
        <f t="shared" si="1283"/>
        <v>79.53</v>
      </c>
      <c r="V494" s="51">
        <f t="shared" ref="V494:W494" si="2526">(E493+E494)/2</f>
        <v>55.81</v>
      </c>
      <c r="W494" s="51">
        <f t="shared" si="2526"/>
        <v>28.655000000000001</v>
      </c>
      <c r="X494" s="51">
        <f t="shared" ref="X494:AB494" si="2527">(SUM(B491:B494))/4</f>
        <v>93.44</v>
      </c>
      <c r="Y494" s="51">
        <f t="shared" si="2527"/>
        <v>85.330000000000013</v>
      </c>
      <c r="Z494" s="51">
        <f t="shared" si="2527"/>
        <v>77.150000000000006</v>
      </c>
      <c r="AA494" s="51">
        <f t="shared" si="2527"/>
        <v>54.362499999999997</v>
      </c>
      <c r="AB494" s="51">
        <f t="shared" si="2527"/>
        <v>28.064999999999998</v>
      </c>
      <c r="AC494" s="51">
        <f t="shared" ref="AC494:AF494" si="2528">(B494+C494)/2</f>
        <v>92.004999999999995</v>
      </c>
      <c r="AD494" s="51">
        <f t="shared" si="2528"/>
        <v>83.6</v>
      </c>
      <c r="AE494" s="51">
        <f t="shared" si="2528"/>
        <v>67.53</v>
      </c>
      <c r="AF494" s="51">
        <f t="shared" si="2528"/>
        <v>42.144999999999996</v>
      </c>
      <c r="AG494" s="57"/>
      <c r="AH494" s="57"/>
      <c r="AI494" s="57"/>
      <c r="AJ494" s="57"/>
      <c r="AK494" s="51">
        <f t="shared" si="2093"/>
        <v>36.8825</v>
      </c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8"/>
      <c r="BK494" s="8"/>
      <c r="BL494" s="8"/>
      <c r="BM494" s="8"/>
    </row>
    <row r="495" spans="1:65" ht="30" hidden="1" customHeight="1" x14ac:dyDescent="0.45">
      <c r="A495" s="55">
        <f t="shared" si="2492"/>
        <v>44344</v>
      </c>
      <c r="B495" s="56">
        <v>97.7</v>
      </c>
      <c r="C495" s="56">
        <v>88.41</v>
      </c>
      <c r="D495" s="56">
        <v>77.28</v>
      </c>
      <c r="E495" s="56">
        <v>53.62</v>
      </c>
      <c r="F495" s="56">
        <v>28.56</v>
      </c>
      <c r="G495" s="56">
        <v>123.88</v>
      </c>
      <c r="H495" s="51">
        <f t="shared" ref="H495:M495" si="2529">B495-B494</f>
        <v>1.4699999999999989</v>
      </c>
      <c r="I495" s="51">
        <f t="shared" si="2529"/>
        <v>0.62999999999999545</v>
      </c>
      <c r="J495" s="51">
        <f t="shared" si="2529"/>
        <v>-2.1400000000000006</v>
      </c>
      <c r="K495" s="51">
        <f t="shared" si="2529"/>
        <v>-2.0200000000000031</v>
      </c>
      <c r="L495" s="51">
        <f t="shared" si="2529"/>
        <v>-8.9999999999999858E-2</v>
      </c>
      <c r="M495" s="42">
        <f t="shared" si="2529"/>
        <v>19.379999999999995</v>
      </c>
      <c r="N495" s="51">
        <f t="shared" ref="N495:R495" si="2530">N494</f>
        <v>95.114999999999995</v>
      </c>
      <c r="O495" s="51">
        <f t="shared" si="2530"/>
        <v>86.62</v>
      </c>
      <c r="P495" s="51">
        <f t="shared" si="2530"/>
        <v>77.942499999999995</v>
      </c>
      <c r="Q495" s="51">
        <f t="shared" si="2530"/>
        <v>54.72</v>
      </c>
      <c r="R495" s="51">
        <f t="shared" si="2530"/>
        <v>28.447499999999998</v>
      </c>
      <c r="S495" s="51">
        <f t="shared" ref="S495:T495" si="2531">(B494+B495)/2</f>
        <v>96.965000000000003</v>
      </c>
      <c r="T495" s="51">
        <f t="shared" si="2531"/>
        <v>88.094999999999999</v>
      </c>
      <c r="U495" s="51">
        <f t="shared" si="1283"/>
        <v>78.349999999999994</v>
      </c>
      <c r="V495" s="51">
        <f t="shared" ref="V495:W495" si="2532">(E494+E495)/2</f>
        <v>54.629999999999995</v>
      </c>
      <c r="W495" s="51">
        <f t="shared" si="2532"/>
        <v>28.604999999999997</v>
      </c>
      <c r="X495" s="51">
        <f t="shared" ref="X495:AB495" si="2533">(SUM(B492:B495))/4</f>
        <v>95.114999999999995</v>
      </c>
      <c r="Y495" s="51">
        <f t="shared" si="2533"/>
        <v>86.62</v>
      </c>
      <c r="Z495" s="51">
        <f t="shared" si="2533"/>
        <v>77.942499999999995</v>
      </c>
      <c r="AA495" s="51">
        <f t="shared" si="2533"/>
        <v>54.72</v>
      </c>
      <c r="AB495" s="51">
        <f t="shared" si="2533"/>
        <v>28.447499999999998</v>
      </c>
      <c r="AC495" s="51">
        <f t="shared" ref="AC495:AF495" si="2534">(B495+C495)/2</f>
        <v>93.055000000000007</v>
      </c>
      <c r="AD495" s="51">
        <f t="shared" si="2534"/>
        <v>82.844999999999999</v>
      </c>
      <c r="AE495" s="51">
        <f t="shared" si="2534"/>
        <v>65.45</v>
      </c>
      <c r="AF495" s="51">
        <f t="shared" si="2534"/>
        <v>41.089999999999996</v>
      </c>
      <c r="AG495" s="57"/>
      <c r="AH495" s="57"/>
      <c r="AI495" s="57"/>
      <c r="AJ495" s="57"/>
      <c r="AK495" s="51">
        <f t="shared" si="2093"/>
        <v>36.267499999999991</v>
      </c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8"/>
      <c r="BK495" s="8"/>
      <c r="BL495" s="8"/>
      <c r="BM495" s="8"/>
    </row>
    <row r="496" spans="1:65" ht="30" hidden="1" customHeight="1" x14ac:dyDescent="0.45">
      <c r="A496" s="55">
        <f t="shared" si="2492"/>
        <v>44351</v>
      </c>
      <c r="B496" s="56">
        <v>99.71</v>
      </c>
      <c r="C496" s="56">
        <v>90.61</v>
      </c>
      <c r="D496" s="56">
        <v>79.64</v>
      </c>
      <c r="E496" s="56">
        <v>55.04</v>
      </c>
      <c r="F496" s="56">
        <v>30.42</v>
      </c>
      <c r="G496" s="56">
        <v>122.4</v>
      </c>
      <c r="H496" s="51">
        <f t="shared" ref="H496:M496" si="2535">B496-B495</f>
        <v>2.0099999999999909</v>
      </c>
      <c r="I496" s="51">
        <f t="shared" si="2535"/>
        <v>2.2000000000000028</v>
      </c>
      <c r="J496" s="51">
        <f t="shared" si="2535"/>
        <v>2.3599999999999994</v>
      </c>
      <c r="K496" s="51">
        <f t="shared" si="2535"/>
        <v>1.4200000000000017</v>
      </c>
      <c r="L496" s="51">
        <f t="shared" si="2535"/>
        <v>1.860000000000003</v>
      </c>
      <c r="M496" s="42">
        <f t="shared" si="2535"/>
        <v>-1.4799999999999898</v>
      </c>
      <c r="N496" s="51">
        <f t="shared" ref="N496:R496" si="2536">AVERAGE(B496:B499)</f>
        <v>104.93499999999999</v>
      </c>
      <c r="O496" s="51">
        <f t="shared" si="2536"/>
        <v>94.877499999999998</v>
      </c>
      <c r="P496" s="51">
        <f t="shared" si="2536"/>
        <v>84.482500000000002</v>
      </c>
      <c r="Q496" s="51">
        <f t="shared" si="2536"/>
        <v>59.949999999999996</v>
      </c>
      <c r="R496" s="51">
        <f t="shared" si="2536"/>
        <v>31.984999999999999</v>
      </c>
      <c r="S496" s="51">
        <f t="shared" ref="S496:T496" si="2537">(B495+B496)/2</f>
        <v>98.704999999999998</v>
      </c>
      <c r="T496" s="51">
        <f t="shared" si="2537"/>
        <v>89.509999999999991</v>
      </c>
      <c r="U496" s="51">
        <f t="shared" si="1283"/>
        <v>78.460000000000008</v>
      </c>
      <c r="V496" s="51">
        <f t="shared" ref="V496:W496" si="2538">(E495+E496)/2</f>
        <v>54.33</v>
      </c>
      <c r="W496" s="51">
        <f t="shared" si="2538"/>
        <v>29.490000000000002</v>
      </c>
      <c r="X496" s="51">
        <f t="shared" ref="X496:AB496" si="2539">(SUM(B493:B496))/4</f>
        <v>97.179999999999993</v>
      </c>
      <c r="Y496" s="51">
        <f t="shared" si="2539"/>
        <v>88.1875</v>
      </c>
      <c r="Z496" s="51">
        <f t="shared" si="2539"/>
        <v>78.995000000000005</v>
      </c>
      <c r="AA496" s="51">
        <f t="shared" si="2539"/>
        <v>55.07</v>
      </c>
      <c r="AB496" s="51">
        <f t="shared" si="2539"/>
        <v>29.072500000000002</v>
      </c>
      <c r="AC496" s="51">
        <f t="shared" ref="AC496:AF496" si="2540">(B496+C496)/2</f>
        <v>95.16</v>
      </c>
      <c r="AD496" s="51">
        <f t="shared" si="2540"/>
        <v>85.125</v>
      </c>
      <c r="AE496" s="51">
        <f t="shared" si="2540"/>
        <v>67.34</v>
      </c>
      <c r="AF496" s="51">
        <f t="shared" si="2540"/>
        <v>42.730000000000004</v>
      </c>
      <c r="AG496" s="57"/>
      <c r="AH496" s="57"/>
      <c r="AI496" s="57"/>
      <c r="AJ496" s="57"/>
      <c r="AK496" s="51">
        <f t="shared" si="2093"/>
        <v>36.559999999999995</v>
      </c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8"/>
      <c r="BK496" s="8"/>
      <c r="BL496" s="8"/>
      <c r="BM496" s="8"/>
    </row>
    <row r="497" spans="1:65" ht="30" hidden="1" customHeight="1" x14ac:dyDescent="0.45">
      <c r="A497" s="55">
        <f t="shared" si="2492"/>
        <v>44358</v>
      </c>
      <c r="B497" s="56">
        <v>103.99</v>
      </c>
      <c r="C497" s="56">
        <v>93.4</v>
      </c>
      <c r="D497" s="56">
        <v>83.8</v>
      </c>
      <c r="E497" s="56">
        <v>58.44</v>
      </c>
      <c r="F497" s="56">
        <v>31.08</v>
      </c>
      <c r="G497" s="56">
        <v>125.4</v>
      </c>
      <c r="H497" s="51">
        <f t="shared" ref="H497:M497" si="2541">B497-B496</f>
        <v>4.2800000000000011</v>
      </c>
      <c r="I497" s="51">
        <f t="shared" si="2541"/>
        <v>2.7900000000000063</v>
      </c>
      <c r="J497" s="51">
        <f t="shared" si="2541"/>
        <v>4.1599999999999966</v>
      </c>
      <c r="K497" s="51">
        <f t="shared" si="2541"/>
        <v>3.3999999999999986</v>
      </c>
      <c r="L497" s="51">
        <f t="shared" si="2541"/>
        <v>0.65999999999999659</v>
      </c>
      <c r="M497" s="42">
        <f t="shared" si="2541"/>
        <v>3</v>
      </c>
      <c r="N497" s="51">
        <f t="shared" ref="N497:R497" si="2542">N496</f>
        <v>104.93499999999999</v>
      </c>
      <c r="O497" s="51">
        <f t="shared" si="2542"/>
        <v>94.877499999999998</v>
      </c>
      <c r="P497" s="51">
        <f t="shared" si="2542"/>
        <v>84.482500000000002</v>
      </c>
      <c r="Q497" s="51">
        <f t="shared" si="2542"/>
        <v>59.949999999999996</v>
      </c>
      <c r="R497" s="51">
        <f t="shared" si="2542"/>
        <v>31.984999999999999</v>
      </c>
      <c r="S497" s="51">
        <f t="shared" ref="S497:T497" si="2543">(B496+B497)/2</f>
        <v>101.85</v>
      </c>
      <c r="T497" s="51">
        <f t="shared" si="2543"/>
        <v>92.004999999999995</v>
      </c>
      <c r="U497" s="51">
        <f t="shared" si="1283"/>
        <v>81.72</v>
      </c>
      <c r="V497" s="51">
        <f t="shared" ref="V497:W497" si="2544">(E496+E497)/2</f>
        <v>56.739999999999995</v>
      </c>
      <c r="W497" s="51">
        <f t="shared" si="2544"/>
        <v>30.75</v>
      </c>
      <c r="X497" s="51">
        <f t="shared" ref="X497:AB497" si="2545">(SUM(B494:B497))/4</f>
        <v>99.407499999999999</v>
      </c>
      <c r="Y497" s="51">
        <f t="shared" si="2545"/>
        <v>90.050000000000011</v>
      </c>
      <c r="Z497" s="51">
        <f t="shared" si="2545"/>
        <v>80.034999999999997</v>
      </c>
      <c r="AA497" s="51">
        <f t="shared" si="2545"/>
        <v>55.684999999999995</v>
      </c>
      <c r="AB497" s="51">
        <f t="shared" si="2545"/>
        <v>29.677499999999998</v>
      </c>
      <c r="AC497" s="51">
        <f t="shared" ref="AC497:AF497" si="2546">(B497+C497)/2</f>
        <v>98.694999999999993</v>
      </c>
      <c r="AD497" s="51">
        <f t="shared" si="2546"/>
        <v>88.6</v>
      </c>
      <c r="AE497" s="51">
        <f t="shared" si="2546"/>
        <v>71.12</v>
      </c>
      <c r="AF497" s="51">
        <f t="shared" si="2546"/>
        <v>44.76</v>
      </c>
      <c r="AG497" s="57"/>
      <c r="AH497" s="57"/>
      <c r="AI497" s="57"/>
      <c r="AJ497" s="57"/>
      <c r="AK497" s="51">
        <f t="shared" si="2093"/>
        <v>38.394999999999996</v>
      </c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8"/>
      <c r="BK497" s="8"/>
      <c r="BL497" s="8"/>
      <c r="BM497" s="8"/>
    </row>
    <row r="498" spans="1:65" ht="30" hidden="1" customHeight="1" x14ac:dyDescent="0.45">
      <c r="A498" s="55">
        <f t="shared" si="2492"/>
        <v>44365</v>
      </c>
      <c r="B498" s="56">
        <v>106.09</v>
      </c>
      <c r="C498" s="56">
        <v>95.24</v>
      </c>
      <c r="D498" s="56">
        <v>85.62</v>
      </c>
      <c r="E498" s="56">
        <v>61.75</v>
      </c>
      <c r="F498" s="56">
        <v>32.549999999999997</v>
      </c>
      <c r="G498" s="56">
        <v>130.5</v>
      </c>
      <c r="H498" s="51">
        <f t="shared" ref="H498:M498" si="2547">B498-B497</f>
        <v>2.1000000000000085</v>
      </c>
      <c r="I498" s="51">
        <f t="shared" si="2547"/>
        <v>1.8399999999999892</v>
      </c>
      <c r="J498" s="51">
        <f t="shared" si="2547"/>
        <v>1.8200000000000074</v>
      </c>
      <c r="K498" s="51">
        <f t="shared" si="2547"/>
        <v>3.3100000000000023</v>
      </c>
      <c r="L498" s="51">
        <f t="shared" si="2547"/>
        <v>1.4699999999999989</v>
      </c>
      <c r="M498" s="42">
        <f t="shared" si="2547"/>
        <v>5.0999999999999943</v>
      </c>
      <c r="N498" s="51">
        <f t="shared" ref="N498:R498" si="2548">N497</f>
        <v>104.93499999999999</v>
      </c>
      <c r="O498" s="51">
        <f t="shared" si="2548"/>
        <v>94.877499999999998</v>
      </c>
      <c r="P498" s="51">
        <f t="shared" si="2548"/>
        <v>84.482500000000002</v>
      </c>
      <c r="Q498" s="51">
        <f t="shared" si="2548"/>
        <v>59.949999999999996</v>
      </c>
      <c r="R498" s="51">
        <f t="shared" si="2548"/>
        <v>31.984999999999999</v>
      </c>
      <c r="S498" s="51">
        <f t="shared" ref="S498:T498" si="2549">(B497+B498)/2</f>
        <v>105.03999999999999</v>
      </c>
      <c r="T498" s="51">
        <f t="shared" si="2549"/>
        <v>94.32</v>
      </c>
      <c r="U498" s="51">
        <f t="shared" si="1283"/>
        <v>84.710000000000008</v>
      </c>
      <c r="V498" s="51">
        <f t="shared" ref="V498:W498" si="2550">(E497+E498)/2</f>
        <v>60.094999999999999</v>
      </c>
      <c r="W498" s="51">
        <f t="shared" si="2550"/>
        <v>31.814999999999998</v>
      </c>
      <c r="X498" s="51">
        <f t="shared" ref="X498:AB498" si="2551">(SUM(B495:B498))/4</f>
        <v>101.8725</v>
      </c>
      <c r="Y498" s="51">
        <f t="shared" si="2551"/>
        <v>91.914999999999992</v>
      </c>
      <c r="Z498" s="51">
        <f t="shared" si="2551"/>
        <v>81.585000000000008</v>
      </c>
      <c r="AA498" s="51">
        <f t="shared" si="2551"/>
        <v>57.212499999999999</v>
      </c>
      <c r="AB498" s="51">
        <f t="shared" si="2551"/>
        <v>30.6525</v>
      </c>
      <c r="AC498" s="51">
        <f t="shared" ref="AC498:AF498" si="2552">(B498+C498)/2</f>
        <v>100.66499999999999</v>
      </c>
      <c r="AD498" s="51">
        <f t="shared" si="2552"/>
        <v>90.43</v>
      </c>
      <c r="AE498" s="51">
        <f t="shared" si="2552"/>
        <v>73.685000000000002</v>
      </c>
      <c r="AF498" s="51">
        <f t="shared" si="2552"/>
        <v>47.15</v>
      </c>
      <c r="AG498" s="57"/>
      <c r="AH498" s="57"/>
      <c r="AI498" s="57"/>
      <c r="AJ498" s="57"/>
      <c r="AK498" s="51">
        <f t="shared" si="2093"/>
        <v>40.604999999999997</v>
      </c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8"/>
      <c r="BK498" s="8"/>
      <c r="BL498" s="8"/>
      <c r="BM498" s="8"/>
    </row>
    <row r="499" spans="1:65" ht="30" hidden="1" customHeight="1" x14ac:dyDescent="0.45">
      <c r="A499" s="55">
        <f t="shared" si="2492"/>
        <v>44372</v>
      </c>
      <c r="B499" s="56">
        <v>109.95</v>
      </c>
      <c r="C499" s="56">
        <v>100.26</v>
      </c>
      <c r="D499" s="56">
        <v>88.87</v>
      </c>
      <c r="E499" s="56">
        <v>64.569999999999993</v>
      </c>
      <c r="F499" s="56">
        <v>33.89</v>
      </c>
      <c r="G499" s="56">
        <v>132.41999999999999</v>
      </c>
      <c r="H499" s="51">
        <f t="shared" ref="H499:M499" si="2553">B499-B498</f>
        <v>3.8599999999999994</v>
      </c>
      <c r="I499" s="51">
        <f t="shared" si="2553"/>
        <v>5.0200000000000102</v>
      </c>
      <c r="J499" s="51">
        <f t="shared" si="2553"/>
        <v>3.25</v>
      </c>
      <c r="K499" s="51">
        <f t="shared" si="2553"/>
        <v>2.8199999999999932</v>
      </c>
      <c r="L499" s="51">
        <f t="shared" si="2553"/>
        <v>1.3400000000000034</v>
      </c>
      <c r="M499" s="42">
        <f t="shared" si="2553"/>
        <v>1.9199999999999875</v>
      </c>
      <c r="N499" s="51">
        <f t="shared" ref="N499:R499" si="2554">N498</f>
        <v>104.93499999999999</v>
      </c>
      <c r="O499" s="51">
        <f t="shared" si="2554"/>
        <v>94.877499999999998</v>
      </c>
      <c r="P499" s="51">
        <f t="shared" si="2554"/>
        <v>84.482500000000002</v>
      </c>
      <c r="Q499" s="51">
        <f t="shared" si="2554"/>
        <v>59.949999999999996</v>
      </c>
      <c r="R499" s="51">
        <f t="shared" si="2554"/>
        <v>31.984999999999999</v>
      </c>
      <c r="S499" s="51">
        <f t="shared" ref="S499:T499" si="2555">(B498+B499)/2</f>
        <v>108.02000000000001</v>
      </c>
      <c r="T499" s="51">
        <f t="shared" si="2555"/>
        <v>97.75</v>
      </c>
      <c r="U499" s="51">
        <f t="shared" si="1283"/>
        <v>87.245000000000005</v>
      </c>
      <c r="V499" s="51">
        <f t="shared" ref="V499:W499" si="2556">(E498+E499)/2</f>
        <v>63.16</v>
      </c>
      <c r="W499" s="51">
        <f t="shared" si="2556"/>
        <v>33.22</v>
      </c>
      <c r="X499" s="51">
        <f t="shared" ref="X499:AB499" si="2557">(SUM(B496:B499))/4</f>
        <v>104.93499999999999</v>
      </c>
      <c r="Y499" s="51">
        <f t="shared" si="2557"/>
        <v>94.877499999999998</v>
      </c>
      <c r="Z499" s="51">
        <f t="shared" si="2557"/>
        <v>84.482500000000002</v>
      </c>
      <c r="AA499" s="51">
        <f t="shared" si="2557"/>
        <v>59.949999999999996</v>
      </c>
      <c r="AB499" s="51">
        <f t="shared" si="2557"/>
        <v>31.984999999999999</v>
      </c>
      <c r="AC499" s="51">
        <f t="shared" ref="AC499:AF499" si="2558">(B499+C499)/2</f>
        <v>105.105</v>
      </c>
      <c r="AD499" s="51">
        <f t="shared" si="2558"/>
        <v>94.564999999999998</v>
      </c>
      <c r="AE499" s="51">
        <f t="shared" si="2558"/>
        <v>76.72</v>
      </c>
      <c r="AF499" s="51">
        <f t="shared" si="2558"/>
        <v>49.23</v>
      </c>
      <c r="AG499" s="57"/>
      <c r="AH499" s="57"/>
      <c r="AI499" s="57"/>
      <c r="AJ499" s="57"/>
      <c r="AK499" s="51">
        <f t="shared" si="2093"/>
        <v>42.839999999999996</v>
      </c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8"/>
      <c r="BK499" s="8"/>
      <c r="BL499" s="8"/>
      <c r="BM499" s="8"/>
    </row>
    <row r="500" spans="1:65" ht="30" hidden="1" customHeight="1" x14ac:dyDescent="0.45">
      <c r="A500" s="55">
        <f t="shared" si="2492"/>
        <v>44379</v>
      </c>
      <c r="B500" s="56">
        <v>112.07</v>
      </c>
      <c r="C500" s="56">
        <v>102.34</v>
      </c>
      <c r="D500" s="56">
        <v>89.5</v>
      </c>
      <c r="E500" s="56">
        <v>63.98</v>
      </c>
      <c r="F500" s="56">
        <v>34.549999999999997</v>
      </c>
      <c r="G500" s="56">
        <v>140.08000000000001</v>
      </c>
      <c r="H500" s="51">
        <f t="shared" ref="H500:M500" si="2559">B500-B499</f>
        <v>2.1199999999999903</v>
      </c>
      <c r="I500" s="51">
        <f t="shared" si="2559"/>
        <v>2.0799999999999983</v>
      </c>
      <c r="J500" s="51">
        <f t="shared" si="2559"/>
        <v>0.62999999999999545</v>
      </c>
      <c r="K500" s="51">
        <f t="shared" si="2559"/>
        <v>-0.58999999999999631</v>
      </c>
      <c r="L500" s="51">
        <f t="shared" si="2559"/>
        <v>0.65999999999999659</v>
      </c>
      <c r="M500" s="42">
        <f t="shared" si="2559"/>
        <v>7.660000000000025</v>
      </c>
      <c r="N500" s="51">
        <f t="shared" ref="N500:R500" si="2560">AVERAGE(B500:B504)</f>
        <v>116.66199999999999</v>
      </c>
      <c r="O500" s="51">
        <f t="shared" si="2560"/>
        <v>106.274</v>
      </c>
      <c r="P500" s="51">
        <f t="shared" si="2560"/>
        <v>93.804000000000002</v>
      </c>
      <c r="Q500" s="51">
        <f t="shared" si="2560"/>
        <v>65.941999999999993</v>
      </c>
      <c r="R500" s="51">
        <f t="shared" si="2560"/>
        <v>36.981999999999999</v>
      </c>
      <c r="S500" s="51">
        <f t="shared" ref="S500:T500" si="2561">(B499+B500)/2</f>
        <v>111.00999999999999</v>
      </c>
      <c r="T500" s="51">
        <f t="shared" si="2561"/>
        <v>101.30000000000001</v>
      </c>
      <c r="U500" s="51">
        <f t="shared" si="1283"/>
        <v>89.185000000000002</v>
      </c>
      <c r="V500" s="51">
        <f t="shared" ref="V500:W500" si="2562">(E499+E500)/2</f>
        <v>64.274999999999991</v>
      </c>
      <c r="W500" s="51">
        <f t="shared" si="2562"/>
        <v>34.22</v>
      </c>
      <c r="X500" s="51">
        <f t="shared" ref="X500:AB500" si="2563">(SUM(B497:B500))/4</f>
        <v>108.02499999999999</v>
      </c>
      <c r="Y500" s="51">
        <f t="shared" si="2563"/>
        <v>97.81</v>
      </c>
      <c r="Z500" s="51">
        <f t="shared" si="2563"/>
        <v>86.947500000000005</v>
      </c>
      <c r="AA500" s="51">
        <f t="shared" si="2563"/>
        <v>62.184999999999995</v>
      </c>
      <c r="AB500" s="51">
        <f t="shared" si="2563"/>
        <v>33.017499999999998</v>
      </c>
      <c r="AC500" s="51">
        <f t="shared" ref="AC500:AF500" si="2564">(B500+C500)/2</f>
        <v>107.205</v>
      </c>
      <c r="AD500" s="51">
        <f t="shared" si="2564"/>
        <v>95.92</v>
      </c>
      <c r="AE500" s="51">
        <f t="shared" si="2564"/>
        <v>76.739999999999995</v>
      </c>
      <c r="AF500" s="51">
        <f t="shared" si="2564"/>
        <v>49.265000000000001</v>
      </c>
      <c r="AG500" s="57"/>
      <c r="AH500" s="57"/>
      <c r="AI500" s="57"/>
      <c r="AJ500" s="57"/>
      <c r="AK500" s="51">
        <f t="shared" si="2093"/>
        <v>43.897499999999994</v>
      </c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8"/>
      <c r="BK500" s="8"/>
      <c r="BL500" s="8"/>
      <c r="BM500" s="8"/>
    </row>
    <row r="501" spans="1:65" ht="30" hidden="1" customHeight="1" x14ac:dyDescent="0.45">
      <c r="A501" s="55">
        <f t="shared" si="2492"/>
        <v>44386</v>
      </c>
      <c r="B501" s="56">
        <v>113.44</v>
      </c>
      <c r="C501" s="56">
        <v>102.23</v>
      </c>
      <c r="D501" s="56">
        <v>90.13</v>
      </c>
      <c r="E501" s="56">
        <v>63.59</v>
      </c>
      <c r="F501" s="56">
        <v>35.36</v>
      </c>
      <c r="G501" s="56">
        <v>144.09</v>
      </c>
      <c r="H501" s="51">
        <f t="shared" ref="H501:M501" si="2565">B501-B500</f>
        <v>1.3700000000000045</v>
      </c>
      <c r="I501" s="51">
        <f t="shared" si="2565"/>
        <v>-0.10999999999999943</v>
      </c>
      <c r="J501" s="51">
        <f t="shared" si="2565"/>
        <v>0.62999999999999545</v>
      </c>
      <c r="K501" s="51">
        <f t="shared" si="2565"/>
        <v>-0.38999999999999346</v>
      </c>
      <c r="L501" s="51">
        <f t="shared" si="2565"/>
        <v>0.81000000000000227</v>
      </c>
      <c r="M501" s="42">
        <f t="shared" si="2565"/>
        <v>4.0099999999999909</v>
      </c>
      <c r="N501" s="51">
        <f t="shared" ref="N501:R501" si="2566">N500</f>
        <v>116.66199999999999</v>
      </c>
      <c r="O501" s="51">
        <f t="shared" si="2566"/>
        <v>106.274</v>
      </c>
      <c r="P501" s="51">
        <f t="shared" si="2566"/>
        <v>93.804000000000002</v>
      </c>
      <c r="Q501" s="51">
        <f t="shared" si="2566"/>
        <v>65.941999999999993</v>
      </c>
      <c r="R501" s="51">
        <f t="shared" si="2566"/>
        <v>36.981999999999999</v>
      </c>
      <c r="S501" s="51">
        <f t="shared" ref="S501:T501" si="2567">(B500+B501)/2</f>
        <v>112.755</v>
      </c>
      <c r="T501" s="51">
        <f t="shared" si="2567"/>
        <v>102.285</v>
      </c>
      <c r="U501" s="51">
        <f t="shared" si="1283"/>
        <v>89.814999999999998</v>
      </c>
      <c r="V501" s="51">
        <f t="shared" ref="V501:W501" si="2568">(E500+E501)/2</f>
        <v>63.784999999999997</v>
      </c>
      <c r="W501" s="51">
        <f t="shared" si="2568"/>
        <v>34.954999999999998</v>
      </c>
      <c r="X501" s="51">
        <f t="shared" ref="X501:AB501" si="2569">(SUM(B498:B501))/4</f>
        <v>110.3875</v>
      </c>
      <c r="Y501" s="51">
        <f t="shared" si="2569"/>
        <v>100.01750000000001</v>
      </c>
      <c r="Z501" s="51">
        <f t="shared" si="2569"/>
        <v>88.53</v>
      </c>
      <c r="AA501" s="51">
        <f t="shared" si="2569"/>
        <v>63.472499999999997</v>
      </c>
      <c r="AB501" s="51">
        <f t="shared" si="2569"/>
        <v>34.087499999999999</v>
      </c>
      <c r="AC501" s="51">
        <f t="shared" ref="AC501:AF501" si="2570">(B501+C501)/2</f>
        <v>107.83500000000001</v>
      </c>
      <c r="AD501" s="51">
        <f t="shared" si="2570"/>
        <v>96.18</v>
      </c>
      <c r="AE501" s="51">
        <f t="shared" si="2570"/>
        <v>76.86</v>
      </c>
      <c r="AF501" s="51">
        <f t="shared" si="2570"/>
        <v>49.475000000000001</v>
      </c>
      <c r="AG501" s="57"/>
      <c r="AH501" s="57"/>
      <c r="AI501" s="57"/>
      <c r="AJ501" s="57"/>
      <c r="AK501" s="51">
        <f t="shared" si="2093"/>
        <v>44.019999999999996</v>
      </c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8"/>
      <c r="BK501" s="8"/>
      <c r="BL501" s="8"/>
      <c r="BM501" s="8"/>
    </row>
    <row r="502" spans="1:65" ht="30" hidden="1" customHeight="1" x14ac:dyDescent="0.45">
      <c r="A502" s="55">
        <f t="shared" si="2492"/>
        <v>44393</v>
      </c>
      <c r="B502" s="56">
        <v>116.11</v>
      </c>
      <c r="C502" s="56">
        <v>105.59</v>
      </c>
      <c r="D502" s="56">
        <v>93.73</v>
      </c>
      <c r="E502" s="56">
        <v>64.92</v>
      </c>
      <c r="F502" s="56">
        <v>37.049999999999997</v>
      </c>
      <c r="G502" s="56">
        <v>146.22</v>
      </c>
      <c r="H502" s="51">
        <f t="shared" ref="H502:M502" si="2571">B502-B501</f>
        <v>2.6700000000000017</v>
      </c>
      <c r="I502" s="51">
        <f t="shared" si="2571"/>
        <v>3.3599999999999994</v>
      </c>
      <c r="J502" s="51">
        <f t="shared" si="2571"/>
        <v>3.6000000000000085</v>
      </c>
      <c r="K502" s="51">
        <f t="shared" si="2571"/>
        <v>1.3299999999999983</v>
      </c>
      <c r="L502" s="51">
        <f t="shared" si="2571"/>
        <v>1.6899999999999977</v>
      </c>
      <c r="M502" s="42">
        <f t="shared" si="2571"/>
        <v>2.1299999999999955</v>
      </c>
      <c r="N502" s="51">
        <f t="shared" ref="N502:R502" si="2572">N501</f>
        <v>116.66199999999999</v>
      </c>
      <c r="O502" s="51">
        <f t="shared" si="2572"/>
        <v>106.274</v>
      </c>
      <c r="P502" s="51">
        <f t="shared" si="2572"/>
        <v>93.804000000000002</v>
      </c>
      <c r="Q502" s="51">
        <f t="shared" si="2572"/>
        <v>65.941999999999993</v>
      </c>
      <c r="R502" s="51">
        <f t="shared" si="2572"/>
        <v>36.981999999999999</v>
      </c>
      <c r="S502" s="51">
        <f t="shared" ref="S502:T502" si="2573">(B501+B502)/2</f>
        <v>114.77500000000001</v>
      </c>
      <c r="T502" s="51">
        <f t="shared" si="2573"/>
        <v>103.91</v>
      </c>
      <c r="U502" s="51">
        <f t="shared" si="1283"/>
        <v>91.93</v>
      </c>
      <c r="V502" s="51">
        <f t="shared" ref="V502:W502" si="2574">(E501+E502)/2</f>
        <v>64.254999999999995</v>
      </c>
      <c r="W502" s="51">
        <f t="shared" si="2574"/>
        <v>36.204999999999998</v>
      </c>
      <c r="X502" s="51">
        <f t="shared" ref="X502:AB502" si="2575">(SUM(B499:B502))/4</f>
        <v>112.8925</v>
      </c>
      <c r="Y502" s="51">
        <f t="shared" si="2575"/>
        <v>102.60500000000002</v>
      </c>
      <c r="Z502" s="51">
        <f t="shared" si="2575"/>
        <v>90.557500000000005</v>
      </c>
      <c r="AA502" s="51">
        <f t="shared" si="2575"/>
        <v>64.265000000000001</v>
      </c>
      <c r="AB502" s="51">
        <f t="shared" si="2575"/>
        <v>35.212499999999999</v>
      </c>
      <c r="AC502" s="51">
        <f t="shared" ref="AC502:AF502" si="2576">(B502+C502)/2</f>
        <v>110.85</v>
      </c>
      <c r="AD502" s="51">
        <f t="shared" si="2576"/>
        <v>99.66</v>
      </c>
      <c r="AE502" s="51">
        <f t="shared" si="2576"/>
        <v>79.325000000000003</v>
      </c>
      <c r="AF502" s="51">
        <f t="shared" si="2576"/>
        <v>50.984999999999999</v>
      </c>
      <c r="AG502" s="57"/>
      <c r="AH502" s="57"/>
      <c r="AI502" s="57"/>
      <c r="AJ502" s="57"/>
      <c r="AK502" s="51">
        <f t="shared" si="2093"/>
        <v>44.879999999999995</v>
      </c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8"/>
      <c r="BK502" s="8"/>
      <c r="BL502" s="8"/>
      <c r="BM502" s="8"/>
    </row>
    <row r="503" spans="1:65" ht="30" hidden="1" customHeight="1" x14ac:dyDescent="0.45">
      <c r="A503" s="55">
        <f t="shared" si="2492"/>
        <v>44400</v>
      </c>
      <c r="B503" s="56">
        <v>119.26</v>
      </c>
      <c r="C503" s="56">
        <v>107.35</v>
      </c>
      <c r="D503" s="56">
        <v>96.75</v>
      </c>
      <c r="E503" s="56">
        <v>67.900000000000006</v>
      </c>
      <c r="F503" s="56">
        <v>38.49</v>
      </c>
      <c r="G503" s="56">
        <v>161.16</v>
      </c>
      <c r="H503" s="51">
        <f t="shared" ref="H503:M503" si="2577">B503-B502</f>
        <v>3.1500000000000057</v>
      </c>
      <c r="I503" s="51">
        <f t="shared" si="2577"/>
        <v>1.7599999999999909</v>
      </c>
      <c r="J503" s="51">
        <f t="shared" si="2577"/>
        <v>3.019999999999996</v>
      </c>
      <c r="K503" s="51">
        <f t="shared" si="2577"/>
        <v>2.980000000000004</v>
      </c>
      <c r="L503" s="51">
        <f t="shared" si="2577"/>
        <v>1.4400000000000048</v>
      </c>
      <c r="M503" s="42">
        <f t="shared" si="2577"/>
        <v>14.939999999999998</v>
      </c>
      <c r="N503" s="51">
        <f t="shared" ref="N503:R503" si="2578">N502</f>
        <v>116.66199999999999</v>
      </c>
      <c r="O503" s="51">
        <f t="shared" si="2578"/>
        <v>106.274</v>
      </c>
      <c r="P503" s="51">
        <f t="shared" si="2578"/>
        <v>93.804000000000002</v>
      </c>
      <c r="Q503" s="51">
        <f t="shared" si="2578"/>
        <v>65.941999999999993</v>
      </c>
      <c r="R503" s="51">
        <f t="shared" si="2578"/>
        <v>36.981999999999999</v>
      </c>
      <c r="S503" s="51">
        <f t="shared" ref="S503:T503" si="2579">(B502+B503)/2</f>
        <v>117.685</v>
      </c>
      <c r="T503" s="51">
        <f t="shared" si="2579"/>
        <v>106.47</v>
      </c>
      <c r="U503" s="51">
        <f t="shared" si="1283"/>
        <v>95.240000000000009</v>
      </c>
      <c r="V503" s="51">
        <f t="shared" ref="V503:W503" si="2580">(E502+E503)/2</f>
        <v>66.41</v>
      </c>
      <c r="W503" s="51">
        <f t="shared" si="2580"/>
        <v>37.769999999999996</v>
      </c>
      <c r="X503" s="51">
        <f t="shared" ref="X503:AB503" si="2581">(SUM(B500:B503))/4</f>
        <v>115.22</v>
      </c>
      <c r="Y503" s="51">
        <f t="shared" si="2581"/>
        <v>104.3775</v>
      </c>
      <c r="Z503" s="51">
        <f t="shared" si="2581"/>
        <v>92.527500000000003</v>
      </c>
      <c r="AA503" s="51">
        <f t="shared" si="2581"/>
        <v>65.097499999999997</v>
      </c>
      <c r="AB503" s="51">
        <f t="shared" si="2581"/>
        <v>36.362499999999997</v>
      </c>
      <c r="AC503" s="51">
        <f t="shared" ref="AC503:AF503" si="2582">(B503+C503)/2</f>
        <v>113.30500000000001</v>
      </c>
      <c r="AD503" s="51">
        <f t="shared" si="2582"/>
        <v>102.05</v>
      </c>
      <c r="AE503" s="51">
        <f t="shared" si="2582"/>
        <v>82.325000000000003</v>
      </c>
      <c r="AF503" s="51">
        <f t="shared" si="2582"/>
        <v>53.195000000000007</v>
      </c>
      <c r="AG503" s="57"/>
      <c r="AH503" s="57"/>
      <c r="AI503" s="57"/>
      <c r="AJ503" s="57"/>
      <c r="AK503" s="51">
        <f t="shared" si="2093"/>
        <v>46.739999999999995</v>
      </c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8"/>
      <c r="BK503" s="8"/>
      <c r="BL503" s="8"/>
      <c r="BM503" s="8"/>
    </row>
    <row r="504" spans="1:65" ht="30" hidden="1" customHeight="1" x14ac:dyDescent="0.45">
      <c r="A504" s="55">
        <f>A503+8</f>
        <v>44408</v>
      </c>
      <c r="B504" s="56">
        <v>122.43</v>
      </c>
      <c r="C504" s="56">
        <v>113.86</v>
      </c>
      <c r="D504" s="56">
        <v>98.91</v>
      </c>
      <c r="E504" s="56">
        <v>69.319999999999993</v>
      </c>
      <c r="F504" s="56">
        <v>39.46</v>
      </c>
      <c r="G504" s="56">
        <v>158.38</v>
      </c>
      <c r="H504" s="51">
        <f t="shared" ref="H504:M504" si="2583">B504-B503</f>
        <v>3.1700000000000017</v>
      </c>
      <c r="I504" s="51">
        <f t="shared" si="2583"/>
        <v>6.5100000000000051</v>
      </c>
      <c r="J504" s="51">
        <f t="shared" si="2583"/>
        <v>2.1599999999999966</v>
      </c>
      <c r="K504" s="51">
        <f t="shared" si="2583"/>
        <v>1.4199999999999875</v>
      </c>
      <c r="L504" s="51">
        <f t="shared" si="2583"/>
        <v>0.96999999999999886</v>
      </c>
      <c r="M504" s="42">
        <f t="shared" si="2583"/>
        <v>-2.7800000000000011</v>
      </c>
      <c r="N504" s="51">
        <f t="shared" ref="N504:R504" si="2584">N503</f>
        <v>116.66199999999999</v>
      </c>
      <c r="O504" s="51">
        <f t="shared" si="2584"/>
        <v>106.274</v>
      </c>
      <c r="P504" s="51">
        <f t="shared" si="2584"/>
        <v>93.804000000000002</v>
      </c>
      <c r="Q504" s="51">
        <f t="shared" si="2584"/>
        <v>65.941999999999993</v>
      </c>
      <c r="R504" s="51">
        <f t="shared" si="2584"/>
        <v>36.981999999999999</v>
      </c>
      <c r="S504" s="51">
        <f t="shared" ref="S504:T504" si="2585">(B503+B504)/2</f>
        <v>120.845</v>
      </c>
      <c r="T504" s="51">
        <f t="shared" si="2585"/>
        <v>110.60499999999999</v>
      </c>
      <c r="U504" s="51">
        <f t="shared" si="1283"/>
        <v>97.83</v>
      </c>
      <c r="V504" s="51">
        <f t="shared" ref="V504:W504" si="2586">(E503+E504)/2</f>
        <v>68.61</v>
      </c>
      <c r="W504" s="51">
        <f t="shared" si="2586"/>
        <v>38.975000000000001</v>
      </c>
      <c r="X504" s="51">
        <f t="shared" ref="X504:AB504" si="2587">(SUM(B501:B504))/4</f>
        <v>117.81</v>
      </c>
      <c r="Y504" s="51">
        <f t="shared" si="2587"/>
        <v>107.25749999999999</v>
      </c>
      <c r="Z504" s="51">
        <f t="shared" si="2587"/>
        <v>94.88</v>
      </c>
      <c r="AA504" s="51">
        <f t="shared" si="2587"/>
        <v>66.432500000000005</v>
      </c>
      <c r="AB504" s="51">
        <f t="shared" si="2587"/>
        <v>37.590000000000003</v>
      </c>
      <c r="AC504" s="51">
        <f t="shared" ref="AC504:AF504" si="2588">(B504+C504)/2</f>
        <v>118.14500000000001</v>
      </c>
      <c r="AD504" s="51">
        <f t="shared" si="2588"/>
        <v>106.38499999999999</v>
      </c>
      <c r="AE504" s="51">
        <f t="shared" si="2588"/>
        <v>84.114999999999995</v>
      </c>
      <c r="AF504" s="51">
        <f t="shared" si="2588"/>
        <v>54.39</v>
      </c>
      <c r="AG504" s="57"/>
      <c r="AH504" s="57"/>
      <c r="AI504" s="57"/>
      <c r="AJ504" s="57"/>
      <c r="AK504" s="51">
        <f t="shared" si="2093"/>
        <v>48.442500000000003</v>
      </c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8"/>
      <c r="BK504" s="8"/>
      <c r="BL504" s="8"/>
      <c r="BM504" s="8"/>
    </row>
    <row r="505" spans="1:65" ht="30" hidden="1" customHeight="1" x14ac:dyDescent="0.45">
      <c r="A505" s="55">
        <v>44414</v>
      </c>
      <c r="B505" s="56">
        <v>125.15</v>
      </c>
      <c r="C505" s="56">
        <v>115.55</v>
      </c>
      <c r="D505" s="56">
        <v>100.3</v>
      </c>
      <c r="E505" s="56">
        <v>69.53</v>
      </c>
      <c r="F505" s="56">
        <v>40.21</v>
      </c>
      <c r="G505" s="56">
        <v>159.68</v>
      </c>
      <c r="H505" s="51">
        <f t="shared" ref="H505:M505" si="2589">B505-B504</f>
        <v>2.7199999999999989</v>
      </c>
      <c r="I505" s="51">
        <f t="shared" si="2589"/>
        <v>1.6899999999999977</v>
      </c>
      <c r="J505" s="51">
        <f t="shared" si="2589"/>
        <v>1.3900000000000006</v>
      </c>
      <c r="K505" s="51">
        <f t="shared" si="2589"/>
        <v>0.21000000000000796</v>
      </c>
      <c r="L505" s="51">
        <f t="shared" si="2589"/>
        <v>0.75</v>
      </c>
      <c r="M505" s="42">
        <f t="shared" si="2589"/>
        <v>1.3000000000000114</v>
      </c>
      <c r="N505" s="51">
        <f t="shared" ref="N505:R505" si="2590">AVERAGE(B505:B508)</f>
        <v>128.39750000000001</v>
      </c>
      <c r="O505" s="51">
        <f t="shared" si="2590"/>
        <v>120.435</v>
      </c>
      <c r="P505" s="51">
        <f t="shared" si="2590"/>
        <v>104.94</v>
      </c>
      <c r="Q505" s="51">
        <f t="shared" si="2590"/>
        <v>71.410000000000011</v>
      </c>
      <c r="R505" s="51">
        <f t="shared" si="2590"/>
        <v>41.752499999999998</v>
      </c>
      <c r="S505" s="51">
        <f t="shared" ref="S505:T505" si="2591">(B504+B505)/2</f>
        <v>123.79</v>
      </c>
      <c r="T505" s="51">
        <f t="shared" si="2591"/>
        <v>114.705</v>
      </c>
      <c r="U505" s="51">
        <f t="shared" si="1283"/>
        <v>99.60499999999999</v>
      </c>
      <c r="V505" s="51">
        <f t="shared" ref="V505:W505" si="2592">(E504+E505)/2</f>
        <v>69.424999999999997</v>
      </c>
      <c r="W505" s="51">
        <f t="shared" si="2592"/>
        <v>39.835000000000001</v>
      </c>
      <c r="X505" s="51">
        <f t="shared" ref="X505:AB505" si="2593">(SUM(B502:B505))/4</f>
        <v>120.73750000000001</v>
      </c>
      <c r="Y505" s="51">
        <f t="shared" si="2593"/>
        <v>110.58750000000001</v>
      </c>
      <c r="Z505" s="51">
        <f t="shared" si="2593"/>
        <v>97.422499999999999</v>
      </c>
      <c r="AA505" s="51">
        <f t="shared" si="2593"/>
        <v>67.91749999999999</v>
      </c>
      <c r="AB505" s="51">
        <f t="shared" si="2593"/>
        <v>38.802500000000002</v>
      </c>
      <c r="AC505" s="51">
        <f t="shared" ref="AC505:AF505" si="2594">(B505+C505)/2</f>
        <v>120.35</v>
      </c>
      <c r="AD505" s="51">
        <f t="shared" si="2594"/>
        <v>107.925</v>
      </c>
      <c r="AE505" s="51">
        <f t="shared" si="2594"/>
        <v>84.914999999999992</v>
      </c>
      <c r="AF505" s="51">
        <f t="shared" si="2594"/>
        <v>54.870000000000005</v>
      </c>
      <c r="AG505" s="57"/>
      <c r="AH505" s="57"/>
      <c r="AI505" s="57"/>
      <c r="AJ505" s="57"/>
      <c r="AK505" s="51">
        <f t="shared" si="2093"/>
        <v>49.279999999999994</v>
      </c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8"/>
      <c r="BK505" s="8"/>
      <c r="BL505" s="8"/>
      <c r="BM505" s="8"/>
    </row>
    <row r="506" spans="1:65" ht="30" hidden="1" customHeight="1" x14ac:dyDescent="0.45">
      <c r="A506" s="55">
        <f t="shared" ref="A506:A540" si="2595">A505+7</f>
        <v>44421</v>
      </c>
      <c r="B506" s="56">
        <v>126.81</v>
      </c>
      <c r="C506" s="56">
        <v>118.53</v>
      </c>
      <c r="D506" s="56">
        <v>105.72</v>
      </c>
      <c r="E506" s="56">
        <v>71.45</v>
      </c>
      <c r="F506" s="56">
        <v>41.36</v>
      </c>
      <c r="G506" s="56">
        <v>175.76</v>
      </c>
      <c r="H506" s="51">
        <f t="shared" ref="H506:M506" si="2596">B506-B505</f>
        <v>1.6599999999999966</v>
      </c>
      <c r="I506" s="51">
        <f t="shared" si="2596"/>
        <v>2.980000000000004</v>
      </c>
      <c r="J506" s="51">
        <f t="shared" si="2596"/>
        <v>5.4200000000000017</v>
      </c>
      <c r="K506" s="51">
        <f t="shared" si="2596"/>
        <v>1.9200000000000017</v>
      </c>
      <c r="L506" s="51">
        <f t="shared" si="2596"/>
        <v>1.1499999999999986</v>
      </c>
      <c r="M506" s="42">
        <f t="shared" si="2596"/>
        <v>16.079999999999984</v>
      </c>
      <c r="N506" s="51">
        <f t="shared" ref="N506:R506" si="2597">N505</f>
        <v>128.39750000000001</v>
      </c>
      <c r="O506" s="51">
        <f t="shared" si="2597"/>
        <v>120.435</v>
      </c>
      <c r="P506" s="51">
        <f t="shared" si="2597"/>
        <v>104.94</v>
      </c>
      <c r="Q506" s="51">
        <f t="shared" si="2597"/>
        <v>71.410000000000011</v>
      </c>
      <c r="R506" s="51">
        <f t="shared" si="2597"/>
        <v>41.752499999999998</v>
      </c>
      <c r="S506" s="51">
        <f t="shared" ref="S506:T506" si="2598">(B505+B506)/2</f>
        <v>125.98</v>
      </c>
      <c r="T506" s="51">
        <f t="shared" si="2598"/>
        <v>117.03999999999999</v>
      </c>
      <c r="U506" s="51">
        <f t="shared" si="1283"/>
        <v>103.00999999999999</v>
      </c>
      <c r="V506" s="51">
        <f t="shared" ref="V506:W506" si="2599">(E505+E506)/2</f>
        <v>70.490000000000009</v>
      </c>
      <c r="W506" s="51">
        <f t="shared" si="2599"/>
        <v>40.784999999999997</v>
      </c>
      <c r="X506" s="51">
        <f t="shared" ref="X506:AB506" si="2600">(SUM(B503:B506))/4</f>
        <v>123.41250000000001</v>
      </c>
      <c r="Y506" s="51">
        <f t="shared" si="2600"/>
        <v>113.82249999999999</v>
      </c>
      <c r="Z506" s="51">
        <f t="shared" si="2600"/>
        <v>100.41999999999999</v>
      </c>
      <c r="AA506" s="51">
        <f t="shared" si="2600"/>
        <v>69.55</v>
      </c>
      <c r="AB506" s="51">
        <f t="shared" si="2600"/>
        <v>39.879999999999995</v>
      </c>
      <c r="AC506" s="51">
        <f t="shared" ref="AC506:AF506" si="2601">(B506+C506)/2</f>
        <v>122.67</v>
      </c>
      <c r="AD506" s="51">
        <f t="shared" si="2601"/>
        <v>112.125</v>
      </c>
      <c r="AE506" s="51">
        <f t="shared" si="2601"/>
        <v>88.585000000000008</v>
      </c>
      <c r="AF506" s="51">
        <f t="shared" si="2601"/>
        <v>56.405000000000001</v>
      </c>
      <c r="AG506" s="57"/>
      <c r="AH506" s="57"/>
      <c r="AI506" s="57"/>
      <c r="AJ506" s="57"/>
      <c r="AK506" s="51">
        <f t="shared" si="2093"/>
        <v>50.287500000000001</v>
      </c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8"/>
      <c r="BK506" s="8"/>
      <c r="BL506" s="8"/>
      <c r="BM506" s="8"/>
    </row>
    <row r="507" spans="1:65" ht="30" hidden="1" customHeight="1" x14ac:dyDescent="0.45">
      <c r="A507" s="55">
        <f t="shared" si="2595"/>
        <v>44428</v>
      </c>
      <c r="B507" s="56">
        <v>129.66</v>
      </c>
      <c r="C507" s="56">
        <v>123.54</v>
      </c>
      <c r="D507" s="56">
        <v>106.18</v>
      </c>
      <c r="E507" s="56">
        <v>71.62</v>
      </c>
      <c r="F507" s="56">
        <v>42.02</v>
      </c>
      <c r="G507" s="56">
        <v>174.74</v>
      </c>
      <c r="H507" s="51">
        <f t="shared" ref="H507:M507" si="2602">B507-B506</f>
        <v>2.8499999999999943</v>
      </c>
      <c r="I507" s="51">
        <f t="shared" si="2602"/>
        <v>5.0100000000000051</v>
      </c>
      <c r="J507" s="51">
        <f t="shared" si="2602"/>
        <v>0.46000000000000796</v>
      </c>
      <c r="K507" s="51">
        <f t="shared" si="2602"/>
        <v>0.17000000000000171</v>
      </c>
      <c r="L507" s="51">
        <f t="shared" si="2602"/>
        <v>0.66000000000000369</v>
      </c>
      <c r="M507" s="42">
        <f t="shared" si="2602"/>
        <v>-1.0199999999999818</v>
      </c>
      <c r="N507" s="51">
        <f t="shared" ref="N507:R507" si="2603">N506</f>
        <v>128.39750000000001</v>
      </c>
      <c r="O507" s="51">
        <f t="shared" si="2603"/>
        <v>120.435</v>
      </c>
      <c r="P507" s="51">
        <f t="shared" si="2603"/>
        <v>104.94</v>
      </c>
      <c r="Q507" s="51">
        <f t="shared" si="2603"/>
        <v>71.410000000000011</v>
      </c>
      <c r="R507" s="51">
        <f t="shared" si="2603"/>
        <v>41.752499999999998</v>
      </c>
      <c r="S507" s="51">
        <f t="shared" ref="S507:T507" si="2604">(B506+B507)/2</f>
        <v>128.23500000000001</v>
      </c>
      <c r="T507" s="51">
        <f t="shared" si="2604"/>
        <v>121.035</v>
      </c>
      <c r="U507" s="51">
        <f t="shared" si="1283"/>
        <v>105.95</v>
      </c>
      <c r="V507" s="51">
        <f t="shared" ref="V507:W507" si="2605">(E506+E507)/2</f>
        <v>71.534999999999997</v>
      </c>
      <c r="W507" s="51">
        <f t="shared" si="2605"/>
        <v>41.69</v>
      </c>
      <c r="X507" s="51">
        <f t="shared" ref="X507:AB507" si="2606">(SUM(B504:B507))/4</f>
        <v>126.01249999999999</v>
      </c>
      <c r="Y507" s="51">
        <f t="shared" si="2606"/>
        <v>117.87</v>
      </c>
      <c r="Z507" s="51">
        <f t="shared" si="2606"/>
        <v>102.77749999999999</v>
      </c>
      <c r="AA507" s="51">
        <f t="shared" si="2606"/>
        <v>70.48</v>
      </c>
      <c r="AB507" s="51">
        <f t="shared" si="2606"/>
        <v>40.762500000000003</v>
      </c>
      <c r="AC507" s="51">
        <f t="shared" ref="AC507:AF507" si="2607">(B507+C507)/2</f>
        <v>126.6</v>
      </c>
      <c r="AD507" s="51">
        <f t="shared" si="2607"/>
        <v>114.86000000000001</v>
      </c>
      <c r="AE507" s="51">
        <f t="shared" si="2607"/>
        <v>88.9</v>
      </c>
      <c r="AF507" s="51">
        <f t="shared" si="2607"/>
        <v>56.820000000000007</v>
      </c>
      <c r="AG507" s="57"/>
      <c r="AH507" s="57"/>
      <c r="AI507" s="57"/>
      <c r="AJ507" s="57"/>
      <c r="AK507" s="51">
        <f t="shared" si="2093"/>
        <v>51.262499999999996</v>
      </c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8"/>
      <c r="BK507" s="8"/>
      <c r="BL507" s="8"/>
      <c r="BM507" s="8"/>
    </row>
    <row r="508" spans="1:65" ht="30" hidden="1" customHeight="1" x14ac:dyDescent="0.45">
      <c r="A508" s="59">
        <f t="shared" si="2595"/>
        <v>44435</v>
      </c>
      <c r="B508" s="56">
        <v>131.97</v>
      </c>
      <c r="C508" s="56">
        <v>124.12</v>
      </c>
      <c r="D508" s="56">
        <v>107.56</v>
      </c>
      <c r="E508" s="56">
        <v>73.040000000000006</v>
      </c>
      <c r="F508" s="56">
        <v>43.42</v>
      </c>
      <c r="G508" s="56">
        <v>175.58</v>
      </c>
      <c r="H508" s="51">
        <f t="shared" ref="H508:M508" si="2608">B508-B507</f>
        <v>2.3100000000000023</v>
      </c>
      <c r="I508" s="51">
        <f t="shared" si="2608"/>
        <v>0.57999999999999829</v>
      </c>
      <c r="J508" s="51">
        <f t="shared" si="2608"/>
        <v>1.3799999999999955</v>
      </c>
      <c r="K508" s="51">
        <f t="shared" si="2608"/>
        <v>1.4200000000000017</v>
      </c>
      <c r="L508" s="51">
        <f t="shared" si="2608"/>
        <v>1.3999999999999986</v>
      </c>
      <c r="M508" s="42">
        <f t="shared" si="2608"/>
        <v>0.84000000000000341</v>
      </c>
      <c r="N508" s="51">
        <f t="shared" ref="N508:R508" si="2609">N507</f>
        <v>128.39750000000001</v>
      </c>
      <c r="O508" s="51">
        <f t="shared" si="2609"/>
        <v>120.435</v>
      </c>
      <c r="P508" s="51">
        <f t="shared" si="2609"/>
        <v>104.94</v>
      </c>
      <c r="Q508" s="51">
        <f t="shared" si="2609"/>
        <v>71.410000000000011</v>
      </c>
      <c r="R508" s="51">
        <f t="shared" si="2609"/>
        <v>41.752499999999998</v>
      </c>
      <c r="S508" s="51">
        <f t="shared" ref="S508:T508" si="2610">(B507+B508)/2</f>
        <v>130.815</v>
      </c>
      <c r="T508" s="51">
        <f t="shared" si="2610"/>
        <v>123.83000000000001</v>
      </c>
      <c r="U508" s="51">
        <f t="shared" si="1283"/>
        <v>106.87</v>
      </c>
      <c r="V508" s="51">
        <f t="shared" ref="V508:W508" si="2611">(E507+E508)/2</f>
        <v>72.330000000000013</v>
      </c>
      <c r="W508" s="51">
        <f t="shared" si="2611"/>
        <v>42.72</v>
      </c>
      <c r="X508" s="51">
        <f t="shared" ref="X508:AB508" si="2612">(SUM(B505:B508))/4</f>
        <v>128.39750000000001</v>
      </c>
      <c r="Y508" s="51">
        <f t="shared" si="2612"/>
        <v>120.435</v>
      </c>
      <c r="Z508" s="51">
        <f t="shared" si="2612"/>
        <v>104.94</v>
      </c>
      <c r="AA508" s="51">
        <f t="shared" si="2612"/>
        <v>71.410000000000011</v>
      </c>
      <c r="AB508" s="51">
        <f t="shared" si="2612"/>
        <v>41.752499999999998</v>
      </c>
      <c r="AC508" s="51">
        <f t="shared" ref="AC508:AF508" si="2613">(B508+C508)/2</f>
        <v>128.04500000000002</v>
      </c>
      <c r="AD508" s="51">
        <f t="shared" si="2613"/>
        <v>115.84</v>
      </c>
      <c r="AE508" s="51">
        <f t="shared" si="2613"/>
        <v>90.300000000000011</v>
      </c>
      <c r="AF508" s="51">
        <f t="shared" si="2613"/>
        <v>58.230000000000004</v>
      </c>
      <c r="AG508" s="57"/>
      <c r="AH508" s="57"/>
      <c r="AI508" s="57"/>
      <c r="AJ508" s="57"/>
      <c r="AK508" s="51">
        <f t="shared" si="2093"/>
        <v>52.175000000000004</v>
      </c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8"/>
      <c r="BK508" s="8"/>
      <c r="BL508" s="8"/>
      <c r="BM508" s="8"/>
    </row>
    <row r="509" spans="1:65" ht="30" hidden="1" customHeight="1" x14ac:dyDescent="0.45">
      <c r="A509" s="55">
        <f t="shared" si="2595"/>
        <v>44442</v>
      </c>
      <c r="B509" s="56">
        <v>137.5</v>
      </c>
      <c r="C509" s="56">
        <v>125.9</v>
      </c>
      <c r="D509" s="56">
        <v>108.85</v>
      </c>
      <c r="E509" s="56">
        <v>74.98</v>
      </c>
      <c r="F509" s="56">
        <v>44.35</v>
      </c>
      <c r="G509" s="56">
        <v>175.47</v>
      </c>
      <c r="H509" s="51">
        <f t="shared" ref="H509:M509" si="2614">B509-B508</f>
        <v>5.5300000000000011</v>
      </c>
      <c r="I509" s="51">
        <f t="shared" si="2614"/>
        <v>1.7800000000000011</v>
      </c>
      <c r="J509" s="51">
        <f t="shared" si="2614"/>
        <v>1.289999999999992</v>
      </c>
      <c r="K509" s="51">
        <f t="shared" si="2614"/>
        <v>1.9399999999999977</v>
      </c>
      <c r="L509" s="51">
        <f t="shared" si="2614"/>
        <v>0.92999999999999972</v>
      </c>
      <c r="M509" s="42">
        <f t="shared" si="2614"/>
        <v>-0.11000000000001364</v>
      </c>
      <c r="N509" s="51">
        <f t="shared" ref="N509:R509" si="2615">AVERAGE(B509:B512)</f>
        <v>146.4375</v>
      </c>
      <c r="O509" s="51">
        <f t="shared" si="2615"/>
        <v>134.93</v>
      </c>
      <c r="P509" s="51">
        <f t="shared" si="2615"/>
        <v>117.2175</v>
      </c>
      <c r="Q509" s="51">
        <f t="shared" si="2615"/>
        <v>81.085000000000008</v>
      </c>
      <c r="R509" s="51">
        <f t="shared" si="2615"/>
        <v>46.984999999999999</v>
      </c>
      <c r="S509" s="51">
        <f t="shared" ref="S509:T509" si="2616">(B508+B509)/2</f>
        <v>134.73500000000001</v>
      </c>
      <c r="T509" s="51">
        <f t="shared" si="2616"/>
        <v>125.01</v>
      </c>
      <c r="U509" s="51">
        <f t="shared" si="1283"/>
        <v>108.205</v>
      </c>
      <c r="V509" s="51">
        <f t="shared" ref="V509:W509" si="2617">(E508+E509)/2</f>
        <v>74.010000000000005</v>
      </c>
      <c r="W509" s="51">
        <f t="shared" si="2617"/>
        <v>43.885000000000005</v>
      </c>
      <c r="X509" s="51">
        <f t="shared" ref="X509:AB509" si="2618">(SUM(B506:B509))/4</f>
        <v>131.48500000000001</v>
      </c>
      <c r="Y509" s="51">
        <f t="shared" si="2618"/>
        <v>123.02250000000001</v>
      </c>
      <c r="Z509" s="51">
        <f t="shared" si="2618"/>
        <v>107.07750000000001</v>
      </c>
      <c r="AA509" s="51">
        <f t="shared" si="2618"/>
        <v>72.772500000000008</v>
      </c>
      <c r="AB509" s="51">
        <f t="shared" si="2618"/>
        <v>42.787500000000001</v>
      </c>
      <c r="AC509" s="51">
        <f t="shared" ref="AC509:AF509" si="2619">(B509+C509)/2</f>
        <v>131.69999999999999</v>
      </c>
      <c r="AD509" s="51">
        <f t="shared" si="2619"/>
        <v>117.375</v>
      </c>
      <c r="AE509" s="51">
        <f t="shared" si="2619"/>
        <v>91.914999999999992</v>
      </c>
      <c r="AF509" s="51">
        <f t="shared" si="2619"/>
        <v>59.665000000000006</v>
      </c>
      <c r="AG509" s="57"/>
      <c r="AH509" s="57"/>
      <c r="AI509" s="57"/>
      <c r="AJ509" s="57"/>
      <c r="AK509" s="51">
        <f t="shared" si="2093"/>
        <v>53.597500000000004</v>
      </c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8"/>
      <c r="BK509" s="8"/>
      <c r="BL509" s="8"/>
      <c r="BM509" s="8"/>
    </row>
    <row r="510" spans="1:65" ht="30" hidden="1" customHeight="1" x14ac:dyDescent="0.45">
      <c r="A510" s="55">
        <f t="shared" si="2595"/>
        <v>44449</v>
      </c>
      <c r="B510" s="56">
        <v>139.68</v>
      </c>
      <c r="C510" s="56">
        <v>127.97</v>
      </c>
      <c r="D510" s="56">
        <v>110.12</v>
      </c>
      <c r="E510" s="56">
        <v>76.680000000000007</v>
      </c>
      <c r="F510" s="56">
        <v>45.72</v>
      </c>
      <c r="G510" s="56">
        <v>177.7</v>
      </c>
      <c r="H510" s="51">
        <f t="shared" ref="H510:M510" si="2620">B510-B509</f>
        <v>2.1800000000000068</v>
      </c>
      <c r="I510" s="51">
        <f t="shared" si="2620"/>
        <v>2.0699999999999932</v>
      </c>
      <c r="J510" s="51">
        <f t="shared" si="2620"/>
        <v>1.2700000000000102</v>
      </c>
      <c r="K510" s="51">
        <f t="shared" si="2620"/>
        <v>1.7000000000000028</v>
      </c>
      <c r="L510" s="51">
        <f t="shared" si="2620"/>
        <v>1.3699999999999974</v>
      </c>
      <c r="M510" s="42">
        <f t="shared" si="2620"/>
        <v>2.2299999999999898</v>
      </c>
      <c r="N510" s="51">
        <f t="shared" ref="N510:R510" si="2621">N509</f>
        <v>146.4375</v>
      </c>
      <c r="O510" s="51">
        <f t="shared" si="2621"/>
        <v>134.93</v>
      </c>
      <c r="P510" s="51">
        <f t="shared" si="2621"/>
        <v>117.2175</v>
      </c>
      <c r="Q510" s="51">
        <f t="shared" si="2621"/>
        <v>81.085000000000008</v>
      </c>
      <c r="R510" s="51">
        <f t="shared" si="2621"/>
        <v>46.984999999999999</v>
      </c>
      <c r="S510" s="51">
        <f t="shared" ref="S510:T510" si="2622">(B509+B510)/2</f>
        <v>138.59</v>
      </c>
      <c r="T510" s="51">
        <f t="shared" si="2622"/>
        <v>126.935</v>
      </c>
      <c r="U510" s="51">
        <f t="shared" si="1283"/>
        <v>109.485</v>
      </c>
      <c r="V510" s="51">
        <f t="shared" ref="V510:W510" si="2623">(E509+E510)/2</f>
        <v>75.830000000000013</v>
      </c>
      <c r="W510" s="51">
        <f t="shared" si="2623"/>
        <v>45.034999999999997</v>
      </c>
      <c r="X510" s="51">
        <f t="shared" ref="X510:AB510" si="2624">(SUM(B507:B510))/4</f>
        <v>134.70249999999999</v>
      </c>
      <c r="Y510" s="51">
        <f t="shared" si="2624"/>
        <v>125.38250000000002</v>
      </c>
      <c r="Z510" s="51">
        <f t="shared" si="2624"/>
        <v>108.17750000000001</v>
      </c>
      <c r="AA510" s="51">
        <f t="shared" si="2624"/>
        <v>74.080000000000013</v>
      </c>
      <c r="AB510" s="51">
        <f t="shared" si="2624"/>
        <v>43.877499999999998</v>
      </c>
      <c r="AC510" s="51">
        <f t="shared" ref="AC510:AF510" si="2625">(B510+C510)/2</f>
        <v>133.82499999999999</v>
      </c>
      <c r="AD510" s="51">
        <f t="shared" si="2625"/>
        <v>119.045</v>
      </c>
      <c r="AE510" s="51">
        <f t="shared" si="2625"/>
        <v>93.4</v>
      </c>
      <c r="AF510" s="51">
        <f t="shared" si="2625"/>
        <v>61.2</v>
      </c>
      <c r="AG510" s="57"/>
      <c r="AH510" s="57"/>
      <c r="AI510" s="57"/>
      <c r="AJ510" s="57"/>
      <c r="AK510" s="51">
        <f t="shared" si="2093"/>
        <v>55.082500000000003</v>
      </c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8"/>
      <c r="BK510" s="8"/>
      <c r="BL510" s="8"/>
      <c r="BM510" s="8"/>
    </row>
    <row r="511" spans="1:65" ht="30" hidden="1" customHeight="1" x14ac:dyDescent="0.45">
      <c r="A511" s="55">
        <f t="shared" si="2595"/>
        <v>44456</v>
      </c>
      <c r="B511" s="56">
        <v>148.07</v>
      </c>
      <c r="C511" s="56">
        <v>135.13</v>
      </c>
      <c r="D511" s="56">
        <v>117.24</v>
      </c>
      <c r="E511" s="56">
        <v>81.400000000000006</v>
      </c>
      <c r="F511" s="56">
        <v>47.67</v>
      </c>
      <c r="G511" s="56">
        <v>182.6</v>
      </c>
      <c r="H511" s="51">
        <f t="shared" ref="H511:M511" si="2626">B511-B510</f>
        <v>8.3899999999999864</v>
      </c>
      <c r="I511" s="51">
        <f t="shared" si="2626"/>
        <v>7.1599999999999966</v>
      </c>
      <c r="J511" s="51">
        <f t="shared" si="2626"/>
        <v>7.1199999999999903</v>
      </c>
      <c r="K511" s="51">
        <f t="shared" si="2626"/>
        <v>4.7199999999999989</v>
      </c>
      <c r="L511" s="51">
        <f t="shared" si="2626"/>
        <v>1.9500000000000028</v>
      </c>
      <c r="M511" s="42">
        <f t="shared" si="2626"/>
        <v>4.9000000000000057</v>
      </c>
      <c r="N511" s="51">
        <f t="shared" ref="N511:R511" si="2627">N510</f>
        <v>146.4375</v>
      </c>
      <c r="O511" s="51">
        <f t="shared" si="2627"/>
        <v>134.93</v>
      </c>
      <c r="P511" s="51">
        <f t="shared" si="2627"/>
        <v>117.2175</v>
      </c>
      <c r="Q511" s="51">
        <f t="shared" si="2627"/>
        <v>81.085000000000008</v>
      </c>
      <c r="R511" s="51">
        <f t="shared" si="2627"/>
        <v>46.984999999999999</v>
      </c>
      <c r="S511" s="51">
        <f t="shared" ref="S511:T511" si="2628">(B510+B511)/2</f>
        <v>143.875</v>
      </c>
      <c r="T511" s="51">
        <f t="shared" si="2628"/>
        <v>131.55000000000001</v>
      </c>
      <c r="U511" s="51">
        <f t="shared" si="1283"/>
        <v>113.68</v>
      </c>
      <c r="V511" s="51">
        <f t="shared" ref="V511:W511" si="2629">(E510+E511)/2</f>
        <v>79.040000000000006</v>
      </c>
      <c r="W511" s="51">
        <f t="shared" si="2629"/>
        <v>46.695</v>
      </c>
      <c r="X511" s="51">
        <f t="shared" ref="X511:AB511" si="2630">(SUM(B508:B511))/4</f>
        <v>139.30500000000001</v>
      </c>
      <c r="Y511" s="51">
        <f t="shared" si="2630"/>
        <v>128.28</v>
      </c>
      <c r="Z511" s="51">
        <f t="shared" si="2630"/>
        <v>110.9425</v>
      </c>
      <c r="AA511" s="51">
        <f t="shared" si="2630"/>
        <v>76.525000000000006</v>
      </c>
      <c r="AB511" s="51">
        <f t="shared" si="2630"/>
        <v>45.290000000000006</v>
      </c>
      <c r="AC511" s="51">
        <f t="shared" ref="AC511:AF511" si="2631">(B511+C511)/2</f>
        <v>141.6</v>
      </c>
      <c r="AD511" s="51">
        <f t="shared" si="2631"/>
        <v>126.185</v>
      </c>
      <c r="AE511" s="51">
        <f t="shared" si="2631"/>
        <v>99.32</v>
      </c>
      <c r="AF511" s="51">
        <f t="shared" si="2631"/>
        <v>64.534999999999997</v>
      </c>
      <c r="AG511" s="57"/>
      <c r="AH511" s="57"/>
      <c r="AI511" s="57"/>
      <c r="AJ511" s="57"/>
      <c r="AK511" s="51">
        <f t="shared" si="2093"/>
        <v>57.517500000000005</v>
      </c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8"/>
      <c r="BK511" s="8"/>
      <c r="BL511" s="8"/>
      <c r="BM511" s="8"/>
    </row>
    <row r="512" spans="1:65" ht="30" hidden="1" customHeight="1" x14ac:dyDescent="0.45">
      <c r="A512" s="55">
        <f t="shared" si="2595"/>
        <v>44463</v>
      </c>
      <c r="B512" s="56">
        <v>160.5</v>
      </c>
      <c r="C512" s="56">
        <v>150.72</v>
      </c>
      <c r="D512" s="56">
        <v>132.66</v>
      </c>
      <c r="E512" s="56">
        <v>91.28</v>
      </c>
      <c r="F512" s="56">
        <v>50.2</v>
      </c>
      <c r="G512" s="56">
        <v>188.72</v>
      </c>
      <c r="H512" s="51">
        <f t="shared" ref="H512:M512" si="2632">B512-B511</f>
        <v>12.430000000000007</v>
      </c>
      <c r="I512" s="51">
        <f t="shared" si="2632"/>
        <v>15.590000000000003</v>
      </c>
      <c r="J512" s="51">
        <f t="shared" si="2632"/>
        <v>15.420000000000002</v>
      </c>
      <c r="K512" s="51">
        <f t="shared" si="2632"/>
        <v>9.8799999999999955</v>
      </c>
      <c r="L512" s="51">
        <f t="shared" si="2632"/>
        <v>2.5300000000000011</v>
      </c>
      <c r="M512" s="42">
        <f t="shared" si="2632"/>
        <v>6.1200000000000045</v>
      </c>
      <c r="N512" s="51">
        <f t="shared" ref="N512:R512" si="2633">N511</f>
        <v>146.4375</v>
      </c>
      <c r="O512" s="51">
        <f t="shared" si="2633"/>
        <v>134.93</v>
      </c>
      <c r="P512" s="51">
        <f t="shared" si="2633"/>
        <v>117.2175</v>
      </c>
      <c r="Q512" s="51">
        <f t="shared" si="2633"/>
        <v>81.085000000000008</v>
      </c>
      <c r="R512" s="51">
        <f t="shared" si="2633"/>
        <v>46.984999999999999</v>
      </c>
      <c r="S512" s="51">
        <f t="shared" ref="S512:T512" si="2634">(B511+B512)/2</f>
        <v>154.285</v>
      </c>
      <c r="T512" s="51">
        <f t="shared" si="2634"/>
        <v>142.92500000000001</v>
      </c>
      <c r="U512" s="51">
        <f t="shared" si="1283"/>
        <v>124.94999999999999</v>
      </c>
      <c r="V512" s="51">
        <f t="shared" ref="V512:W512" si="2635">(E511+E512)/2</f>
        <v>86.34</v>
      </c>
      <c r="W512" s="51">
        <f t="shared" si="2635"/>
        <v>48.935000000000002</v>
      </c>
      <c r="X512" s="51">
        <f t="shared" ref="X512:AB512" si="2636">(SUM(B509:B512))/4</f>
        <v>146.4375</v>
      </c>
      <c r="Y512" s="51">
        <f t="shared" si="2636"/>
        <v>134.93</v>
      </c>
      <c r="Z512" s="51">
        <f t="shared" si="2636"/>
        <v>117.2175</v>
      </c>
      <c r="AA512" s="51">
        <f t="shared" si="2636"/>
        <v>81.085000000000008</v>
      </c>
      <c r="AB512" s="51">
        <f t="shared" si="2636"/>
        <v>46.984999999999999</v>
      </c>
      <c r="AC512" s="51">
        <f t="shared" ref="AC512:AF512" si="2637">(B512+C512)/2</f>
        <v>155.61000000000001</v>
      </c>
      <c r="AD512" s="51">
        <f t="shared" si="2637"/>
        <v>141.69</v>
      </c>
      <c r="AE512" s="51">
        <f t="shared" si="2637"/>
        <v>111.97</v>
      </c>
      <c r="AF512" s="51">
        <f t="shared" si="2637"/>
        <v>70.740000000000009</v>
      </c>
      <c r="AG512" s="57"/>
      <c r="AH512" s="57"/>
      <c r="AI512" s="57"/>
      <c r="AJ512" s="57"/>
      <c r="AK512" s="51">
        <f t="shared" si="2093"/>
        <v>62.287500000000001</v>
      </c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8"/>
      <c r="BK512" s="8"/>
      <c r="BL512" s="8"/>
      <c r="BM512" s="8"/>
    </row>
    <row r="513" spans="1:65" ht="30" hidden="1" customHeight="1" x14ac:dyDescent="0.45">
      <c r="A513" s="55">
        <f t="shared" si="2595"/>
        <v>44470</v>
      </c>
      <c r="B513" s="56">
        <v>179.44</v>
      </c>
      <c r="C513" s="56">
        <v>166.11</v>
      </c>
      <c r="D513" s="56">
        <v>150.5</v>
      </c>
      <c r="E513" s="56">
        <v>107.96</v>
      </c>
      <c r="F513" s="56">
        <v>55.71</v>
      </c>
      <c r="G513" s="56">
        <v>206.31</v>
      </c>
      <c r="H513" s="51">
        <f t="shared" ref="H513:M513" si="2638">B513-B512</f>
        <v>18.939999999999998</v>
      </c>
      <c r="I513" s="51">
        <f t="shared" si="2638"/>
        <v>15.390000000000015</v>
      </c>
      <c r="J513" s="51">
        <f t="shared" si="2638"/>
        <v>17.840000000000003</v>
      </c>
      <c r="K513" s="51">
        <f t="shared" si="2638"/>
        <v>16.679999999999993</v>
      </c>
      <c r="L513" s="51">
        <f t="shared" si="2638"/>
        <v>5.509999999999998</v>
      </c>
      <c r="M513" s="42">
        <f t="shared" si="2638"/>
        <v>17.590000000000003</v>
      </c>
      <c r="N513" s="51">
        <f t="shared" ref="N513:R513" si="2639">AVERAGE(B513:B517)</f>
        <v>206.416</v>
      </c>
      <c r="O513" s="51">
        <f t="shared" si="2639"/>
        <v>195.14000000000001</v>
      </c>
      <c r="P513" s="51">
        <f t="shared" si="2639"/>
        <v>180.84200000000001</v>
      </c>
      <c r="Q513" s="51">
        <f t="shared" si="2639"/>
        <v>132.63799999999998</v>
      </c>
      <c r="R513" s="51">
        <f t="shared" si="2639"/>
        <v>68.367999999999995</v>
      </c>
      <c r="S513" s="51">
        <f t="shared" ref="S513:T513" si="2640">(B512+B513)/2</f>
        <v>169.97</v>
      </c>
      <c r="T513" s="51">
        <f t="shared" si="2640"/>
        <v>158.41500000000002</v>
      </c>
      <c r="U513" s="51">
        <f t="shared" si="1283"/>
        <v>141.57999999999998</v>
      </c>
      <c r="V513" s="51">
        <f t="shared" ref="V513:W513" si="2641">(E512+E513)/2</f>
        <v>99.62</v>
      </c>
      <c r="W513" s="51">
        <f t="shared" si="2641"/>
        <v>52.954999999999998</v>
      </c>
      <c r="X513" s="51">
        <f t="shared" ref="X513:AB513" si="2642">(SUM(B510:B513))/4</f>
        <v>156.92250000000001</v>
      </c>
      <c r="Y513" s="51">
        <f t="shared" si="2642"/>
        <v>144.98250000000002</v>
      </c>
      <c r="Z513" s="51">
        <f t="shared" si="2642"/>
        <v>127.63</v>
      </c>
      <c r="AA513" s="51">
        <f t="shared" si="2642"/>
        <v>89.33</v>
      </c>
      <c r="AB513" s="51">
        <f t="shared" si="2642"/>
        <v>49.825000000000003</v>
      </c>
      <c r="AC513" s="51">
        <f t="shared" ref="AC513:AF513" si="2643">(B513+C513)/2</f>
        <v>172.77500000000001</v>
      </c>
      <c r="AD513" s="51">
        <f t="shared" si="2643"/>
        <v>158.30500000000001</v>
      </c>
      <c r="AE513" s="51">
        <f t="shared" si="2643"/>
        <v>129.22999999999999</v>
      </c>
      <c r="AF513" s="51">
        <f t="shared" si="2643"/>
        <v>81.834999999999994</v>
      </c>
      <c r="AG513" s="57"/>
      <c r="AH513" s="57"/>
      <c r="AI513" s="57"/>
      <c r="AJ513" s="57"/>
      <c r="AK513" s="51">
        <f t="shared" si="2093"/>
        <v>70.9375</v>
      </c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8"/>
      <c r="BK513" s="8"/>
      <c r="BL513" s="8"/>
      <c r="BM513" s="8"/>
    </row>
    <row r="514" spans="1:65" ht="30" hidden="1" customHeight="1" x14ac:dyDescent="0.45">
      <c r="A514" s="55">
        <f t="shared" si="2595"/>
        <v>44477</v>
      </c>
      <c r="B514" s="56">
        <v>193.06</v>
      </c>
      <c r="C514" s="56">
        <v>188.64</v>
      </c>
      <c r="D514" s="56">
        <v>160.87</v>
      </c>
      <c r="E514" s="56">
        <v>122.08</v>
      </c>
      <c r="F514" s="56">
        <v>64.38</v>
      </c>
      <c r="G514" s="56">
        <v>244.11</v>
      </c>
      <c r="H514" s="51">
        <f t="shared" ref="H514:M514" si="2644">B514-B513</f>
        <v>13.620000000000005</v>
      </c>
      <c r="I514" s="51">
        <f t="shared" si="2644"/>
        <v>22.529999999999973</v>
      </c>
      <c r="J514" s="51">
        <f t="shared" si="2644"/>
        <v>10.370000000000005</v>
      </c>
      <c r="K514" s="51">
        <f t="shared" si="2644"/>
        <v>14.120000000000005</v>
      </c>
      <c r="L514" s="51">
        <f t="shared" si="2644"/>
        <v>8.6699999999999946</v>
      </c>
      <c r="M514" s="42">
        <f t="shared" si="2644"/>
        <v>37.800000000000011</v>
      </c>
      <c r="N514" s="51">
        <f t="shared" ref="N514:R514" si="2645">N513</f>
        <v>206.416</v>
      </c>
      <c r="O514" s="51">
        <f t="shared" si="2645"/>
        <v>195.14000000000001</v>
      </c>
      <c r="P514" s="51">
        <f t="shared" si="2645"/>
        <v>180.84200000000001</v>
      </c>
      <c r="Q514" s="51">
        <f t="shared" si="2645"/>
        <v>132.63799999999998</v>
      </c>
      <c r="R514" s="51">
        <f t="shared" si="2645"/>
        <v>68.367999999999995</v>
      </c>
      <c r="S514" s="51">
        <f t="shared" ref="S514:T514" si="2646">(B513+B514)/2</f>
        <v>186.25</v>
      </c>
      <c r="T514" s="51">
        <f t="shared" si="2646"/>
        <v>177.375</v>
      </c>
      <c r="U514" s="51">
        <f t="shared" si="1283"/>
        <v>155.685</v>
      </c>
      <c r="V514" s="51">
        <f t="shared" ref="V514:W514" si="2647">(E513+E514)/2</f>
        <v>115.02</v>
      </c>
      <c r="W514" s="51">
        <f t="shared" si="2647"/>
        <v>60.045000000000002</v>
      </c>
      <c r="X514" s="51">
        <f t="shared" ref="X514:AB514" si="2648">(SUM(B511:B514))/4</f>
        <v>170.26749999999998</v>
      </c>
      <c r="Y514" s="51">
        <f t="shared" si="2648"/>
        <v>160.15</v>
      </c>
      <c r="Z514" s="51">
        <f t="shared" si="2648"/>
        <v>140.3175</v>
      </c>
      <c r="AA514" s="51">
        <f t="shared" si="2648"/>
        <v>100.67999999999999</v>
      </c>
      <c r="AB514" s="51">
        <f t="shared" si="2648"/>
        <v>54.49</v>
      </c>
      <c r="AC514" s="51">
        <f t="shared" ref="AC514:AF514" si="2649">(B514+C514)/2</f>
        <v>190.85</v>
      </c>
      <c r="AD514" s="51">
        <f t="shared" si="2649"/>
        <v>174.755</v>
      </c>
      <c r="AE514" s="51">
        <f t="shared" si="2649"/>
        <v>141.47499999999999</v>
      </c>
      <c r="AF514" s="51">
        <f t="shared" si="2649"/>
        <v>93.22999999999999</v>
      </c>
      <c r="AG514" s="57"/>
      <c r="AH514" s="57"/>
      <c r="AI514" s="57"/>
      <c r="AJ514" s="57"/>
      <c r="AK514" s="51">
        <f t="shared" si="2093"/>
        <v>82.182500000000005</v>
      </c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8"/>
      <c r="BK514" s="8"/>
      <c r="BL514" s="8"/>
      <c r="BM514" s="8"/>
    </row>
    <row r="515" spans="1:65" ht="30" hidden="1" customHeight="1" x14ac:dyDescent="0.45">
      <c r="A515" s="55">
        <f t="shared" si="2595"/>
        <v>44484</v>
      </c>
      <c r="B515" s="56">
        <v>219.24</v>
      </c>
      <c r="C515" s="56">
        <v>201.98</v>
      </c>
      <c r="D515" s="56">
        <v>197.04</v>
      </c>
      <c r="E515" s="56">
        <v>143.13999999999999</v>
      </c>
      <c r="F515" s="56">
        <v>72.69</v>
      </c>
      <c r="G515" s="56">
        <v>253.55</v>
      </c>
      <c r="H515" s="51">
        <f t="shared" ref="H515:M515" si="2650">B515-B514</f>
        <v>26.180000000000007</v>
      </c>
      <c r="I515" s="51">
        <f t="shared" si="2650"/>
        <v>13.340000000000003</v>
      </c>
      <c r="J515" s="51">
        <f t="shared" si="2650"/>
        <v>36.169999999999987</v>
      </c>
      <c r="K515" s="51">
        <f t="shared" si="2650"/>
        <v>21.059999999999988</v>
      </c>
      <c r="L515" s="51">
        <f t="shared" si="2650"/>
        <v>8.3100000000000023</v>
      </c>
      <c r="M515" s="42">
        <f t="shared" si="2650"/>
        <v>9.4399999999999977</v>
      </c>
      <c r="N515" s="51">
        <f t="shared" ref="N515:R515" si="2651">N514</f>
        <v>206.416</v>
      </c>
      <c r="O515" s="51">
        <f t="shared" si="2651"/>
        <v>195.14000000000001</v>
      </c>
      <c r="P515" s="51">
        <f t="shared" si="2651"/>
        <v>180.84200000000001</v>
      </c>
      <c r="Q515" s="51">
        <f t="shared" si="2651"/>
        <v>132.63799999999998</v>
      </c>
      <c r="R515" s="51">
        <f t="shared" si="2651"/>
        <v>68.367999999999995</v>
      </c>
      <c r="S515" s="51">
        <f t="shared" ref="S515:T515" si="2652">(B514+B515)/2</f>
        <v>206.15</v>
      </c>
      <c r="T515" s="51">
        <f t="shared" si="2652"/>
        <v>195.31</v>
      </c>
      <c r="U515" s="51">
        <f t="shared" si="1283"/>
        <v>178.95499999999998</v>
      </c>
      <c r="V515" s="51">
        <f t="shared" ref="V515:W515" si="2653">(E514+E515)/2</f>
        <v>132.60999999999999</v>
      </c>
      <c r="W515" s="51">
        <f t="shared" si="2653"/>
        <v>68.534999999999997</v>
      </c>
      <c r="X515" s="51">
        <f t="shared" ref="X515:AB515" si="2654">(SUM(B512:B515))/4</f>
        <v>188.06</v>
      </c>
      <c r="Y515" s="51">
        <f t="shared" si="2654"/>
        <v>176.86250000000001</v>
      </c>
      <c r="Z515" s="51">
        <f t="shared" si="2654"/>
        <v>160.26749999999998</v>
      </c>
      <c r="AA515" s="51">
        <f t="shared" si="2654"/>
        <v>116.11499999999999</v>
      </c>
      <c r="AB515" s="51">
        <f t="shared" si="2654"/>
        <v>60.744999999999997</v>
      </c>
      <c r="AC515" s="51">
        <f t="shared" ref="AC515:AF515" si="2655">(B515+C515)/2</f>
        <v>210.61</v>
      </c>
      <c r="AD515" s="51">
        <f t="shared" si="2655"/>
        <v>199.51</v>
      </c>
      <c r="AE515" s="51">
        <f t="shared" si="2655"/>
        <v>170.08999999999997</v>
      </c>
      <c r="AF515" s="51">
        <f t="shared" si="2655"/>
        <v>107.91499999999999</v>
      </c>
      <c r="AG515" s="57"/>
      <c r="AH515" s="57"/>
      <c r="AI515" s="57"/>
      <c r="AJ515" s="57"/>
      <c r="AK515" s="51">
        <f t="shared" si="2093"/>
        <v>95.222499999999997</v>
      </c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8"/>
      <c r="BK515" s="8"/>
      <c r="BL515" s="8"/>
      <c r="BM515" s="8"/>
    </row>
    <row r="516" spans="1:65" ht="30" hidden="1" customHeight="1" x14ac:dyDescent="0.45">
      <c r="A516" s="55">
        <f t="shared" si="2595"/>
        <v>44491</v>
      </c>
      <c r="B516" s="56">
        <v>224.11</v>
      </c>
      <c r="C516" s="56">
        <v>216.6</v>
      </c>
      <c r="D516" s="56">
        <v>210.36</v>
      </c>
      <c r="E516" s="56">
        <v>154.61000000000001</v>
      </c>
      <c r="F516" s="56">
        <v>79.13</v>
      </c>
      <c r="G516" s="56">
        <v>221.79</v>
      </c>
      <c r="H516" s="51">
        <f t="shared" ref="H516:M516" si="2656">B516-B515</f>
        <v>4.8700000000000045</v>
      </c>
      <c r="I516" s="51">
        <f t="shared" si="2656"/>
        <v>14.620000000000005</v>
      </c>
      <c r="J516" s="51">
        <f t="shared" si="2656"/>
        <v>13.320000000000022</v>
      </c>
      <c r="K516" s="51">
        <f t="shared" si="2656"/>
        <v>11.470000000000027</v>
      </c>
      <c r="L516" s="51">
        <f t="shared" si="2656"/>
        <v>6.4399999999999977</v>
      </c>
      <c r="M516" s="42">
        <f t="shared" si="2656"/>
        <v>-31.760000000000019</v>
      </c>
      <c r="N516" s="51">
        <f t="shared" ref="N516:R516" si="2657">N515</f>
        <v>206.416</v>
      </c>
      <c r="O516" s="51">
        <f t="shared" si="2657"/>
        <v>195.14000000000001</v>
      </c>
      <c r="P516" s="51">
        <f t="shared" si="2657"/>
        <v>180.84200000000001</v>
      </c>
      <c r="Q516" s="51">
        <f t="shared" si="2657"/>
        <v>132.63799999999998</v>
      </c>
      <c r="R516" s="51">
        <f t="shared" si="2657"/>
        <v>68.367999999999995</v>
      </c>
      <c r="S516" s="51">
        <f t="shared" ref="S516:T516" si="2658">(B515+B516)/2</f>
        <v>221.67500000000001</v>
      </c>
      <c r="T516" s="51">
        <f t="shared" si="2658"/>
        <v>209.29</v>
      </c>
      <c r="U516" s="51">
        <f t="shared" ref="U516:U551" si="2659">(D516+D515)/2</f>
        <v>203.7</v>
      </c>
      <c r="V516" s="51">
        <f t="shared" ref="V516:W516" si="2660">(E515+E516)/2</f>
        <v>148.875</v>
      </c>
      <c r="W516" s="51">
        <f t="shared" si="2660"/>
        <v>75.91</v>
      </c>
      <c r="X516" s="51">
        <f t="shared" ref="X516:AB516" si="2661">(SUM(B513:B516))/4</f>
        <v>203.96250000000001</v>
      </c>
      <c r="Y516" s="51">
        <f t="shared" si="2661"/>
        <v>193.33250000000001</v>
      </c>
      <c r="Z516" s="51">
        <f t="shared" si="2661"/>
        <v>179.6925</v>
      </c>
      <c r="AA516" s="51">
        <f t="shared" si="2661"/>
        <v>131.94749999999999</v>
      </c>
      <c r="AB516" s="51">
        <f t="shared" si="2661"/>
        <v>67.977499999999992</v>
      </c>
      <c r="AC516" s="51">
        <f t="shared" ref="AC516:AF516" si="2662">(B516+C516)/2</f>
        <v>220.35500000000002</v>
      </c>
      <c r="AD516" s="51">
        <f t="shared" si="2662"/>
        <v>213.48000000000002</v>
      </c>
      <c r="AE516" s="51">
        <f t="shared" si="2662"/>
        <v>182.48500000000001</v>
      </c>
      <c r="AF516" s="51">
        <f t="shared" si="2662"/>
        <v>116.87</v>
      </c>
      <c r="AG516" s="57"/>
      <c r="AH516" s="57"/>
      <c r="AI516" s="57"/>
      <c r="AJ516" s="57"/>
      <c r="AK516" s="51">
        <f t="shared" si="2093"/>
        <v>107.0425</v>
      </c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8"/>
      <c r="BK516" s="8"/>
      <c r="BL516" s="8"/>
      <c r="BM516" s="8"/>
    </row>
    <row r="517" spans="1:65" ht="30" hidden="1" customHeight="1" x14ac:dyDescent="0.45">
      <c r="A517" s="55">
        <f t="shared" si="2595"/>
        <v>44498</v>
      </c>
      <c r="B517" s="56">
        <v>216.23</v>
      </c>
      <c r="C517" s="56">
        <v>202.37</v>
      </c>
      <c r="D517" s="56">
        <v>185.44</v>
      </c>
      <c r="E517" s="56">
        <v>135.4</v>
      </c>
      <c r="F517" s="56">
        <v>69.930000000000007</v>
      </c>
      <c r="G517" s="56">
        <v>186</v>
      </c>
      <c r="H517" s="51">
        <f t="shared" ref="H517:M517" si="2663">B517-B516</f>
        <v>-7.8800000000000239</v>
      </c>
      <c r="I517" s="51">
        <f t="shared" si="2663"/>
        <v>-14.22999999999999</v>
      </c>
      <c r="J517" s="51">
        <f t="shared" si="2663"/>
        <v>-24.920000000000016</v>
      </c>
      <c r="K517" s="51">
        <f t="shared" si="2663"/>
        <v>-19.210000000000008</v>
      </c>
      <c r="L517" s="51">
        <f t="shared" si="2663"/>
        <v>-9.1999999999999886</v>
      </c>
      <c r="M517" s="42">
        <f t="shared" si="2663"/>
        <v>-35.789999999999992</v>
      </c>
      <c r="N517" s="51">
        <f t="shared" ref="N517:R517" si="2664">N516</f>
        <v>206.416</v>
      </c>
      <c r="O517" s="51">
        <f t="shared" si="2664"/>
        <v>195.14000000000001</v>
      </c>
      <c r="P517" s="51">
        <f t="shared" si="2664"/>
        <v>180.84200000000001</v>
      </c>
      <c r="Q517" s="51">
        <f t="shared" si="2664"/>
        <v>132.63799999999998</v>
      </c>
      <c r="R517" s="51">
        <f t="shared" si="2664"/>
        <v>68.367999999999995</v>
      </c>
      <c r="S517" s="51">
        <f t="shared" ref="S517:T517" si="2665">(B516+B517)/2</f>
        <v>220.17000000000002</v>
      </c>
      <c r="T517" s="51">
        <f t="shared" si="2665"/>
        <v>209.48500000000001</v>
      </c>
      <c r="U517" s="51">
        <f t="shared" si="2659"/>
        <v>197.9</v>
      </c>
      <c r="V517" s="51">
        <f t="shared" ref="V517:W517" si="2666">(E516+E517)/2</f>
        <v>145.005</v>
      </c>
      <c r="W517" s="51">
        <f t="shared" si="2666"/>
        <v>74.53</v>
      </c>
      <c r="X517" s="51">
        <f t="shared" ref="X517:AB517" si="2667">(SUM(B514:B517))/4</f>
        <v>213.16000000000003</v>
      </c>
      <c r="Y517" s="51">
        <f t="shared" si="2667"/>
        <v>202.39750000000001</v>
      </c>
      <c r="Z517" s="51">
        <f t="shared" si="2667"/>
        <v>188.42750000000001</v>
      </c>
      <c r="AA517" s="51">
        <f t="shared" si="2667"/>
        <v>138.8075</v>
      </c>
      <c r="AB517" s="51">
        <f t="shared" si="2667"/>
        <v>71.532499999999999</v>
      </c>
      <c r="AC517" s="51">
        <f t="shared" ref="AC517:AF517" si="2668">(B517+C517)/2</f>
        <v>209.3</v>
      </c>
      <c r="AD517" s="51">
        <f t="shared" si="2668"/>
        <v>193.905</v>
      </c>
      <c r="AE517" s="51">
        <f t="shared" si="2668"/>
        <v>160.42000000000002</v>
      </c>
      <c r="AF517" s="51">
        <f t="shared" si="2668"/>
        <v>102.66500000000001</v>
      </c>
      <c r="AG517" s="57"/>
      <c r="AH517" s="57"/>
      <c r="AI517" s="57"/>
      <c r="AJ517" s="57"/>
      <c r="AK517" s="51">
        <f t="shared" si="2093"/>
        <v>104.4175</v>
      </c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8"/>
      <c r="BK517" s="8"/>
      <c r="BL517" s="8"/>
      <c r="BM517" s="8"/>
    </row>
    <row r="518" spans="1:65" ht="30" hidden="1" customHeight="1" x14ac:dyDescent="0.45">
      <c r="A518" s="55">
        <f t="shared" si="2595"/>
        <v>44505</v>
      </c>
      <c r="B518" s="56">
        <v>171.07</v>
      </c>
      <c r="C518" s="56">
        <v>149.5</v>
      </c>
      <c r="D518" s="56">
        <v>128.5</v>
      </c>
      <c r="E518" s="56">
        <v>89.89</v>
      </c>
      <c r="F518" s="56">
        <v>57.36</v>
      </c>
      <c r="G518" s="56">
        <v>152.78</v>
      </c>
      <c r="H518" s="51">
        <f t="shared" ref="H518:M518" si="2669">B518-B517</f>
        <v>-45.16</v>
      </c>
      <c r="I518" s="51">
        <f t="shared" si="2669"/>
        <v>-52.870000000000005</v>
      </c>
      <c r="J518" s="51">
        <f t="shared" si="2669"/>
        <v>-56.94</v>
      </c>
      <c r="K518" s="51">
        <f t="shared" si="2669"/>
        <v>-45.510000000000005</v>
      </c>
      <c r="L518" s="51">
        <f t="shared" si="2669"/>
        <v>-12.570000000000007</v>
      </c>
      <c r="M518" s="42">
        <f t="shared" si="2669"/>
        <v>-33.22</v>
      </c>
      <c r="N518" s="51">
        <f t="shared" ref="N518:R518" si="2670">AVERAGE(B518:B521)</f>
        <v>157.04750000000001</v>
      </c>
      <c r="O518" s="51">
        <f t="shared" si="2670"/>
        <v>135.9725</v>
      </c>
      <c r="P518" s="51">
        <f t="shared" si="2670"/>
        <v>115.42</v>
      </c>
      <c r="Q518" s="51">
        <f t="shared" si="2670"/>
        <v>79.342500000000001</v>
      </c>
      <c r="R518" s="51">
        <f t="shared" si="2670"/>
        <v>50.407499999999999</v>
      </c>
      <c r="S518" s="51">
        <f t="shared" ref="S518:T518" si="2671">(B517+B518)/2</f>
        <v>193.64999999999998</v>
      </c>
      <c r="T518" s="51">
        <f t="shared" si="2671"/>
        <v>175.935</v>
      </c>
      <c r="U518" s="51">
        <f t="shared" si="2659"/>
        <v>156.97</v>
      </c>
      <c r="V518" s="51">
        <f t="shared" ref="V518:W518" si="2672">(E517+E518)/2</f>
        <v>112.64500000000001</v>
      </c>
      <c r="W518" s="51">
        <f t="shared" si="2672"/>
        <v>63.645000000000003</v>
      </c>
      <c r="X518" s="51">
        <f t="shared" ref="X518:AB518" si="2673">(SUM(B515:B518))/4</f>
        <v>207.66250000000002</v>
      </c>
      <c r="Y518" s="51">
        <f t="shared" si="2673"/>
        <v>192.61250000000001</v>
      </c>
      <c r="Z518" s="51">
        <f t="shared" si="2673"/>
        <v>180.33499999999998</v>
      </c>
      <c r="AA518" s="51">
        <f t="shared" si="2673"/>
        <v>130.76</v>
      </c>
      <c r="AB518" s="51">
        <f t="shared" si="2673"/>
        <v>69.777500000000003</v>
      </c>
      <c r="AC518" s="51">
        <f t="shared" ref="AC518:AF518" si="2674">(B518+C518)/2</f>
        <v>160.285</v>
      </c>
      <c r="AD518" s="51">
        <f t="shared" si="2674"/>
        <v>139</v>
      </c>
      <c r="AE518" s="51">
        <f t="shared" si="2674"/>
        <v>109.19499999999999</v>
      </c>
      <c r="AF518" s="51">
        <f t="shared" si="2674"/>
        <v>73.625</v>
      </c>
      <c r="AG518" s="57"/>
      <c r="AH518" s="57"/>
      <c r="AI518" s="57"/>
      <c r="AJ518" s="57"/>
      <c r="AK518" s="51">
        <f t="shared" si="2093"/>
        <v>82.795000000000016</v>
      </c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8"/>
      <c r="BK518" s="8"/>
      <c r="BL518" s="8"/>
      <c r="BM518" s="8"/>
    </row>
    <row r="519" spans="1:65" ht="30" hidden="1" customHeight="1" x14ac:dyDescent="0.45">
      <c r="A519" s="55">
        <f t="shared" si="2595"/>
        <v>44512</v>
      </c>
      <c r="B519" s="56">
        <v>154.91</v>
      </c>
      <c r="C519" s="56">
        <v>136.9</v>
      </c>
      <c r="D519" s="56">
        <v>118.46</v>
      </c>
      <c r="E519" s="56">
        <v>82.74</v>
      </c>
      <c r="F519" s="56">
        <v>51.06</v>
      </c>
      <c r="G519" s="56">
        <v>156.28</v>
      </c>
      <c r="H519" s="51">
        <f t="shared" ref="H519:M519" si="2675">B519-B518</f>
        <v>-16.159999999999997</v>
      </c>
      <c r="I519" s="51">
        <f t="shared" si="2675"/>
        <v>-12.599999999999994</v>
      </c>
      <c r="J519" s="51">
        <f t="shared" si="2675"/>
        <v>-10.040000000000006</v>
      </c>
      <c r="K519" s="51">
        <f t="shared" si="2675"/>
        <v>-7.1500000000000057</v>
      </c>
      <c r="L519" s="51">
        <f t="shared" si="2675"/>
        <v>-6.2999999999999972</v>
      </c>
      <c r="M519" s="42">
        <f t="shared" si="2675"/>
        <v>3.5</v>
      </c>
      <c r="N519" s="51">
        <f t="shared" ref="N519:R519" si="2676">N518</f>
        <v>157.04750000000001</v>
      </c>
      <c r="O519" s="51">
        <f t="shared" si="2676"/>
        <v>135.9725</v>
      </c>
      <c r="P519" s="51">
        <f t="shared" si="2676"/>
        <v>115.42</v>
      </c>
      <c r="Q519" s="51">
        <f t="shared" si="2676"/>
        <v>79.342500000000001</v>
      </c>
      <c r="R519" s="51">
        <f t="shared" si="2676"/>
        <v>50.407499999999999</v>
      </c>
      <c r="S519" s="51">
        <f t="shared" ref="S519:T519" si="2677">(B518+B519)/2</f>
        <v>162.99</v>
      </c>
      <c r="T519" s="51">
        <f t="shared" si="2677"/>
        <v>143.19999999999999</v>
      </c>
      <c r="U519" s="51">
        <f t="shared" si="2659"/>
        <v>123.47999999999999</v>
      </c>
      <c r="V519" s="51">
        <f t="shared" ref="V519:W519" si="2678">(E518+E519)/2</f>
        <v>86.314999999999998</v>
      </c>
      <c r="W519" s="51">
        <f t="shared" si="2678"/>
        <v>54.21</v>
      </c>
      <c r="X519" s="51">
        <f t="shared" ref="X519:AB519" si="2679">(SUM(B516:B519))/4</f>
        <v>191.58</v>
      </c>
      <c r="Y519" s="51">
        <f t="shared" si="2679"/>
        <v>176.3425</v>
      </c>
      <c r="Z519" s="51">
        <f t="shared" si="2679"/>
        <v>160.69</v>
      </c>
      <c r="AA519" s="51">
        <f t="shared" si="2679"/>
        <v>115.66</v>
      </c>
      <c r="AB519" s="51">
        <f t="shared" si="2679"/>
        <v>64.37</v>
      </c>
      <c r="AC519" s="51">
        <f t="shared" ref="AC519:AF519" si="2680">(B519+C519)/2</f>
        <v>145.905</v>
      </c>
      <c r="AD519" s="51">
        <f t="shared" si="2680"/>
        <v>127.68</v>
      </c>
      <c r="AE519" s="51">
        <f t="shared" si="2680"/>
        <v>100.6</v>
      </c>
      <c r="AF519" s="51">
        <f t="shared" si="2680"/>
        <v>66.900000000000006</v>
      </c>
      <c r="AG519" s="57"/>
      <c r="AH519" s="57"/>
      <c r="AI519" s="57"/>
      <c r="AJ519" s="57"/>
      <c r="AK519" s="51">
        <f t="shared" si="2093"/>
        <v>64.912500000000009</v>
      </c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8"/>
      <c r="BK519" s="8"/>
      <c r="BL519" s="8"/>
      <c r="BM519" s="8"/>
    </row>
    <row r="520" spans="1:65" ht="30" hidden="1" customHeight="1" x14ac:dyDescent="0.45">
      <c r="A520" s="55">
        <f t="shared" si="2595"/>
        <v>44519</v>
      </c>
      <c r="B520" s="56">
        <v>147.55000000000001</v>
      </c>
      <c r="C520" s="56">
        <v>126.86</v>
      </c>
      <c r="D520" s="56">
        <v>106.15</v>
      </c>
      <c r="E520" s="56">
        <v>70.7</v>
      </c>
      <c r="F520" s="56">
        <v>45.71</v>
      </c>
      <c r="G520" s="56">
        <v>154.41999999999999</v>
      </c>
      <c r="H520" s="51">
        <f t="shared" ref="H520:M520" si="2681">B520-B519</f>
        <v>-7.3599999999999852</v>
      </c>
      <c r="I520" s="51">
        <f t="shared" si="2681"/>
        <v>-10.040000000000006</v>
      </c>
      <c r="J520" s="51">
        <f t="shared" si="2681"/>
        <v>-12.309999999999988</v>
      </c>
      <c r="K520" s="51">
        <f t="shared" si="2681"/>
        <v>-12.039999999999992</v>
      </c>
      <c r="L520" s="51">
        <f t="shared" si="2681"/>
        <v>-5.3500000000000014</v>
      </c>
      <c r="M520" s="42">
        <f t="shared" si="2681"/>
        <v>-1.8600000000000136</v>
      </c>
      <c r="N520" s="51">
        <f t="shared" ref="N520:R520" si="2682">N519</f>
        <v>157.04750000000001</v>
      </c>
      <c r="O520" s="51">
        <f t="shared" si="2682"/>
        <v>135.9725</v>
      </c>
      <c r="P520" s="51">
        <f t="shared" si="2682"/>
        <v>115.42</v>
      </c>
      <c r="Q520" s="51">
        <f t="shared" si="2682"/>
        <v>79.342500000000001</v>
      </c>
      <c r="R520" s="51">
        <f t="shared" si="2682"/>
        <v>50.407499999999999</v>
      </c>
      <c r="S520" s="51">
        <f t="shared" ref="S520:T520" si="2683">(B519+B520)/2</f>
        <v>151.23000000000002</v>
      </c>
      <c r="T520" s="51">
        <f t="shared" si="2683"/>
        <v>131.88</v>
      </c>
      <c r="U520" s="51">
        <f t="shared" si="2659"/>
        <v>112.30500000000001</v>
      </c>
      <c r="V520" s="51">
        <f t="shared" ref="V520:W520" si="2684">(E519+E520)/2</f>
        <v>76.72</v>
      </c>
      <c r="W520" s="51">
        <f t="shared" si="2684"/>
        <v>48.385000000000005</v>
      </c>
      <c r="X520" s="51">
        <f t="shared" ref="X520:AB520" si="2685">(SUM(B517:B520))/4</f>
        <v>172.44</v>
      </c>
      <c r="Y520" s="51">
        <f t="shared" si="2685"/>
        <v>153.9075</v>
      </c>
      <c r="Z520" s="51">
        <f t="shared" si="2685"/>
        <v>134.63749999999999</v>
      </c>
      <c r="AA520" s="51">
        <f t="shared" si="2685"/>
        <v>94.682500000000005</v>
      </c>
      <c r="AB520" s="51">
        <f t="shared" si="2685"/>
        <v>56.015000000000008</v>
      </c>
      <c r="AC520" s="51">
        <f t="shared" ref="AC520:AF520" si="2686">(B520+C520)/2</f>
        <v>137.20500000000001</v>
      </c>
      <c r="AD520" s="51">
        <f t="shared" si="2686"/>
        <v>116.505</v>
      </c>
      <c r="AE520" s="51">
        <f t="shared" si="2686"/>
        <v>88.425000000000011</v>
      </c>
      <c r="AF520" s="51">
        <f t="shared" si="2686"/>
        <v>58.204999999999998</v>
      </c>
      <c r="AG520" s="57"/>
      <c r="AH520" s="57"/>
      <c r="AI520" s="57"/>
      <c r="AJ520" s="57"/>
      <c r="AK520" s="51">
        <f t="shared" si="2093"/>
        <v>57.202500000000001</v>
      </c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8"/>
      <c r="BK520" s="8"/>
      <c r="BL520" s="8"/>
      <c r="BM520" s="8"/>
    </row>
    <row r="521" spans="1:65" ht="30" hidden="1" customHeight="1" x14ac:dyDescent="0.45">
      <c r="A521" s="55">
        <f t="shared" si="2595"/>
        <v>44526</v>
      </c>
      <c r="B521" s="56">
        <v>154.66</v>
      </c>
      <c r="C521" s="56">
        <v>130.63</v>
      </c>
      <c r="D521" s="56">
        <v>108.57</v>
      </c>
      <c r="E521" s="56">
        <v>74.040000000000006</v>
      </c>
      <c r="F521" s="56">
        <v>47.5</v>
      </c>
      <c r="G521" s="56">
        <v>173.23</v>
      </c>
      <c r="H521" s="51">
        <f t="shared" ref="H521:M521" si="2687">B521-B520</f>
        <v>7.1099999999999852</v>
      </c>
      <c r="I521" s="51">
        <f t="shared" si="2687"/>
        <v>3.769999999999996</v>
      </c>
      <c r="J521" s="51">
        <f t="shared" si="2687"/>
        <v>2.4199999999999875</v>
      </c>
      <c r="K521" s="51">
        <f t="shared" si="2687"/>
        <v>3.3400000000000034</v>
      </c>
      <c r="L521" s="51">
        <f t="shared" si="2687"/>
        <v>1.7899999999999991</v>
      </c>
      <c r="M521" s="42">
        <f t="shared" si="2687"/>
        <v>18.810000000000002</v>
      </c>
      <c r="N521" s="51">
        <f t="shared" ref="N521:R521" si="2688">N520</f>
        <v>157.04750000000001</v>
      </c>
      <c r="O521" s="51">
        <f t="shared" si="2688"/>
        <v>135.9725</v>
      </c>
      <c r="P521" s="51">
        <f t="shared" si="2688"/>
        <v>115.42</v>
      </c>
      <c r="Q521" s="51">
        <f t="shared" si="2688"/>
        <v>79.342500000000001</v>
      </c>
      <c r="R521" s="51">
        <f t="shared" si="2688"/>
        <v>50.407499999999999</v>
      </c>
      <c r="S521" s="51">
        <f t="shared" ref="S521:T521" si="2689">(B520+B521)/2</f>
        <v>151.10500000000002</v>
      </c>
      <c r="T521" s="51">
        <f t="shared" si="2689"/>
        <v>128.745</v>
      </c>
      <c r="U521" s="51">
        <f t="shared" si="2659"/>
        <v>107.36</v>
      </c>
      <c r="V521" s="51">
        <f t="shared" ref="V521:W521" si="2690">(E520+E521)/2</f>
        <v>72.37</v>
      </c>
      <c r="W521" s="51">
        <f t="shared" si="2690"/>
        <v>46.605000000000004</v>
      </c>
      <c r="X521" s="51">
        <f t="shared" ref="X521:AB521" si="2691">(SUM(B518:B521))/4</f>
        <v>157.04750000000001</v>
      </c>
      <c r="Y521" s="51">
        <f t="shared" si="2691"/>
        <v>135.9725</v>
      </c>
      <c r="Z521" s="51">
        <f t="shared" si="2691"/>
        <v>115.42</v>
      </c>
      <c r="AA521" s="51">
        <f t="shared" si="2691"/>
        <v>79.342500000000001</v>
      </c>
      <c r="AB521" s="51">
        <f t="shared" si="2691"/>
        <v>50.407499999999999</v>
      </c>
      <c r="AC521" s="51">
        <f t="shared" ref="AC521:AF521" si="2692">(B521+C521)/2</f>
        <v>142.64499999999998</v>
      </c>
      <c r="AD521" s="51">
        <f t="shared" si="2692"/>
        <v>119.6</v>
      </c>
      <c r="AE521" s="51">
        <f t="shared" si="2692"/>
        <v>91.305000000000007</v>
      </c>
      <c r="AF521" s="51">
        <f t="shared" si="2692"/>
        <v>60.77</v>
      </c>
      <c r="AG521" s="57"/>
      <c r="AH521" s="57"/>
      <c r="AI521" s="57"/>
      <c r="AJ521" s="57"/>
      <c r="AK521" s="51">
        <f t="shared" si="2093"/>
        <v>54.137500000000003</v>
      </c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8"/>
      <c r="BK521" s="8"/>
      <c r="BL521" s="8"/>
      <c r="BM521" s="8"/>
    </row>
    <row r="522" spans="1:65" ht="30" hidden="1" customHeight="1" x14ac:dyDescent="0.45">
      <c r="A522" s="55">
        <f t="shared" si="2595"/>
        <v>44533</v>
      </c>
      <c r="B522" s="56">
        <v>149.76</v>
      </c>
      <c r="C522" s="56">
        <v>129.44</v>
      </c>
      <c r="D522" s="56">
        <v>103.93</v>
      </c>
      <c r="E522" s="56">
        <v>70.58</v>
      </c>
      <c r="F522" s="56">
        <v>45.88</v>
      </c>
      <c r="G522" s="56">
        <v>159.76</v>
      </c>
      <c r="H522" s="51">
        <f t="shared" ref="H522:M522" si="2693">B522-B521</f>
        <v>-4.9000000000000057</v>
      </c>
      <c r="I522" s="51">
        <f t="shared" si="2693"/>
        <v>-1.1899999999999977</v>
      </c>
      <c r="J522" s="51">
        <f t="shared" si="2693"/>
        <v>-4.6399999999999864</v>
      </c>
      <c r="K522" s="51">
        <f t="shared" si="2693"/>
        <v>-3.460000000000008</v>
      </c>
      <c r="L522" s="51">
        <f t="shared" si="2693"/>
        <v>-1.6199999999999974</v>
      </c>
      <c r="M522" s="42">
        <f t="shared" si="2693"/>
        <v>-13.469999999999999</v>
      </c>
      <c r="N522" s="51">
        <f t="shared" ref="N522:R522" si="2694">AVERAGE(B522:B526)</f>
        <v>150.95400000000001</v>
      </c>
      <c r="O522" s="51">
        <f t="shared" si="2694"/>
        <v>125.268</v>
      </c>
      <c r="P522" s="51">
        <f t="shared" si="2694"/>
        <v>98.38</v>
      </c>
      <c r="Q522" s="51">
        <f t="shared" si="2694"/>
        <v>65.518000000000001</v>
      </c>
      <c r="R522" s="51">
        <f t="shared" si="2694"/>
        <v>44.10799999999999</v>
      </c>
      <c r="S522" s="51">
        <f t="shared" ref="S522:T522" si="2695">(B521+B522)/2</f>
        <v>152.20999999999998</v>
      </c>
      <c r="T522" s="51">
        <f t="shared" si="2695"/>
        <v>130.035</v>
      </c>
      <c r="U522" s="51">
        <f t="shared" si="2659"/>
        <v>106.25</v>
      </c>
      <c r="V522" s="51">
        <f t="shared" ref="V522:W522" si="2696">(E521+E522)/2</f>
        <v>72.31</v>
      </c>
      <c r="W522" s="51">
        <f t="shared" si="2696"/>
        <v>46.69</v>
      </c>
      <c r="X522" s="51">
        <f t="shared" ref="X522:AB522" si="2697">(SUM(B519:B522))/4</f>
        <v>151.72</v>
      </c>
      <c r="Y522" s="51">
        <f t="shared" si="2697"/>
        <v>130.95749999999998</v>
      </c>
      <c r="Z522" s="51">
        <f t="shared" si="2697"/>
        <v>109.2775</v>
      </c>
      <c r="AA522" s="51">
        <f t="shared" si="2697"/>
        <v>74.515000000000001</v>
      </c>
      <c r="AB522" s="51">
        <f t="shared" si="2697"/>
        <v>47.537500000000001</v>
      </c>
      <c r="AC522" s="51">
        <f t="shared" ref="AC522:AF522" si="2698">(B522+C522)/2</f>
        <v>139.6</v>
      </c>
      <c r="AD522" s="51">
        <f t="shared" si="2698"/>
        <v>116.685</v>
      </c>
      <c r="AE522" s="51">
        <f t="shared" si="2698"/>
        <v>87.254999999999995</v>
      </c>
      <c r="AF522" s="51">
        <f t="shared" si="2698"/>
        <v>58.230000000000004</v>
      </c>
      <c r="AG522" s="57"/>
      <c r="AH522" s="57"/>
      <c r="AI522" s="57"/>
      <c r="AJ522" s="57"/>
      <c r="AK522" s="51">
        <f t="shared" si="2093"/>
        <v>54.15</v>
      </c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8"/>
      <c r="BK522" s="8"/>
      <c r="BL522" s="8"/>
      <c r="BM522" s="8"/>
    </row>
    <row r="523" spans="1:65" ht="30" hidden="1" customHeight="1" x14ac:dyDescent="0.45">
      <c r="A523" s="55">
        <f t="shared" si="2595"/>
        <v>44540</v>
      </c>
      <c r="B523" s="56">
        <v>149.54</v>
      </c>
      <c r="C523" s="56">
        <v>126.66</v>
      </c>
      <c r="D523" s="56">
        <v>100.32</v>
      </c>
      <c r="E523" s="56">
        <v>65.94</v>
      </c>
      <c r="F523" s="56">
        <v>45.31</v>
      </c>
      <c r="G523" s="56">
        <v>157.65</v>
      </c>
      <c r="H523" s="51">
        <f t="shared" ref="H523:M523" si="2699">B523-B522</f>
        <v>-0.21999999999999886</v>
      </c>
      <c r="I523" s="51">
        <f t="shared" si="2699"/>
        <v>-2.7800000000000011</v>
      </c>
      <c r="J523" s="51">
        <f t="shared" si="2699"/>
        <v>-3.6100000000000136</v>
      </c>
      <c r="K523" s="51">
        <f t="shared" si="2699"/>
        <v>-4.6400000000000006</v>
      </c>
      <c r="L523" s="51">
        <f t="shared" si="2699"/>
        <v>-0.57000000000000028</v>
      </c>
      <c r="M523" s="42">
        <f t="shared" si="2699"/>
        <v>-2.1099999999999852</v>
      </c>
      <c r="N523" s="51">
        <f t="shared" ref="N523:R523" si="2700">N522</f>
        <v>150.95400000000001</v>
      </c>
      <c r="O523" s="51">
        <f t="shared" si="2700"/>
        <v>125.268</v>
      </c>
      <c r="P523" s="51">
        <f t="shared" si="2700"/>
        <v>98.38</v>
      </c>
      <c r="Q523" s="51">
        <f t="shared" si="2700"/>
        <v>65.518000000000001</v>
      </c>
      <c r="R523" s="51">
        <f t="shared" si="2700"/>
        <v>44.10799999999999</v>
      </c>
      <c r="S523" s="51">
        <f t="shared" ref="S523:T523" si="2701">(B522+B523)/2</f>
        <v>149.64999999999998</v>
      </c>
      <c r="T523" s="51">
        <f t="shared" si="2701"/>
        <v>128.05000000000001</v>
      </c>
      <c r="U523" s="51">
        <f t="shared" si="2659"/>
        <v>102.125</v>
      </c>
      <c r="V523" s="51">
        <f t="shared" ref="V523:W523" si="2702">(E522+E523)/2</f>
        <v>68.259999999999991</v>
      </c>
      <c r="W523" s="51">
        <f t="shared" si="2702"/>
        <v>45.594999999999999</v>
      </c>
      <c r="X523" s="51">
        <f t="shared" ref="X523:AB523" si="2703">(SUM(B520:B523))/4</f>
        <v>150.3775</v>
      </c>
      <c r="Y523" s="51">
        <f t="shared" si="2703"/>
        <v>128.39750000000001</v>
      </c>
      <c r="Z523" s="51">
        <f t="shared" si="2703"/>
        <v>104.74249999999999</v>
      </c>
      <c r="AA523" s="51">
        <f t="shared" si="2703"/>
        <v>70.314999999999998</v>
      </c>
      <c r="AB523" s="51">
        <f t="shared" si="2703"/>
        <v>46.1</v>
      </c>
      <c r="AC523" s="51">
        <f t="shared" ref="AC523:AF523" si="2704">(B523+C523)/2</f>
        <v>138.1</v>
      </c>
      <c r="AD523" s="51">
        <f t="shared" si="2704"/>
        <v>113.49</v>
      </c>
      <c r="AE523" s="51">
        <f t="shared" si="2704"/>
        <v>83.13</v>
      </c>
      <c r="AF523" s="51">
        <f t="shared" si="2704"/>
        <v>55.625</v>
      </c>
      <c r="AG523" s="57"/>
      <c r="AH523" s="57"/>
      <c r="AI523" s="57"/>
      <c r="AJ523" s="57"/>
      <c r="AK523" s="51">
        <f t="shared" si="2093"/>
        <v>51.577499999999993</v>
      </c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8"/>
      <c r="BK523" s="8"/>
      <c r="BL523" s="8"/>
      <c r="BM523" s="8"/>
    </row>
    <row r="524" spans="1:65" ht="30" hidden="1" customHeight="1" x14ac:dyDescent="0.45">
      <c r="A524" s="55">
        <f t="shared" si="2595"/>
        <v>44547</v>
      </c>
      <c r="B524" s="56">
        <v>150.97999999999999</v>
      </c>
      <c r="C524" s="56">
        <v>123.84</v>
      </c>
      <c r="D524" s="56">
        <v>98.2</v>
      </c>
      <c r="E524" s="56">
        <v>65.77</v>
      </c>
      <c r="F524" s="56">
        <v>43.89</v>
      </c>
      <c r="G524" s="56">
        <v>181.63</v>
      </c>
      <c r="H524" s="51">
        <f t="shared" ref="H524:M524" si="2705">B524-B523</f>
        <v>1.4399999999999977</v>
      </c>
      <c r="I524" s="51">
        <f t="shared" si="2705"/>
        <v>-2.8199999999999932</v>
      </c>
      <c r="J524" s="51">
        <f t="shared" si="2705"/>
        <v>-2.1199999999999903</v>
      </c>
      <c r="K524" s="51">
        <f t="shared" si="2705"/>
        <v>-0.17000000000000171</v>
      </c>
      <c r="L524" s="51">
        <f t="shared" si="2705"/>
        <v>-1.4200000000000017</v>
      </c>
      <c r="M524" s="42">
        <f t="shared" si="2705"/>
        <v>23.97999999999999</v>
      </c>
      <c r="N524" s="51">
        <f t="shared" ref="N524:R524" si="2706">N523</f>
        <v>150.95400000000001</v>
      </c>
      <c r="O524" s="51">
        <f t="shared" si="2706"/>
        <v>125.268</v>
      </c>
      <c r="P524" s="51">
        <f t="shared" si="2706"/>
        <v>98.38</v>
      </c>
      <c r="Q524" s="51">
        <f t="shared" si="2706"/>
        <v>65.518000000000001</v>
      </c>
      <c r="R524" s="51">
        <f t="shared" si="2706"/>
        <v>44.10799999999999</v>
      </c>
      <c r="S524" s="51">
        <f t="shared" ref="S524:T524" si="2707">(B523+B524)/2</f>
        <v>150.26</v>
      </c>
      <c r="T524" s="51">
        <f t="shared" si="2707"/>
        <v>125.25</v>
      </c>
      <c r="U524" s="51">
        <f t="shared" si="2659"/>
        <v>99.259999999999991</v>
      </c>
      <c r="V524" s="51">
        <f t="shared" ref="V524:W524" si="2708">(E523+E524)/2</f>
        <v>65.85499999999999</v>
      </c>
      <c r="W524" s="51">
        <f t="shared" si="2708"/>
        <v>44.6</v>
      </c>
      <c r="X524" s="51">
        <f t="shared" ref="X524:AB524" si="2709">(SUM(B521:B524))/4</f>
        <v>151.23499999999999</v>
      </c>
      <c r="Y524" s="51">
        <f t="shared" si="2709"/>
        <v>127.64250000000001</v>
      </c>
      <c r="Z524" s="51">
        <f t="shared" si="2709"/>
        <v>102.755</v>
      </c>
      <c r="AA524" s="51">
        <f t="shared" si="2709"/>
        <v>69.082499999999996</v>
      </c>
      <c r="AB524" s="51">
        <f t="shared" si="2709"/>
        <v>45.644999999999996</v>
      </c>
      <c r="AC524" s="51">
        <f t="shared" ref="AC524:AF524" si="2710">(B524+C524)/2</f>
        <v>137.41</v>
      </c>
      <c r="AD524" s="51">
        <f t="shared" si="2710"/>
        <v>111.02000000000001</v>
      </c>
      <c r="AE524" s="51">
        <f t="shared" si="2710"/>
        <v>81.984999999999999</v>
      </c>
      <c r="AF524" s="51">
        <f t="shared" si="2710"/>
        <v>54.83</v>
      </c>
      <c r="AG524" s="57"/>
      <c r="AH524" s="57"/>
      <c r="AI524" s="57"/>
      <c r="AJ524" s="57"/>
      <c r="AK524" s="51">
        <f t="shared" si="2093"/>
        <v>49.877499999999991</v>
      </c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8"/>
      <c r="BK524" s="8"/>
      <c r="BL524" s="8"/>
      <c r="BM524" s="8"/>
    </row>
    <row r="525" spans="1:65" ht="30" hidden="1" customHeight="1" x14ac:dyDescent="0.45">
      <c r="A525" s="55">
        <f t="shared" si="2595"/>
        <v>44554</v>
      </c>
      <c r="B525" s="56">
        <v>153.43</v>
      </c>
      <c r="C525" s="56">
        <v>124.49</v>
      </c>
      <c r="D525" s="56">
        <v>95.73</v>
      </c>
      <c r="E525" s="56">
        <v>64.7</v>
      </c>
      <c r="F525" s="56">
        <v>43.7</v>
      </c>
      <c r="G525" s="56">
        <v>186.24</v>
      </c>
      <c r="H525" s="51">
        <f t="shared" ref="H525:M525" si="2711">B525-B524</f>
        <v>2.4500000000000171</v>
      </c>
      <c r="I525" s="51">
        <f t="shared" si="2711"/>
        <v>0.64999999999999147</v>
      </c>
      <c r="J525" s="51">
        <f t="shared" si="2711"/>
        <v>-2.4699999999999989</v>
      </c>
      <c r="K525" s="51">
        <f t="shared" si="2711"/>
        <v>-1.0699999999999932</v>
      </c>
      <c r="L525" s="51">
        <f t="shared" si="2711"/>
        <v>-0.18999999999999773</v>
      </c>
      <c r="M525" s="42">
        <f t="shared" si="2711"/>
        <v>4.6100000000000136</v>
      </c>
      <c r="N525" s="51">
        <f t="shared" ref="N525:R525" si="2712">N524</f>
        <v>150.95400000000001</v>
      </c>
      <c r="O525" s="51">
        <f t="shared" si="2712"/>
        <v>125.268</v>
      </c>
      <c r="P525" s="51">
        <f t="shared" si="2712"/>
        <v>98.38</v>
      </c>
      <c r="Q525" s="51">
        <f t="shared" si="2712"/>
        <v>65.518000000000001</v>
      </c>
      <c r="R525" s="51">
        <f t="shared" si="2712"/>
        <v>44.10799999999999</v>
      </c>
      <c r="S525" s="51">
        <f t="shared" ref="S525:T525" si="2713">(B524+B525)/2</f>
        <v>152.20499999999998</v>
      </c>
      <c r="T525" s="51">
        <f t="shared" si="2713"/>
        <v>124.16499999999999</v>
      </c>
      <c r="U525" s="51">
        <f t="shared" si="2659"/>
        <v>96.965000000000003</v>
      </c>
      <c r="V525" s="51">
        <f t="shared" ref="V525:W525" si="2714">(E524+E525)/2</f>
        <v>65.234999999999999</v>
      </c>
      <c r="W525" s="51">
        <f t="shared" si="2714"/>
        <v>43.795000000000002</v>
      </c>
      <c r="X525" s="51">
        <f t="shared" ref="X525:AB525" si="2715">(SUM(B522:B525))/4</f>
        <v>150.92750000000001</v>
      </c>
      <c r="Y525" s="51">
        <f t="shared" si="2715"/>
        <v>126.10750000000002</v>
      </c>
      <c r="Z525" s="51">
        <f t="shared" si="2715"/>
        <v>99.545000000000002</v>
      </c>
      <c r="AA525" s="51">
        <f t="shared" si="2715"/>
        <v>66.747499999999988</v>
      </c>
      <c r="AB525" s="51">
        <f t="shared" si="2715"/>
        <v>44.694999999999993</v>
      </c>
      <c r="AC525" s="51">
        <f t="shared" ref="AC525:AF525" si="2716">(B525+C525)/2</f>
        <v>138.96</v>
      </c>
      <c r="AD525" s="51">
        <f t="shared" si="2716"/>
        <v>110.11</v>
      </c>
      <c r="AE525" s="51">
        <f t="shared" si="2716"/>
        <v>80.215000000000003</v>
      </c>
      <c r="AF525" s="51">
        <f t="shared" si="2716"/>
        <v>54.2</v>
      </c>
      <c r="AG525" s="57"/>
      <c r="AH525" s="57"/>
      <c r="AI525" s="57"/>
      <c r="AJ525" s="57"/>
      <c r="AK525" s="51">
        <f t="shared" si="2093"/>
        <v>49.164999999999999</v>
      </c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8"/>
      <c r="BK525" s="8"/>
      <c r="BL525" s="8"/>
      <c r="BM525" s="8"/>
    </row>
    <row r="526" spans="1:65" ht="30" hidden="1" customHeight="1" x14ac:dyDescent="0.45">
      <c r="A526" s="60">
        <f t="shared" si="2595"/>
        <v>44561</v>
      </c>
      <c r="B526" s="56">
        <v>151.06</v>
      </c>
      <c r="C526" s="56">
        <v>121.91</v>
      </c>
      <c r="D526" s="56">
        <v>93.72</v>
      </c>
      <c r="E526" s="56">
        <v>60.6</v>
      </c>
      <c r="F526" s="56">
        <v>41.76</v>
      </c>
      <c r="G526" s="56">
        <v>165.86</v>
      </c>
      <c r="H526" s="51">
        <f t="shared" ref="H526:M526" si="2717">B526-B525</f>
        <v>-2.3700000000000045</v>
      </c>
      <c r="I526" s="51">
        <f t="shared" si="2717"/>
        <v>-2.5799999999999983</v>
      </c>
      <c r="J526" s="51">
        <f t="shared" si="2717"/>
        <v>-2.0100000000000051</v>
      </c>
      <c r="K526" s="51">
        <f t="shared" si="2717"/>
        <v>-4.1000000000000014</v>
      </c>
      <c r="L526" s="51">
        <f t="shared" si="2717"/>
        <v>-1.9400000000000048</v>
      </c>
      <c r="M526" s="42">
        <f t="shared" si="2717"/>
        <v>-20.379999999999995</v>
      </c>
      <c r="N526" s="51">
        <f t="shared" ref="N526:R526" si="2718">N525</f>
        <v>150.95400000000001</v>
      </c>
      <c r="O526" s="51">
        <f t="shared" si="2718"/>
        <v>125.268</v>
      </c>
      <c r="P526" s="51">
        <f t="shared" si="2718"/>
        <v>98.38</v>
      </c>
      <c r="Q526" s="51">
        <f t="shared" si="2718"/>
        <v>65.518000000000001</v>
      </c>
      <c r="R526" s="51">
        <f t="shared" si="2718"/>
        <v>44.10799999999999</v>
      </c>
      <c r="S526" s="51">
        <f t="shared" ref="S526:T526" si="2719">(B525+B526)/2</f>
        <v>152.245</v>
      </c>
      <c r="T526" s="51">
        <f t="shared" si="2719"/>
        <v>123.19999999999999</v>
      </c>
      <c r="U526" s="51">
        <f t="shared" si="2659"/>
        <v>94.724999999999994</v>
      </c>
      <c r="V526" s="51">
        <f t="shared" ref="V526:W526" si="2720">(E525+E526)/2</f>
        <v>62.650000000000006</v>
      </c>
      <c r="W526" s="51">
        <f t="shared" si="2720"/>
        <v>42.730000000000004</v>
      </c>
      <c r="X526" s="51">
        <f t="shared" ref="X526:AB526" si="2721">(SUM(B523:B526))/4</f>
        <v>151.2525</v>
      </c>
      <c r="Y526" s="51">
        <f t="shared" si="2721"/>
        <v>124.22499999999999</v>
      </c>
      <c r="Z526" s="51">
        <f t="shared" si="2721"/>
        <v>96.992500000000007</v>
      </c>
      <c r="AA526" s="51">
        <f t="shared" si="2721"/>
        <v>64.252499999999998</v>
      </c>
      <c r="AB526" s="51">
        <f t="shared" si="2721"/>
        <v>43.664999999999999</v>
      </c>
      <c r="AC526" s="51">
        <f t="shared" ref="AC526:AF526" si="2722">(B526+C526)/2</f>
        <v>136.48500000000001</v>
      </c>
      <c r="AD526" s="51">
        <f t="shared" si="2722"/>
        <v>107.815</v>
      </c>
      <c r="AE526" s="51">
        <f t="shared" si="2722"/>
        <v>77.16</v>
      </c>
      <c r="AF526" s="51">
        <f t="shared" si="2722"/>
        <v>51.18</v>
      </c>
      <c r="AG526" s="57"/>
      <c r="AH526" s="57"/>
      <c r="AI526" s="57"/>
      <c r="AJ526" s="57"/>
      <c r="AK526" s="51">
        <f t="shared" si="2093"/>
        <v>47.34</v>
      </c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8"/>
      <c r="BK526" s="8"/>
      <c r="BL526" s="8"/>
      <c r="BM526" s="8"/>
    </row>
    <row r="527" spans="1:65" ht="30" hidden="1" customHeight="1" x14ac:dyDescent="0.45">
      <c r="A527" s="55">
        <f t="shared" si="2595"/>
        <v>44568</v>
      </c>
      <c r="B527" s="56">
        <v>154.91999999999999</v>
      </c>
      <c r="C527" s="56">
        <v>122.71</v>
      </c>
      <c r="D527" s="56">
        <v>93.01</v>
      </c>
      <c r="E527" s="56">
        <v>60.97</v>
      </c>
      <c r="F527" s="56">
        <v>42.43</v>
      </c>
      <c r="G527" s="56">
        <v>201.54</v>
      </c>
      <c r="H527" s="51">
        <f t="shared" ref="H527:M527" si="2723">B527-B526</f>
        <v>3.8599999999999852</v>
      </c>
      <c r="I527" s="51">
        <f t="shared" si="2723"/>
        <v>0.79999999999999716</v>
      </c>
      <c r="J527" s="51">
        <f t="shared" si="2723"/>
        <v>-0.70999999999999375</v>
      </c>
      <c r="K527" s="51">
        <f t="shared" si="2723"/>
        <v>0.36999999999999744</v>
      </c>
      <c r="L527" s="51">
        <f t="shared" si="2723"/>
        <v>0.67000000000000171</v>
      </c>
      <c r="M527" s="42">
        <f t="shared" si="2723"/>
        <v>35.679999999999978</v>
      </c>
      <c r="N527" s="51">
        <f t="shared" ref="N527:R527" si="2724">AVERAGE(B527:B530)</f>
        <v>158.73249999999999</v>
      </c>
      <c r="O527" s="51">
        <f t="shared" si="2724"/>
        <v>126.0825</v>
      </c>
      <c r="P527" s="51">
        <f t="shared" si="2724"/>
        <v>96.174999999999997</v>
      </c>
      <c r="Q527" s="51">
        <f t="shared" si="2724"/>
        <v>61.795000000000002</v>
      </c>
      <c r="R527" s="51">
        <f t="shared" si="2724"/>
        <v>43.882499999999993</v>
      </c>
      <c r="S527" s="51">
        <f t="shared" ref="S527:T527" si="2725">(B526+B527)/2</f>
        <v>152.99</v>
      </c>
      <c r="T527" s="51">
        <f t="shared" si="2725"/>
        <v>122.31</v>
      </c>
      <c r="U527" s="51">
        <f t="shared" si="2659"/>
        <v>93.365000000000009</v>
      </c>
      <c r="V527" s="51">
        <f t="shared" ref="V527:W527" si="2726">(E526+E527)/2</f>
        <v>60.784999999999997</v>
      </c>
      <c r="W527" s="51">
        <f t="shared" si="2726"/>
        <v>42.094999999999999</v>
      </c>
      <c r="X527" s="51">
        <f t="shared" ref="X527:AB527" si="2727">(SUM(B524:B527))/4</f>
        <v>152.5975</v>
      </c>
      <c r="Y527" s="51">
        <f t="shared" si="2727"/>
        <v>123.2375</v>
      </c>
      <c r="Z527" s="51">
        <f t="shared" si="2727"/>
        <v>95.164999999999992</v>
      </c>
      <c r="AA527" s="51">
        <f t="shared" si="2727"/>
        <v>63.01</v>
      </c>
      <c r="AB527" s="51">
        <f t="shared" si="2727"/>
        <v>42.945</v>
      </c>
      <c r="AC527" s="51">
        <f t="shared" ref="AC527:AF527" si="2728">(B527+C527)/2</f>
        <v>138.815</v>
      </c>
      <c r="AD527" s="51">
        <f t="shared" si="2728"/>
        <v>107.86</v>
      </c>
      <c r="AE527" s="51">
        <f t="shared" si="2728"/>
        <v>76.990000000000009</v>
      </c>
      <c r="AF527" s="51">
        <f t="shared" si="2728"/>
        <v>51.7</v>
      </c>
      <c r="AG527" s="57"/>
      <c r="AH527" s="57"/>
      <c r="AI527" s="57"/>
      <c r="AJ527" s="57"/>
      <c r="AK527" s="51">
        <f t="shared" si="2093"/>
        <v>46.089999999999996</v>
      </c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8"/>
      <c r="BK527" s="8"/>
      <c r="BL527" s="8"/>
      <c r="BM527" s="8"/>
    </row>
    <row r="528" spans="1:65" ht="30" hidden="1" customHeight="1" x14ac:dyDescent="0.45">
      <c r="A528" s="55">
        <f t="shared" si="2595"/>
        <v>44575</v>
      </c>
      <c r="B528" s="56">
        <v>155.91</v>
      </c>
      <c r="C528" s="56">
        <v>123.42</v>
      </c>
      <c r="D528" s="56">
        <v>93.37</v>
      </c>
      <c r="E528" s="56">
        <v>58.15</v>
      </c>
      <c r="F528" s="56">
        <v>43.36</v>
      </c>
      <c r="G528" s="56">
        <v>217.71</v>
      </c>
      <c r="H528" s="51">
        <f t="shared" ref="H528:M528" si="2729">B528-B527</f>
        <v>0.99000000000000909</v>
      </c>
      <c r="I528" s="51">
        <f t="shared" si="2729"/>
        <v>0.71000000000000796</v>
      </c>
      <c r="J528" s="51">
        <f t="shared" si="2729"/>
        <v>0.35999999999999943</v>
      </c>
      <c r="K528" s="51">
        <f t="shared" si="2729"/>
        <v>-2.8200000000000003</v>
      </c>
      <c r="L528" s="51">
        <f t="shared" si="2729"/>
        <v>0.92999999999999972</v>
      </c>
      <c r="M528" s="42">
        <f t="shared" si="2729"/>
        <v>16.170000000000016</v>
      </c>
      <c r="N528" s="51">
        <f t="shared" ref="N528:R528" si="2730">N527</f>
        <v>158.73249999999999</v>
      </c>
      <c r="O528" s="51">
        <f t="shared" si="2730"/>
        <v>126.0825</v>
      </c>
      <c r="P528" s="51">
        <f t="shared" si="2730"/>
        <v>96.174999999999997</v>
      </c>
      <c r="Q528" s="51">
        <f t="shared" si="2730"/>
        <v>61.795000000000002</v>
      </c>
      <c r="R528" s="51">
        <f t="shared" si="2730"/>
        <v>43.882499999999993</v>
      </c>
      <c r="S528" s="51">
        <f t="shared" ref="S528:T528" si="2731">(B527+B528)/2</f>
        <v>155.41499999999999</v>
      </c>
      <c r="T528" s="51">
        <f t="shared" si="2731"/>
        <v>123.065</v>
      </c>
      <c r="U528" s="51">
        <f t="shared" si="2659"/>
        <v>93.19</v>
      </c>
      <c r="V528" s="51">
        <f t="shared" ref="V528:W528" si="2732">(E527+E528)/2</f>
        <v>59.56</v>
      </c>
      <c r="W528" s="51">
        <f t="shared" si="2732"/>
        <v>42.894999999999996</v>
      </c>
      <c r="X528" s="51">
        <f t="shared" ref="X528:AB528" si="2733">(SUM(B525:B528))/4</f>
        <v>153.82999999999998</v>
      </c>
      <c r="Y528" s="51">
        <f t="shared" si="2733"/>
        <v>123.13249999999999</v>
      </c>
      <c r="Z528" s="51">
        <f t="shared" si="2733"/>
        <v>93.957499999999996</v>
      </c>
      <c r="AA528" s="51">
        <f t="shared" si="2733"/>
        <v>61.105000000000004</v>
      </c>
      <c r="AB528" s="51">
        <f t="shared" si="2733"/>
        <v>42.8125</v>
      </c>
      <c r="AC528" s="51">
        <f t="shared" ref="AC528:AF528" si="2734">(B528+C528)/2</f>
        <v>139.66499999999999</v>
      </c>
      <c r="AD528" s="51">
        <f t="shared" si="2734"/>
        <v>108.39500000000001</v>
      </c>
      <c r="AE528" s="51">
        <f t="shared" si="2734"/>
        <v>75.760000000000005</v>
      </c>
      <c r="AF528" s="51">
        <f t="shared" si="2734"/>
        <v>50.754999999999995</v>
      </c>
      <c r="AG528" s="57"/>
      <c r="AH528" s="57"/>
      <c r="AI528" s="57"/>
      <c r="AJ528" s="57"/>
      <c r="AK528" s="51">
        <f t="shared" si="2093"/>
        <v>45.877499999999998</v>
      </c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8"/>
      <c r="BK528" s="8"/>
      <c r="BL528" s="8"/>
      <c r="BM528" s="8"/>
    </row>
    <row r="529" spans="1:65" ht="30" hidden="1" customHeight="1" x14ac:dyDescent="0.45">
      <c r="A529" s="61">
        <f t="shared" si="2595"/>
        <v>44582</v>
      </c>
      <c r="B529" s="56">
        <v>158.21</v>
      </c>
      <c r="C529" s="56">
        <v>125.77</v>
      </c>
      <c r="D529" s="56">
        <v>95.32</v>
      </c>
      <c r="E529" s="56">
        <v>60.72</v>
      </c>
      <c r="F529" s="56">
        <v>43.8</v>
      </c>
      <c r="G529" s="56">
        <v>234.46</v>
      </c>
      <c r="H529" s="51">
        <f t="shared" ref="H529:M529" si="2735">B529-B528</f>
        <v>2.3000000000000114</v>
      </c>
      <c r="I529" s="51">
        <f t="shared" si="2735"/>
        <v>2.3499999999999943</v>
      </c>
      <c r="J529" s="51">
        <f t="shared" si="2735"/>
        <v>1.9499999999999886</v>
      </c>
      <c r="K529" s="51">
        <f t="shared" si="2735"/>
        <v>2.5700000000000003</v>
      </c>
      <c r="L529" s="51">
        <f t="shared" si="2735"/>
        <v>0.43999999999999773</v>
      </c>
      <c r="M529" s="42">
        <f t="shared" si="2735"/>
        <v>16.75</v>
      </c>
      <c r="N529" s="51">
        <f t="shared" ref="N529:R529" si="2736">N528</f>
        <v>158.73249999999999</v>
      </c>
      <c r="O529" s="51">
        <f t="shared" si="2736"/>
        <v>126.0825</v>
      </c>
      <c r="P529" s="51">
        <f t="shared" si="2736"/>
        <v>96.174999999999997</v>
      </c>
      <c r="Q529" s="51">
        <f t="shared" si="2736"/>
        <v>61.795000000000002</v>
      </c>
      <c r="R529" s="51">
        <f t="shared" si="2736"/>
        <v>43.882499999999993</v>
      </c>
      <c r="S529" s="51">
        <f t="shared" ref="S529:T529" si="2737">(B528+B529)/2</f>
        <v>157.06</v>
      </c>
      <c r="T529" s="51">
        <f t="shared" si="2737"/>
        <v>124.595</v>
      </c>
      <c r="U529" s="51">
        <f t="shared" si="2659"/>
        <v>94.344999999999999</v>
      </c>
      <c r="V529" s="51">
        <f t="shared" ref="V529:W529" si="2738">(E528+E529)/2</f>
        <v>59.435000000000002</v>
      </c>
      <c r="W529" s="51">
        <f t="shared" si="2738"/>
        <v>43.58</v>
      </c>
      <c r="X529" s="51">
        <f t="shared" ref="X529:AB529" si="2739">(SUM(B526:B529))/4</f>
        <v>155.02500000000001</v>
      </c>
      <c r="Y529" s="51">
        <f t="shared" si="2739"/>
        <v>123.4525</v>
      </c>
      <c r="Z529" s="51">
        <f t="shared" si="2739"/>
        <v>93.855000000000004</v>
      </c>
      <c r="AA529" s="51">
        <f t="shared" si="2739"/>
        <v>60.11</v>
      </c>
      <c r="AB529" s="51">
        <f t="shared" si="2739"/>
        <v>42.837499999999999</v>
      </c>
      <c r="AC529" s="51">
        <f t="shared" ref="AC529:AF529" si="2740">(B529+C529)/2</f>
        <v>141.99</v>
      </c>
      <c r="AD529" s="51">
        <f t="shared" si="2740"/>
        <v>110.54499999999999</v>
      </c>
      <c r="AE529" s="51">
        <f t="shared" si="2740"/>
        <v>78.02</v>
      </c>
      <c r="AF529" s="51">
        <f t="shared" si="2740"/>
        <v>52.26</v>
      </c>
      <c r="AG529" s="57"/>
      <c r="AH529" s="57"/>
      <c r="AI529" s="57"/>
      <c r="AJ529" s="57"/>
      <c r="AK529" s="51">
        <f t="shared" si="2093"/>
        <v>46.157499999999999</v>
      </c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8"/>
      <c r="BK529" s="8"/>
      <c r="BL529" s="8"/>
      <c r="BM529" s="8"/>
    </row>
    <row r="530" spans="1:65" ht="30" hidden="1" customHeight="1" x14ac:dyDescent="0.45">
      <c r="A530" s="55">
        <f t="shared" si="2595"/>
        <v>44589</v>
      </c>
      <c r="B530" s="56">
        <v>165.89</v>
      </c>
      <c r="C530" s="56">
        <v>132.43</v>
      </c>
      <c r="D530" s="56">
        <v>103</v>
      </c>
      <c r="E530" s="56">
        <v>67.34</v>
      </c>
      <c r="F530" s="56">
        <v>45.94</v>
      </c>
      <c r="G530" s="56">
        <v>248.64</v>
      </c>
      <c r="H530" s="51">
        <f t="shared" ref="H530:M530" si="2741">B530-B529</f>
        <v>7.6799999999999784</v>
      </c>
      <c r="I530" s="51">
        <f t="shared" si="2741"/>
        <v>6.6600000000000108</v>
      </c>
      <c r="J530" s="51">
        <f t="shared" si="2741"/>
        <v>7.6800000000000068</v>
      </c>
      <c r="K530" s="51">
        <f t="shared" si="2741"/>
        <v>6.6200000000000045</v>
      </c>
      <c r="L530" s="51">
        <f t="shared" si="2741"/>
        <v>2.1400000000000006</v>
      </c>
      <c r="M530" s="42">
        <f t="shared" si="2741"/>
        <v>14.179999999999978</v>
      </c>
      <c r="N530" s="51">
        <f t="shared" ref="N530:R530" si="2742">N529</f>
        <v>158.73249999999999</v>
      </c>
      <c r="O530" s="51">
        <f t="shared" si="2742"/>
        <v>126.0825</v>
      </c>
      <c r="P530" s="51">
        <f t="shared" si="2742"/>
        <v>96.174999999999997</v>
      </c>
      <c r="Q530" s="51">
        <f t="shared" si="2742"/>
        <v>61.795000000000002</v>
      </c>
      <c r="R530" s="51">
        <f t="shared" si="2742"/>
        <v>43.882499999999993</v>
      </c>
      <c r="S530" s="51">
        <f t="shared" ref="S530:T530" si="2743">(B529+B530)/2</f>
        <v>162.05000000000001</v>
      </c>
      <c r="T530" s="51">
        <f t="shared" si="2743"/>
        <v>129.1</v>
      </c>
      <c r="U530" s="51">
        <f t="shared" si="2659"/>
        <v>99.16</v>
      </c>
      <c r="V530" s="51">
        <f t="shared" ref="V530:W530" si="2744">(E529+E530)/2</f>
        <v>64.03</v>
      </c>
      <c r="W530" s="51">
        <f t="shared" si="2744"/>
        <v>44.87</v>
      </c>
      <c r="X530" s="51">
        <f t="shared" ref="X530:AB530" si="2745">(SUM(B527:B530))/4</f>
        <v>158.73249999999999</v>
      </c>
      <c r="Y530" s="51">
        <f t="shared" si="2745"/>
        <v>126.0825</v>
      </c>
      <c r="Z530" s="51">
        <f t="shared" si="2745"/>
        <v>96.174999999999997</v>
      </c>
      <c r="AA530" s="51">
        <f t="shared" si="2745"/>
        <v>61.795000000000002</v>
      </c>
      <c r="AB530" s="51">
        <f t="shared" si="2745"/>
        <v>43.882499999999993</v>
      </c>
      <c r="AC530" s="51">
        <f t="shared" ref="AC530:AF530" si="2746">(B530+C530)/2</f>
        <v>149.16</v>
      </c>
      <c r="AD530" s="51">
        <f t="shared" si="2746"/>
        <v>117.715</v>
      </c>
      <c r="AE530" s="51">
        <f t="shared" si="2746"/>
        <v>85.17</v>
      </c>
      <c r="AF530" s="51">
        <f t="shared" si="2746"/>
        <v>56.64</v>
      </c>
      <c r="AG530" s="57"/>
      <c r="AH530" s="57"/>
      <c r="AI530" s="57"/>
      <c r="AJ530" s="57"/>
      <c r="AK530" s="51">
        <f t="shared" si="2093"/>
        <v>49.1</v>
      </c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8"/>
      <c r="BK530" s="8"/>
      <c r="BL530" s="8"/>
      <c r="BM530" s="8"/>
    </row>
    <row r="531" spans="1:65" ht="30" hidden="1" customHeight="1" x14ac:dyDescent="0.45">
      <c r="A531" s="55">
        <f t="shared" si="2595"/>
        <v>44596</v>
      </c>
      <c r="B531" s="56">
        <v>168.07</v>
      </c>
      <c r="C531" s="56">
        <v>136.27000000000001</v>
      </c>
      <c r="D531" s="56">
        <v>111.3</v>
      </c>
      <c r="E531" s="56">
        <v>71.97</v>
      </c>
      <c r="F531" s="56">
        <v>47.55</v>
      </c>
      <c r="G531" s="56">
        <v>229.84</v>
      </c>
      <c r="H531" s="51">
        <f t="shared" ref="H531:M531" si="2747">B531-B530</f>
        <v>2.1800000000000068</v>
      </c>
      <c r="I531" s="51">
        <f t="shared" si="2747"/>
        <v>3.8400000000000034</v>
      </c>
      <c r="J531" s="51">
        <f t="shared" si="2747"/>
        <v>8.2999999999999972</v>
      </c>
      <c r="K531" s="51">
        <f t="shared" si="2747"/>
        <v>4.6299999999999955</v>
      </c>
      <c r="L531" s="51">
        <f t="shared" si="2747"/>
        <v>1.6099999999999994</v>
      </c>
      <c r="M531" s="42">
        <f t="shared" si="2747"/>
        <v>-18.799999999999983</v>
      </c>
      <c r="N531" s="51">
        <f t="shared" ref="N531:R531" si="2748">AVERAGE(B531:B534)</f>
        <v>173.6</v>
      </c>
      <c r="O531" s="51">
        <f t="shared" si="2748"/>
        <v>140.97999999999999</v>
      </c>
      <c r="P531" s="51">
        <f t="shared" si="2748"/>
        <v>115.6875</v>
      </c>
      <c r="Q531" s="51">
        <f t="shared" si="2748"/>
        <v>76.167500000000004</v>
      </c>
      <c r="R531" s="51">
        <f t="shared" si="2748"/>
        <v>49.767499999999998</v>
      </c>
      <c r="S531" s="51">
        <f t="shared" ref="S531:T531" si="2749">(B530+B531)/2</f>
        <v>166.98</v>
      </c>
      <c r="T531" s="51">
        <f t="shared" si="2749"/>
        <v>134.35000000000002</v>
      </c>
      <c r="U531" s="51">
        <f t="shared" si="2659"/>
        <v>107.15</v>
      </c>
      <c r="V531" s="51">
        <f t="shared" ref="V531:W531" si="2750">(E530+E531)/2</f>
        <v>69.655000000000001</v>
      </c>
      <c r="W531" s="51">
        <f t="shared" si="2750"/>
        <v>46.744999999999997</v>
      </c>
      <c r="X531" s="51">
        <f t="shared" ref="X531:AB531" si="2751">(SUM(B528:B531))/4</f>
        <v>162.01999999999998</v>
      </c>
      <c r="Y531" s="51">
        <f t="shared" si="2751"/>
        <v>129.4725</v>
      </c>
      <c r="Z531" s="51">
        <f t="shared" si="2751"/>
        <v>100.7475</v>
      </c>
      <c r="AA531" s="51">
        <f t="shared" si="2751"/>
        <v>64.545000000000002</v>
      </c>
      <c r="AB531" s="51">
        <f t="shared" si="2751"/>
        <v>45.162499999999994</v>
      </c>
      <c r="AC531" s="51">
        <f t="shared" ref="AC531:AF531" si="2752">(B531+C531)/2</f>
        <v>152.17000000000002</v>
      </c>
      <c r="AD531" s="51">
        <f t="shared" si="2752"/>
        <v>123.785</v>
      </c>
      <c r="AE531" s="51">
        <f t="shared" si="2752"/>
        <v>91.634999999999991</v>
      </c>
      <c r="AF531" s="51">
        <f t="shared" si="2752"/>
        <v>59.76</v>
      </c>
      <c r="AG531" s="57"/>
      <c r="AH531" s="57"/>
      <c r="AI531" s="57"/>
      <c r="AJ531" s="57"/>
      <c r="AK531" s="51">
        <f t="shared" si="2093"/>
        <v>52.85</v>
      </c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8"/>
      <c r="BK531" s="8"/>
      <c r="BL531" s="8"/>
      <c r="BM531" s="8"/>
    </row>
    <row r="532" spans="1:65" ht="30" hidden="1" customHeight="1" x14ac:dyDescent="0.45">
      <c r="A532" s="55">
        <f t="shared" si="2595"/>
        <v>44603</v>
      </c>
      <c r="B532" s="56">
        <v>170.86</v>
      </c>
      <c r="C532" s="56">
        <v>140.51</v>
      </c>
      <c r="D532" s="56">
        <v>116.14</v>
      </c>
      <c r="E532" s="56">
        <v>76.59</v>
      </c>
      <c r="F532" s="56">
        <v>49.31</v>
      </c>
      <c r="G532" s="56">
        <v>244.67</v>
      </c>
      <c r="H532" s="51">
        <f t="shared" ref="H532:M532" si="2753">B532-B531</f>
        <v>2.7900000000000205</v>
      </c>
      <c r="I532" s="51">
        <f t="shared" si="2753"/>
        <v>4.2399999999999807</v>
      </c>
      <c r="J532" s="51">
        <f t="shared" si="2753"/>
        <v>4.8400000000000034</v>
      </c>
      <c r="K532" s="51">
        <f t="shared" si="2753"/>
        <v>4.6200000000000045</v>
      </c>
      <c r="L532" s="51">
        <f t="shared" si="2753"/>
        <v>1.7600000000000051</v>
      </c>
      <c r="M532" s="42">
        <f t="shared" si="2753"/>
        <v>14.829999999999984</v>
      </c>
      <c r="N532" s="51">
        <f t="shared" ref="N532:R532" si="2754">N531</f>
        <v>173.6</v>
      </c>
      <c r="O532" s="51">
        <f t="shared" si="2754"/>
        <v>140.97999999999999</v>
      </c>
      <c r="P532" s="51">
        <f t="shared" si="2754"/>
        <v>115.6875</v>
      </c>
      <c r="Q532" s="51">
        <f t="shared" si="2754"/>
        <v>76.167500000000004</v>
      </c>
      <c r="R532" s="51">
        <f t="shared" si="2754"/>
        <v>49.767499999999998</v>
      </c>
      <c r="S532" s="51">
        <f t="shared" ref="S532:T532" si="2755">(B531+B532)/2</f>
        <v>169.465</v>
      </c>
      <c r="T532" s="51">
        <f t="shared" si="2755"/>
        <v>138.38999999999999</v>
      </c>
      <c r="U532" s="51">
        <f t="shared" si="2659"/>
        <v>113.72</v>
      </c>
      <c r="V532" s="51">
        <f t="shared" ref="V532:W532" si="2756">(E531+E532)/2</f>
        <v>74.28</v>
      </c>
      <c r="W532" s="51">
        <f t="shared" si="2756"/>
        <v>48.43</v>
      </c>
      <c r="X532" s="51">
        <f t="shared" ref="X532:AB532" si="2757">(SUM(B529:B532))/4</f>
        <v>165.75749999999999</v>
      </c>
      <c r="Y532" s="51">
        <f t="shared" si="2757"/>
        <v>133.745</v>
      </c>
      <c r="Z532" s="51">
        <f t="shared" si="2757"/>
        <v>106.44</v>
      </c>
      <c r="AA532" s="51">
        <f t="shared" si="2757"/>
        <v>69.155000000000001</v>
      </c>
      <c r="AB532" s="51">
        <f t="shared" si="2757"/>
        <v>46.65</v>
      </c>
      <c r="AC532" s="51">
        <f t="shared" ref="AC532:AF532" si="2758">(B532+C532)/2</f>
        <v>155.685</v>
      </c>
      <c r="AD532" s="51">
        <f t="shared" si="2758"/>
        <v>128.32499999999999</v>
      </c>
      <c r="AE532" s="51">
        <f t="shared" si="2758"/>
        <v>96.365000000000009</v>
      </c>
      <c r="AF532" s="51">
        <f t="shared" si="2758"/>
        <v>62.95</v>
      </c>
      <c r="AG532" s="57"/>
      <c r="AH532" s="57"/>
      <c r="AI532" s="57"/>
      <c r="AJ532" s="57"/>
      <c r="AK532" s="51">
        <f t="shared" si="2093"/>
        <v>56.005000000000003</v>
      </c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8"/>
      <c r="BK532" s="8"/>
      <c r="BL532" s="8"/>
      <c r="BM532" s="8"/>
    </row>
    <row r="533" spans="1:65" ht="30" hidden="1" customHeight="1" x14ac:dyDescent="0.45">
      <c r="A533" s="61">
        <f t="shared" si="2595"/>
        <v>44610</v>
      </c>
      <c r="B533" s="56">
        <v>172.12</v>
      </c>
      <c r="C533" s="56">
        <v>141.11000000000001</v>
      </c>
      <c r="D533" s="56">
        <v>117.05</v>
      </c>
      <c r="E533" s="56">
        <v>76.569999999999993</v>
      </c>
      <c r="F533" s="56">
        <v>49.53</v>
      </c>
      <c r="G533" s="56">
        <v>226.39</v>
      </c>
      <c r="H533" s="51">
        <f t="shared" ref="H533:M533" si="2759">B533-B532</f>
        <v>1.2599999999999909</v>
      </c>
      <c r="I533" s="51">
        <f t="shared" si="2759"/>
        <v>0.60000000000002274</v>
      </c>
      <c r="J533" s="51">
        <f t="shared" si="2759"/>
        <v>0.90999999999999659</v>
      </c>
      <c r="K533" s="51">
        <f t="shared" si="2759"/>
        <v>-2.0000000000010232E-2</v>
      </c>
      <c r="L533" s="51">
        <f t="shared" si="2759"/>
        <v>0.21999999999999886</v>
      </c>
      <c r="M533" s="42">
        <f t="shared" si="2759"/>
        <v>-18.28</v>
      </c>
      <c r="N533" s="51">
        <f t="shared" ref="N533:R533" si="2760">N532</f>
        <v>173.6</v>
      </c>
      <c r="O533" s="51">
        <f t="shared" si="2760"/>
        <v>140.97999999999999</v>
      </c>
      <c r="P533" s="51">
        <f t="shared" si="2760"/>
        <v>115.6875</v>
      </c>
      <c r="Q533" s="51">
        <f t="shared" si="2760"/>
        <v>76.167500000000004</v>
      </c>
      <c r="R533" s="51">
        <f t="shared" si="2760"/>
        <v>49.767499999999998</v>
      </c>
      <c r="S533" s="51">
        <f t="shared" ref="S533:T533" si="2761">(B532+B533)/2</f>
        <v>171.49</v>
      </c>
      <c r="T533" s="51">
        <f t="shared" si="2761"/>
        <v>140.81</v>
      </c>
      <c r="U533" s="51">
        <f t="shared" si="2659"/>
        <v>116.595</v>
      </c>
      <c r="V533" s="51">
        <f t="shared" ref="V533:W533" si="2762">(E532+E533)/2</f>
        <v>76.58</v>
      </c>
      <c r="W533" s="51">
        <f t="shared" si="2762"/>
        <v>49.42</v>
      </c>
      <c r="X533" s="51">
        <f t="shared" ref="X533:AB533" si="2763">(SUM(B530:B533))/4</f>
        <v>169.23500000000001</v>
      </c>
      <c r="Y533" s="51">
        <f t="shared" si="2763"/>
        <v>137.58000000000001</v>
      </c>
      <c r="Z533" s="51">
        <f t="shared" si="2763"/>
        <v>111.8725</v>
      </c>
      <c r="AA533" s="51">
        <f t="shared" si="2763"/>
        <v>73.117500000000007</v>
      </c>
      <c r="AB533" s="51">
        <f t="shared" si="2763"/>
        <v>48.082500000000003</v>
      </c>
      <c r="AC533" s="51">
        <f t="shared" ref="AC533:AF533" si="2764">(B533+C533)/2</f>
        <v>156.61500000000001</v>
      </c>
      <c r="AD533" s="51">
        <f t="shared" si="2764"/>
        <v>129.08000000000001</v>
      </c>
      <c r="AE533" s="51">
        <f t="shared" si="2764"/>
        <v>96.81</v>
      </c>
      <c r="AF533" s="51">
        <f t="shared" si="2764"/>
        <v>63.05</v>
      </c>
      <c r="AG533" s="57"/>
      <c r="AH533" s="57"/>
      <c r="AI533" s="57"/>
      <c r="AJ533" s="57"/>
      <c r="AK533" s="51">
        <f t="shared" si="2093"/>
        <v>57.65</v>
      </c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8"/>
      <c r="BK533" s="8"/>
      <c r="BL533" s="8"/>
      <c r="BM533" s="8"/>
    </row>
    <row r="534" spans="1:65" ht="30" hidden="1" customHeight="1" x14ac:dyDescent="0.45">
      <c r="A534" s="55">
        <f t="shared" si="2595"/>
        <v>44617</v>
      </c>
      <c r="B534" s="56">
        <v>183.35</v>
      </c>
      <c r="C534" s="56">
        <v>146.03</v>
      </c>
      <c r="D534" s="56">
        <v>118.26</v>
      </c>
      <c r="E534" s="56">
        <v>79.540000000000006</v>
      </c>
      <c r="F534" s="56">
        <v>52.68</v>
      </c>
      <c r="G534" s="56">
        <v>256.18</v>
      </c>
      <c r="H534" s="51">
        <f t="shared" ref="H534:M534" si="2765">B534-B533</f>
        <v>11.22999999999999</v>
      </c>
      <c r="I534" s="51">
        <f t="shared" si="2765"/>
        <v>4.9199999999999875</v>
      </c>
      <c r="J534" s="51">
        <f t="shared" si="2765"/>
        <v>1.210000000000008</v>
      </c>
      <c r="K534" s="51">
        <f t="shared" si="2765"/>
        <v>2.9700000000000131</v>
      </c>
      <c r="L534" s="51">
        <f t="shared" si="2765"/>
        <v>3.1499999999999986</v>
      </c>
      <c r="M534" s="42">
        <f t="shared" si="2765"/>
        <v>29.79000000000002</v>
      </c>
      <c r="N534" s="51">
        <f t="shared" ref="N534:R534" si="2766">N533</f>
        <v>173.6</v>
      </c>
      <c r="O534" s="51">
        <f t="shared" si="2766"/>
        <v>140.97999999999999</v>
      </c>
      <c r="P534" s="51">
        <f t="shared" si="2766"/>
        <v>115.6875</v>
      </c>
      <c r="Q534" s="51">
        <f t="shared" si="2766"/>
        <v>76.167500000000004</v>
      </c>
      <c r="R534" s="51">
        <f t="shared" si="2766"/>
        <v>49.767499999999998</v>
      </c>
      <c r="S534" s="51">
        <f t="shared" ref="S534:T534" si="2767">(B533+B534)/2</f>
        <v>177.73500000000001</v>
      </c>
      <c r="T534" s="51">
        <f t="shared" si="2767"/>
        <v>143.57</v>
      </c>
      <c r="U534" s="51">
        <f t="shared" si="2659"/>
        <v>117.655</v>
      </c>
      <c r="V534" s="51">
        <f t="shared" ref="V534:W534" si="2768">(E533+E534)/2</f>
        <v>78.055000000000007</v>
      </c>
      <c r="W534" s="51">
        <f t="shared" si="2768"/>
        <v>51.105000000000004</v>
      </c>
      <c r="X534" s="51">
        <f t="shared" ref="X534:AB534" si="2769">(SUM(B531:B534))/4</f>
        <v>173.6</v>
      </c>
      <c r="Y534" s="51">
        <f t="shared" si="2769"/>
        <v>140.97999999999999</v>
      </c>
      <c r="Z534" s="51">
        <f t="shared" si="2769"/>
        <v>115.6875</v>
      </c>
      <c r="AA534" s="51">
        <f t="shared" si="2769"/>
        <v>76.167500000000004</v>
      </c>
      <c r="AB534" s="51">
        <f t="shared" si="2769"/>
        <v>49.767499999999998</v>
      </c>
      <c r="AC534" s="51">
        <f t="shared" ref="AC534:AF534" si="2770">(B534+C534)/2</f>
        <v>164.69</v>
      </c>
      <c r="AD534" s="51">
        <f t="shared" si="2770"/>
        <v>132.14500000000001</v>
      </c>
      <c r="AE534" s="51">
        <f t="shared" si="2770"/>
        <v>98.9</v>
      </c>
      <c r="AF534" s="51">
        <f t="shared" si="2770"/>
        <v>66.11</v>
      </c>
      <c r="AG534" s="57"/>
      <c r="AH534" s="57"/>
      <c r="AI534" s="57"/>
      <c r="AJ534" s="57"/>
      <c r="AK534" s="51">
        <f t="shared" si="2093"/>
        <v>59.230000000000011</v>
      </c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8"/>
      <c r="BK534" s="8"/>
      <c r="BL534" s="8"/>
      <c r="BM534" s="8"/>
    </row>
    <row r="535" spans="1:65" ht="30" hidden="1" customHeight="1" x14ac:dyDescent="0.45">
      <c r="A535" s="55">
        <f t="shared" si="2595"/>
        <v>44624</v>
      </c>
      <c r="B535" s="56">
        <v>240.81</v>
      </c>
      <c r="C535" s="56">
        <v>180.13</v>
      </c>
      <c r="D535" s="56">
        <v>136.44999999999999</v>
      </c>
      <c r="E535" s="56">
        <v>95.46</v>
      </c>
      <c r="F535" s="56">
        <v>61.64</v>
      </c>
      <c r="G535" s="56">
        <v>347.9</v>
      </c>
      <c r="H535" s="51">
        <f t="shared" ref="H535:M535" si="2771">B535-B534</f>
        <v>57.460000000000008</v>
      </c>
      <c r="I535" s="51">
        <f t="shared" si="2771"/>
        <v>34.099999999999994</v>
      </c>
      <c r="J535" s="51">
        <f t="shared" si="2771"/>
        <v>18.189999999999984</v>
      </c>
      <c r="K535" s="51">
        <f t="shared" si="2771"/>
        <v>15.919999999999987</v>
      </c>
      <c r="L535" s="51">
        <f t="shared" si="2771"/>
        <v>8.9600000000000009</v>
      </c>
      <c r="M535" s="42">
        <f t="shared" si="2771"/>
        <v>91.71999999999997</v>
      </c>
      <c r="N535" s="51">
        <f t="shared" ref="N535:R535" si="2772">AVERAGE(B535:B538)</f>
        <v>269.7</v>
      </c>
      <c r="O535" s="51">
        <f t="shared" si="2772"/>
        <v>201.07749999999999</v>
      </c>
      <c r="P535" s="51">
        <f t="shared" si="2772"/>
        <v>157.22749999999999</v>
      </c>
      <c r="Q535" s="51">
        <f t="shared" si="2772"/>
        <v>108.97</v>
      </c>
      <c r="R535" s="51">
        <f t="shared" si="2772"/>
        <v>66.822500000000005</v>
      </c>
      <c r="S535" s="51">
        <f t="shared" ref="S535:T535" si="2773">(B534+B535)/2</f>
        <v>212.07999999999998</v>
      </c>
      <c r="T535" s="51">
        <f t="shared" si="2773"/>
        <v>163.07999999999998</v>
      </c>
      <c r="U535" s="51">
        <f t="shared" si="2659"/>
        <v>127.35499999999999</v>
      </c>
      <c r="V535" s="51">
        <f t="shared" ref="V535:W535" si="2774">(E534+E535)/2</f>
        <v>87.5</v>
      </c>
      <c r="W535" s="51">
        <f t="shared" si="2774"/>
        <v>57.16</v>
      </c>
      <c r="X535" s="51">
        <f t="shared" ref="X535:AB535" si="2775">(SUM(B532:B535))/4</f>
        <v>191.78500000000003</v>
      </c>
      <c r="Y535" s="51">
        <f t="shared" si="2775"/>
        <v>151.94499999999999</v>
      </c>
      <c r="Z535" s="51">
        <f t="shared" si="2775"/>
        <v>121.97499999999999</v>
      </c>
      <c r="AA535" s="51">
        <f t="shared" si="2775"/>
        <v>82.039999999999992</v>
      </c>
      <c r="AB535" s="51">
        <f t="shared" si="2775"/>
        <v>53.290000000000006</v>
      </c>
      <c r="AC535" s="51">
        <f t="shared" ref="AC535:AF535" si="2776">(B535+C535)/2</f>
        <v>210.47</v>
      </c>
      <c r="AD535" s="51">
        <f t="shared" si="2776"/>
        <v>158.29</v>
      </c>
      <c r="AE535" s="51">
        <f t="shared" si="2776"/>
        <v>115.95499999999998</v>
      </c>
      <c r="AF535" s="51">
        <f t="shared" si="2776"/>
        <v>78.55</v>
      </c>
      <c r="AG535" s="57"/>
      <c r="AH535" s="57"/>
      <c r="AI535" s="57"/>
      <c r="AJ535" s="57"/>
      <c r="AK535" s="51">
        <f t="shared" si="2093"/>
        <v>66.98</v>
      </c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8"/>
      <c r="BK535" s="8"/>
      <c r="BL535" s="8"/>
      <c r="BM535" s="8"/>
    </row>
    <row r="536" spans="1:65" ht="30" hidden="1" customHeight="1" x14ac:dyDescent="0.45">
      <c r="A536" s="55">
        <f t="shared" si="2595"/>
        <v>44631</v>
      </c>
      <c r="B536" s="56">
        <v>308.31</v>
      </c>
      <c r="C536" s="56">
        <v>220.7</v>
      </c>
      <c r="D536" s="56">
        <v>170.32</v>
      </c>
      <c r="E536" s="56">
        <v>120.86</v>
      </c>
      <c r="F536" s="56">
        <v>72.44</v>
      </c>
      <c r="G536" s="56">
        <v>395.59</v>
      </c>
      <c r="H536" s="51">
        <f t="shared" ref="H536:M536" si="2777">B536-B535</f>
        <v>67.5</v>
      </c>
      <c r="I536" s="51">
        <f t="shared" si="2777"/>
        <v>40.569999999999993</v>
      </c>
      <c r="J536" s="51">
        <f t="shared" si="2777"/>
        <v>33.870000000000005</v>
      </c>
      <c r="K536" s="51">
        <f t="shared" si="2777"/>
        <v>25.400000000000006</v>
      </c>
      <c r="L536" s="51">
        <f t="shared" si="2777"/>
        <v>10.799999999999997</v>
      </c>
      <c r="M536" s="42">
        <f t="shared" si="2777"/>
        <v>47.69</v>
      </c>
      <c r="N536" s="51">
        <f t="shared" ref="N536:R536" si="2778">N535</f>
        <v>269.7</v>
      </c>
      <c r="O536" s="51">
        <f t="shared" si="2778"/>
        <v>201.07749999999999</v>
      </c>
      <c r="P536" s="51">
        <f t="shared" si="2778"/>
        <v>157.22749999999999</v>
      </c>
      <c r="Q536" s="51">
        <f t="shared" si="2778"/>
        <v>108.97</v>
      </c>
      <c r="R536" s="51">
        <f t="shared" si="2778"/>
        <v>66.822500000000005</v>
      </c>
      <c r="S536" s="51">
        <f t="shared" ref="S536:T536" si="2779">(B535+B536)/2</f>
        <v>274.56</v>
      </c>
      <c r="T536" s="51">
        <f t="shared" si="2779"/>
        <v>200.41499999999999</v>
      </c>
      <c r="U536" s="51">
        <f t="shared" si="2659"/>
        <v>153.38499999999999</v>
      </c>
      <c r="V536" s="51">
        <f t="shared" ref="V536:W536" si="2780">(E535+E536)/2</f>
        <v>108.16</v>
      </c>
      <c r="W536" s="51">
        <f t="shared" si="2780"/>
        <v>67.039999999999992</v>
      </c>
      <c r="X536" s="51">
        <f t="shared" ref="X536:AB536" si="2781">(SUM(B533:B536))/4</f>
        <v>226.14749999999998</v>
      </c>
      <c r="Y536" s="51">
        <f t="shared" si="2781"/>
        <v>171.99250000000001</v>
      </c>
      <c r="Z536" s="51">
        <f t="shared" si="2781"/>
        <v>135.51999999999998</v>
      </c>
      <c r="AA536" s="51">
        <f t="shared" si="2781"/>
        <v>93.107500000000002</v>
      </c>
      <c r="AB536" s="51">
        <f t="shared" si="2781"/>
        <v>59.072500000000005</v>
      </c>
      <c r="AC536" s="51">
        <f t="shared" ref="AC536:AF536" si="2782">(B536+C536)/2</f>
        <v>264.505</v>
      </c>
      <c r="AD536" s="51">
        <f t="shared" si="2782"/>
        <v>195.51</v>
      </c>
      <c r="AE536" s="51">
        <f t="shared" si="2782"/>
        <v>145.59</v>
      </c>
      <c r="AF536" s="51">
        <f t="shared" si="2782"/>
        <v>96.65</v>
      </c>
      <c r="AG536" s="57"/>
      <c r="AH536" s="57"/>
      <c r="AI536" s="57"/>
      <c r="AJ536" s="57"/>
      <c r="AK536" s="51">
        <f t="shared" si="2093"/>
        <v>82.25</v>
      </c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8"/>
      <c r="BK536" s="8"/>
      <c r="BL536" s="8"/>
      <c r="BM536" s="8"/>
    </row>
    <row r="537" spans="1:65" ht="30" hidden="1" customHeight="1" x14ac:dyDescent="0.45">
      <c r="A537" s="55">
        <f t="shared" si="2595"/>
        <v>44638</v>
      </c>
      <c r="B537" s="56">
        <v>274.33</v>
      </c>
      <c r="C537" s="56">
        <v>206.01</v>
      </c>
      <c r="D537" s="56">
        <v>160.97999999999999</v>
      </c>
      <c r="E537" s="56">
        <v>110.69</v>
      </c>
      <c r="F537" s="56">
        <v>67.48</v>
      </c>
      <c r="G537" s="56">
        <v>309.02</v>
      </c>
      <c r="H537" s="51">
        <f t="shared" ref="H537:M537" si="2783">B537-B536</f>
        <v>-33.980000000000018</v>
      </c>
      <c r="I537" s="51">
        <f t="shared" si="2783"/>
        <v>-14.689999999999998</v>
      </c>
      <c r="J537" s="51">
        <f t="shared" si="2783"/>
        <v>-9.3400000000000034</v>
      </c>
      <c r="K537" s="51">
        <f t="shared" si="2783"/>
        <v>-10.170000000000002</v>
      </c>
      <c r="L537" s="51">
        <f t="shared" si="2783"/>
        <v>-4.9599999999999937</v>
      </c>
      <c r="M537" s="42">
        <f t="shared" si="2783"/>
        <v>-86.57</v>
      </c>
      <c r="N537" s="51">
        <f t="shared" ref="N537:R537" si="2784">N536</f>
        <v>269.7</v>
      </c>
      <c r="O537" s="51">
        <f t="shared" si="2784"/>
        <v>201.07749999999999</v>
      </c>
      <c r="P537" s="51">
        <f t="shared" si="2784"/>
        <v>157.22749999999999</v>
      </c>
      <c r="Q537" s="51">
        <f t="shared" si="2784"/>
        <v>108.97</v>
      </c>
      <c r="R537" s="51">
        <f t="shared" si="2784"/>
        <v>66.822500000000005</v>
      </c>
      <c r="S537" s="51">
        <f t="shared" ref="S537:T537" si="2785">(B536+B537)/2</f>
        <v>291.32</v>
      </c>
      <c r="T537" s="51">
        <f t="shared" si="2785"/>
        <v>213.35499999999999</v>
      </c>
      <c r="U537" s="51">
        <f t="shared" si="2659"/>
        <v>165.64999999999998</v>
      </c>
      <c r="V537" s="51">
        <f t="shared" ref="V537:W537" si="2786">(E536+E537)/2</f>
        <v>115.77500000000001</v>
      </c>
      <c r="W537" s="51">
        <f t="shared" si="2786"/>
        <v>69.960000000000008</v>
      </c>
      <c r="X537" s="51">
        <f t="shared" ref="X537:AB537" si="2787">(SUM(B534:B537))/4</f>
        <v>251.7</v>
      </c>
      <c r="Y537" s="51">
        <f t="shared" si="2787"/>
        <v>188.21749999999997</v>
      </c>
      <c r="Z537" s="51">
        <f t="shared" si="2787"/>
        <v>146.5025</v>
      </c>
      <c r="AA537" s="51">
        <f t="shared" si="2787"/>
        <v>101.6375</v>
      </c>
      <c r="AB537" s="51">
        <f t="shared" si="2787"/>
        <v>63.56</v>
      </c>
      <c r="AC537" s="51">
        <f t="shared" ref="AC537:AF537" si="2788">(B537+C537)/2</f>
        <v>240.17</v>
      </c>
      <c r="AD537" s="51">
        <f t="shared" si="2788"/>
        <v>183.495</v>
      </c>
      <c r="AE537" s="51">
        <f t="shared" si="2788"/>
        <v>135.83499999999998</v>
      </c>
      <c r="AF537" s="51">
        <f t="shared" si="2788"/>
        <v>89.085000000000008</v>
      </c>
      <c r="AG537" s="57"/>
      <c r="AH537" s="57"/>
      <c r="AI537" s="57"/>
      <c r="AJ537" s="57"/>
      <c r="AK537" s="51">
        <f t="shared" si="2093"/>
        <v>87.517500000000013</v>
      </c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8"/>
      <c r="BK537" s="8"/>
      <c r="BL537" s="8"/>
      <c r="BM537" s="8"/>
    </row>
    <row r="538" spans="1:65" ht="30" hidden="1" customHeight="1" x14ac:dyDescent="0.45">
      <c r="A538" s="55">
        <f t="shared" si="2595"/>
        <v>44645</v>
      </c>
      <c r="B538" s="56">
        <v>255.35</v>
      </c>
      <c r="C538" s="56">
        <v>197.47</v>
      </c>
      <c r="D538" s="56">
        <v>161.16</v>
      </c>
      <c r="E538" s="56">
        <v>108.87</v>
      </c>
      <c r="F538" s="56">
        <v>65.73</v>
      </c>
      <c r="G538" s="56">
        <v>253.02</v>
      </c>
      <c r="H538" s="51">
        <f t="shared" ref="H538:M538" si="2789">B538-B537</f>
        <v>-18.97999999999999</v>
      </c>
      <c r="I538" s="51">
        <f t="shared" si="2789"/>
        <v>-8.539999999999992</v>
      </c>
      <c r="J538" s="51">
        <f t="shared" si="2789"/>
        <v>0.18000000000000682</v>
      </c>
      <c r="K538" s="51">
        <f t="shared" si="2789"/>
        <v>-1.8199999999999932</v>
      </c>
      <c r="L538" s="51">
        <f t="shared" si="2789"/>
        <v>-1.75</v>
      </c>
      <c r="M538" s="42">
        <f t="shared" si="2789"/>
        <v>-55.999999999999972</v>
      </c>
      <c r="N538" s="51">
        <f t="shared" ref="N538:R538" si="2790">N537</f>
        <v>269.7</v>
      </c>
      <c r="O538" s="51">
        <f t="shared" si="2790"/>
        <v>201.07749999999999</v>
      </c>
      <c r="P538" s="51">
        <f t="shared" si="2790"/>
        <v>157.22749999999999</v>
      </c>
      <c r="Q538" s="51">
        <f t="shared" si="2790"/>
        <v>108.97</v>
      </c>
      <c r="R538" s="51">
        <f t="shared" si="2790"/>
        <v>66.822500000000005</v>
      </c>
      <c r="S538" s="51">
        <f t="shared" ref="S538:T538" si="2791">(B537+B538)/2</f>
        <v>264.83999999999997</v>
      </c>
      <c r="T538" s="51">
        <f t="shared" si="2791"/>
        <v>201.74</v>
      </c>
      <c r="U538" s="51">
        <f t="shared" si="2659"/>
        <v>161.07</v>
      </c>
      <c r="V538" s="51">
        <f t="shared" ref="V538:W538" si="2792">(E537+E538)/2</f>
        <v>109.78</v>
      </c>
      <c r="W538" s="51">
        <f t="shared" si="2792"/>
        <v>66.605000000000004</v>
      </c>
      <c r="X538" s="51">
        <f t="shared" ref="X538:AB538" si="2793">(SUM(B535:B538))/4</f>
        <v>269.7</v>
      </c>
      <c r="Y538" s="51">
        <f t="shared" si="2793"/>
        <v>201.07749999999999</v>
      </c>
      <c r="Z538" s="51">
        <f t="shared" si="2793"/>
        <v>157.22749999999999</v>
      </c>
      <c r="AA538" s="51">
        <f t="shared" si="2793"/>
        <v>108.97</v>
      </c>
      <c r="AB538" s="51">
        <f t="shared" si="2793"/>
        <v>66.822500000000005</v>
      </c>
      <c r="AC538" s="51">
        <f t="shared" ref="AC538:AF538" si="2794">(B538+C538)/2</f>
        <v>226.41</v>
      </c>
      <c r="AD538" s="51">
        <f t="shared" si="2794"/>
        <v>179.315</v>
      </c>
      <c r="AE538" s="51">
        <f t="shared" si="2794"/>
        <v>135.01499999999999</v>
      </c>
      <c r="AF538" s="51">
        <f t="shared" si="2794"/>
        <v>87.300000000000011</v>
      </c>
      <c r="AG538" s="57"/>
      <c r="AH538" s="57"/>
      <c r="AI538" s="57"/>
      <c r="AJ538" s="57"/>
      <c r="AK538" s="51">
        <f t="shared" si="2093"/>
        <v>82.842500000000001</v>
      </c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8"/>
      <c r="BK538" s="8"/>
      <c r="BL538" s="8"/>
      <c r="BM538" s="8"/>
    </row>
    <row r="539" spans="1:65" ht="30" hidden="1" customHeight="1" x14ac:dyDescent="0.45">
      <c r="A539" s="55">
        <f t="shared" si="2595"/>
        <v>44652</v>
      </c>
      <c r="B539" s="56">
        <v>245.49</v>
      </c>
      <c r="C539" s="56">
        <v>172.41</v>
      </c>
      <c r="D539" s="56">
        <v>148.19</v>
      </c>
      <c r="E539" s="56">
        <v>98.29</v>
      </c>
      <c r="F539" s="56">
        <v>61.19</v>
      </c>
      <c r="G539" s="56">
        <v>271.05</v>
      </c>
      <c r="H539" s="51">
        <f t="shared" ref="H539:M539" si="2795">B539-B538</f>
        <v>-9.8599999999999852</v>
      </c>
      <c r="I539" s="51">
        <f t="shared" si="2795"/>
        <v>-25.060000000000002</v>
      </c>
      <c r="J539" s="51">
        <f t="shared" si="2795"/>
        <v>-12.969999999999999</v>
      </c>
      <c r="K539" s="51">
        <f t="shared" si="2795"/>
        <v>-10.579999999999998</v>
      </c>
      <c r="L539" s="51">
        <f t="shared" si="2795"/>
        <v>-4.5400000000000063</v>
      </c>
      <c r="M539" s="42">
        <f t="shared" si="2795"/>
        <v>18.03</v>
      </c>
      <c r="N539" s="51">
        <f t="shared" ref="N539:R539" si="2796">AVERAGE(B539:B543)</f>
        <v>256.86400000000003</v>
      </c>
      <c r="O539" s="51">
        <f t="shared" si="2796"/>
        <v>182.804</v>
      </c>
      <c r="P539" s="51">
        <f t="shared" si="2796"/>
        <v>145.12200000000001</v>
      </c>
      <c r="Q539" s="51">
        <f t="shared" si="2796"/>
        <v>91.677999999999997</v>
      </c>
      <c r="R539" s="51">
        <f t="shared" si="2796"/>
        <v>57.462000000000003</v>
      </c>
      <c r="S539" s="51">
        <f t="shared" ref="S539:T539" si="2797">(B538+B539)/2</f>
        <v>250.42000000000002</v>
      </c>
      <c r="T539" s="51">
        <f t="shared" si="2797"/>
        <v>184.94</v>
      </c>
      <c r="U539" s="51">
        <f t="shared" si="2659"/>
        <v>154.67500000000001</v>
      </c>
      <c r="V539" s="51">
        <f t="shared" ref="V539:W539" si="2798">(E538+E539)/2</f>
        <v>103.58000000000001</v>
      </c>
      <c r="W539" s="51">
        <f t="shared" si="2798"/>
        <v>63.46</v>
      </c>
      <c r="X539" s="51">
        <f t="shared" ref="X539:AB539" si="2799">(SUM(B536:B539))/4</f>
        <v>270.87</v>
      </c>
      <c r="Y539" s="51">
        <f t="shared" si="2799"/>
        <v>199.14749999999998</v>
      </c>
      <c r="Z539" s="51">
        <f t="shared" si="2799"/>
        <v>160.16249999999997</v>
      </c>
      <c r="AA539" s="51">
        <f t="shared" si="2799"/>
        <v>109.67750000000001</v>
      </c>
      <c r="AB539" s="51">
        <f t="shared" si="2799"/>
        <v>66.710000000000008</v>
      </c>
      <c r="AC539" s="51">
        <f t="shared" ref="AC539:AF539" si="2800">(B539+C539)/2</f>
        <v>208.95</v>
      </c>
      <c r="AD539" s="51">
        <f t="shared" si="2800"/>
        <v>160.30000000000001</v>
      </c>
      <c r="AE539" s="51">
        <f t="shared" si="2800"/>
        <v>123.24000000000001</v>
      </c>
      <c r="AF539" s="51">
        <f t="shared" si="2800"/>
        <v>79.740000000000009</v>
      </c>
      <c r="AG539" s="57"/>
      <c r="AH539" s="57"/>
      <c r="AI539" s="57"/>
      <c r="AJ539" s="57"/>
      <c r="AK539" s="51">
        <f t="shared" si="2093"/>
        <v>78.170000000000016</v>
      </c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8"/>
      <c r="BK539" s="8"/>
      <c r="BL539" s="8"/>
      <c r="BM539" s="8"/>
    </row>
    <row r="540" spans="1:65" ht="30" hidden="1" customHeight="1" x14ac:dyDescent="0.45">
      <c r="A540" s="55">
        <f t="shared" si="2595"/>
        <v>44659</v>
      </c>
      <c r="B540" s="56">
        <v>244.58</v>
      </c>
      <c r="C540" s="56">
        <v>174.35</v>
      </c>
      <c r="D540" s="56">
        <v>145.80000000000001</v>
      </c>
      <c r="E540" s="56">
        <v>94.95</v>
      </c>
      <c r="F540" s="56">
        <v>58.76</v>
      </c>
      <c r="G540" s="56">
        <v>297.39999999999998</v>
      </c>
      <c r="H540" s="51">
        <f t="shared" ref="H540:M540" si="2801">B540-B539</f>
        <v>-0.90999999999999659</v>
      </c>
      <c r="I540" s="51">
        <f t="shared" si="2801"/>
        <v>1.9399999999999977</v>
      </c>
      <c r="J540" s="51">
        <f t="shared" si="2801"/>
        <v>-2.3899999999999864</v>
      </c>
      <c r="K540" s="51">
        <f t="shared" si="2801"/>
        <v>-3.3400000000000034</v>
      </c>
      <c r="L540" s="51">
        <f t="shared" si="2801"/>
        <v>-2.4299999999999997</v>
      </c>
      <c r="M540" s="42">
        <f t="shared" si="2801"/>
        <v>26.349999999999966</v>
      </c>
      <c r="N540" s="51">
        <f t="shared" ref="N540:R540" si="2802">N539</f>
        <v>256.86400000000003</v>
      </c>
      <c r="O540" s="51">
        <f t="shared" si="2802"/>
        <v>182.804</v>
      </c>
      <c r="P540" s="51">
        <f t="shared" si="2802"/>
        <v>145.12200000000001</v>
      </c>
      <c r="Q540" s="51">
        <f t="shared" si="2802"/>
        <v>91.677999999999997</v>
      </c>
      <c r="R540" s="51">
        <f t="shared" si="2802"/>
        <v>57.462000000000003</v>
      </c>
      <c r="S540" s="51">
        <f t="shared" ref="S540:T540" si="2803">(B539+B540)/2</f>
        <v>245.03500000000003</v>
      </c>
      <c r="T540" s="51">
        <f t="shared" si="2803"/>
        <v>173.38</v>
      </c>
      <c r="U540" s="51">
        <f t="shared" si="2659"/>
        <v>146.995</v>
      </c>
      <c r="V540" s="51">
        <f t="shared" ref="V540:W540" si="2804">(E539+E540)/2</f>
        <v>96.62</v>
      </c>
      <c r="W540" s="51">
        <f t="shared" si="2804"/>
        <v>59.974999999999994</v>
      </c>
      <c r="X540" s="51">
        <f t="shared" ref="X540:AB540" si="2805">(SUM(B537:B540))/4</f>
        <v>254.9375</v>
      </c>
      <c r="Y540" s="51">
        <f t="shared" si="2805"/>
        <v>187.56</v>
      </c>
      <c r="Z540" s="51">
        <f t="shared" si="2805"/>
        <v>154.0325</v>
      </c>
      <c r="AA540" s="51">
        <f t="shared" si="2805"/>
        <v>103.2</v>
      </c>
      <c r="AB540" s="51">
        <f t="shared" si="2805"/>
        <v>63.29</v>
      </c>
      <c r="AC540" s="51">
        <f t="shared" ref="AC540:AF540" si="2806">(B540+C540)/2</f>
        <v>209.465</v>
      </c>
      <c r="AD540" s="51">
        <f t="shared" si="2806"/>
        <v>160.07499999999999</v>
      </c>
      <c r="AE540" s="51">
        <f t="shared" si="2806"/>
        <v>120.375</v>
      </c>
      <c r="AF540" s="51">
        <f t="shared" si="2806"/>
        <v>76.855000000000004</v>
      </c>
      <c r="AG540" s="57"/>
      <c r="AH540" s="57"/>
      <c r="AI540" s="57"/>
      <c r="AJ540" s="57"/>
      <c r="AK540" s="51">
        <f t="shared" si="2093"/>
        <v>72.947500000000005</v>
      </c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8"/>
      <c r="BK540" s="8"/>
      <c r="BL540" s="8"/>
      <c r="BM540" s="8"/>
    </row>
    <row r="541" spans="1:65" ht="30" hidden="1" customHeight="1" x14ac:dyDescent="0.45">
      <c r="A541" s="55">
        <v>44666</v>
      </c>
      <c r="B541" s="56">
        <v>261.57</v>
      </c>
      <c r="C541" s="56">
        <v>183.87</v>
      </c>
      <c r="D541" s="56">
        <v>146.59</v>
      </c>
      <c r="E541" s="56">
        <v>87.71</v>
      </c>
      <c r="F541" s="56">
        <v>57.33</v>
      </c>
      <c r="G541" s="56">
        <v>336.63</v>
      </c>
      <c r="H541" s="51">
        <f t="shared" ref="H541:M541" si="2807">B541-B540</f>
        <v>16.989999999999981</v>
      </c>
      <c r="I541" s="51">
        <f t="shared" si="2807"/>
        <v>9.5200000000000102</v>
      </c>
      <c r="J541" s="51">
        <f t="shared" si="2807"/>
        <v>0.78999999999999204</v>
      </c>
      <c r="K541" s="51">
        <f t="shared" si="2807"/>
        <v>-7.2400000000000091</v>
      </c>
      <c r="L541" s="51">
        <f t="shared" si="2807"/>
        <v>-1.4299999999999997</v>
      </c>
      <c r="M541" s="42">
        <f t="shared" si="2807"/>
        <v>39.230000000000018</v>
      </c>
      <c r="N541" s="51">
        <f t="shared" ref="N541:R541" si="2808">N540</f>
        <v>256.86400000000003</v>
      </c>
      <c r="O541" s="51">
        <f t="shared" si="2808"/>
        <v>182.804</v>
      </c>
      <c r="P541" s="51">
        <f t="shared" si="2808"/>
        <v>145.12200000000001</v>
      </c>
      <c r="Q541" s="51">
        <f t="shared" si="2808"/>
        <v>91.677999999999997</v>
      </c>
      <c r="R541" s="51">
        <f t="shared" si="2808"/>
        <v>57.462000000000003</v>
      </c>
      <c r="S541" s="51">
        <f t="shared" ref="S541:T541" si="2809">(B540+B541)/2</f>
        <v>253.07499999999999</v>
      </c>
      <c r="T541" s="51">
        <f t="shared" si="2809"/>
        <v>179.11</v>
      </c>
      <c r="U541" s="51">
        <f t="shared" si="2659"/>
        <v>146.19499999999999</v>
      </c>
      <c r="V541" s="51">
        <f t="shared" ref="V541:W541" si="2810">(E540+E541)/2</f>
        <v>91.33</v>
      </c>
      <c r="W541" s="51">
        <f t="shared" si="2810"/>
        <v>58.045000000000002</v>
      </c>
      <c r="X541" s="51">
        <f t="shared" ref="X541:AB541" si="2811">(SUM(B538:B541))/4</f>
        <v>251.7475</v>
      </c>
      <c r="Y541" s="51">
        <f t="shared" si="2811"/>
        <v>182.02500000000001</v>
      </c>
      <c r="Z541" s="51">
        <f t="shared" si="2811"/>
        <v>150.435</v>
      </c>
      <c r="AA541" s="51">
        <f t="shared" si="2811"/>
        <v>97.454999999999998</v>
      </c>
      <c r="AB541" s="51">
        <f t="shared" si="2811"/>
        <v>60.752499999999998</v>
      </c>
      <c r="AC541" s="51">
        <f t="shared" ref="AC541:AF541" si="2812">(B541+C541)/2</f>
        <v>222.72</v>
      </c>
      <c r="AD541" s="51">
        <f t="shared" si="2812"/>
        <v>165.23000000000002</v>
      </c>
      <c r="AE541" s="51">
        <f t="shared" si="2812"/>
        <v>117.15</v>
      </c>
      <c r="AF541" s="51">
        <f t="shared" si="2812"/>
        <v>72.52</v>
      </c>
      <c r="AG541" s="57"/>
      <c r="AH541" s="57"/>
      <c r="AI541" s="57"/>
      <c r="AJ541" s="57"/>
      <c r="AK541" s="51">
        <f t="shared" si="2093"/>
        <v>69.337500000000006</v>
      </c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8"/>
      <c r="BK541" s="8"/>
      <c r="BL541" s="8"/>
      <c r="BM541" s="8"/>
    </row>
    <row r="542" spans="1:65" ht="30" hidden="1" customHeight="1" x14ac:dyDescent="0.45">
      <c r="A542" s="55">
        <f t="shared" ref="A542:A548" si="2813">A541+7</f>
        <v>44673</v>
      </c>
      <c r="B542" s="56">
        <v>265.76</v>
      </c>
      <c r="C542" s="56">
        <v>190.87</v>
      </c>
      <c r="D542" s="56">
        <v>142.01</v>
      </c>
      <c r="E542" s="56">
        <v>88.49</v>
      </c>
      <c r="F542" s="56">
        <v>54.99</v>
      </c>
      <c r="G542" s="56">
        <v>370</v>
      </c>
      <c r="H542" s="51">
        <f t="shared" ref="H542:M542" si="2814">B542-B541</f>
        <v>4.1899999999999977</v>
      </c>
      <c r="I542" s="51">
        <f t="shared" si="2814"/>
        <v>7</v>
      </c>
      <c r="J542" s="51">
        <f t="shared" si="2814"/>
        <v>-4.5800000000000125</v>
      </c>
      <c r="K542" s="51">
        <f t="shared" si="2814"/>
        <v>0.78000000000000114</v>
      </c>
      <c r="L542" s="51">
        <f t="shared" si="2814"/>
        <v>-2.3399999999999963</v>
      </c>
      <c r="M542" s="42">
        <f t="shared" si="2814"/>
        <v>33.370000000000005</v>
      </c>
      <c r="N542" s="51">
        <f t="shared" ref="N542:R542" si="2815">N541</f>
        <v>256.86400000000003</v>
      </c>
      <c r="O542" s="51">
        <f t="shared" si="2815"/>
        <v>182.804</v>
      </c>
      <c r="P542" s="51">
        <f t="shared" si="2815"/>
        <v>145.12200000000001</v>
      </c>
      <c r="Q542" s="51">
        <f t="shared" si="2815"/>
        <v>91.677999999999997</v>
      </c>
      <c r="R542" s="51">
        <f t="shared" si="2815"/>
        <v>57.462000000000003</v>
      </c>
      <c r="S542" s="51">
        <f t="shared" ref="S542:T542" si="2816">(B541+B542)/2</f>
        <v>263.66499999999996</v>
      </c>
      <c r="T542" s="51">
        <f t="shared" si="2816"/>
        <v>187.37</v>
      </c>
      <c r="U542" s="51">
        <f t="shared" si="2659"/>
        <v>144.30000000000001</v>
      </c>
      <c r="V542" s="51">
        <f t="shared" ref="V542:W542" si="2817">(E541+E542)/2</f>
        <v>88.1</v>
      </c>
      <c r="W542" s="51">
        <f t="shared" si="2817"/>
        <v>56.16</v>
      </c>
      <c r="X542" s="51">
        <f t="shared" ref="X542:AB542" si="2818">(SUM(B539:B542))/4</f>
        <v>254.35000000000002</v>
      </c>
      <c r="Y542" s="51">
        <f t="shared" si="2818"/>
        <v>180.375</v>
      </c>
      <c r="Z542" s="51">
        <f t="shared" si="2818"/>
        <v>145.64750000000001</v>
      </c>
      <c r="AA542" s="51">
        <f t="shared" si="2818"/>
        <v>92.36</v>
      </c>
      <c r="AB542" s="51">
        <f t="shared" si="2818"/>
        <v>58.067499999999995</v>
      </c>
      <c r="AC542" s="51">
        <f t="shared" ref="AC542:AF542" si="2819">(B542+C542)/2</f>
        <v>228.315</v>
      </c>
      <c r="AD542" s="51">
        <f t="shared" si="2819"/>
        <v>166.44</v>
      </c>
      <c r="AE542" s="51">
        <f t="shared" si="2819"/>
        <v>115.25</v>
      </c>
      <c r="AF542" s="51">
        <f t="shared" si="2819"/>
        <v>71.739999999999995</v>
      </c>
      <c r="AG542" s="57"/>
      <c r="AH542" s="57"/>
      <c r="AI542" s="57"/>
      <c r="AJ542" s="57"/>
      <c r="AK542" s="51">
        <f t="shared" si="2093"/>
        <v>66.78</v>
      </c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8"/>
      <c r="BK542" s="8"/>
      <c r="BL542" s="8"/>
      <c r="BM542" s="8"/>
    </row>
    <row r="543" spans="1:65" ht="30" hidden="1" customHeight="1" x14ac:dyDescent="0.45">
      <c r="A543" s="55">
        <f t="shared" si="2813"/>
        <v>44680</v>
      </c>
      <c r="B543" s="56">
        <v>266.92</v>
      </c>
      <c r="C543" s="56">
        <v>192.52</v>
      </c>
      <c r="D543" s="56">
        <v>143.02000000000001</v>
      </c>
      <c r="E543" s="56">
        <v>88.95</v>
      </c>
      <c r="F543" s="56">
        <v>55.04</v>
      </c>
      <c r="G543" s="56">
        <v>356.03</v>
      </c>
      <c r="H543" s="51">
        <f t="shared" ref="H543:M543" si="2820">B543-B542</f>
        <v>1.160000000000025</v>
      </c>
      <c r="I543" s="51">
        <f t="shared" si="2820"/>
        <v>1.6500000000000057</v>
      </c>
      <c r="J543" s="51">
        <f t="shared" si="2820"/>
        <v>1.0100000000000193</v>
      </c>
      <c r="K543" s="51">
        <f t="shared" si="2820"/>
        <v>0.46000000000000796</v>
      </c>
      <c r="L543" s="51">
        <f t="shared" si="2820"/>
        <v>4.9999999999997158E-2</v>
      </c>
      <c r="M543" s="42">
        <f t="shared" si="2820"/>
        <v>-13.970000000000027</v>
      </c>
      <c r="N543" s="51">
        <f t="shared" ref="N543:R543" si="2821">N542</f>
        <v>256.86400000000003</v>
      </c>
      <c r="O543" s="51">
        <f t="shared" si="2821"/>
        <v>182.804</v>
      </c>
      <c r="P543" s="51">
        <f t="shared" si="2821"/>
        <v>145.12200000000001</v>
      </c>
      <c r="Q543" s="51">
        <f t="shared" si="2821"/>
        <v>91.677999999999997</v>
      </c>
      <c r="R543" s="51">
        <f t="shared" si="2821"/>
        <v>57.462000000000003</v>
      </c>
      <c r="S543" s="51">
        <f t="shared" ref="S543:T543" si="2822">(B542+B543)/2</f>
        <v>266.34000000000003</v>
      </c>
      <c r="T543" s="51">
        <f t="shared" si="2822"/>
        <v>191.69499999999999</v>
      </c>
      <c r="U543" s="51">
        <f t="shared" si="2659"/>
        <v>142.51499999999999</v>
      </c>
      <c r="V543" s="51">
        <f t="shared" ref="V543:W543" si="2823">(E542+E543)/2</f>
        <v>88.72</v>
      </c>
      <c r="W543" s="51">
        <f t="shared" si="2823"/>
        <v>55.015000000000001</v>
      </c>
      <c r="X543" s="51">
        <f t="shared" ref="X543:AB543" si="2824">(SUM(B540:B543))/4</f>
        <v>259.70749999999998</v>
      </c>
      <c r="Y543" s="51">
        <f t="shared" si="2824"/>
        <v>185.4025</v>
      </c>
      <c r="Z543" s="51">
        <f t="shared" si="2824"/>
        <v>144.35499999999999</v>
      </c>
      <c r="AA543" s="51">
        <f t="shared" si="2824"/>
        <v>90.024999999999991</v>
      </c>
      <c r="AB543" s="51">
        <f t="shared" si="2824"/>
        <v>56.53</v>
      </c>
      <c r="AC543" s="51">
        <f t="shared" ref="AC543:AF543" si="2825">(B543+C543)/2</f>
        <v>229.72000000000003</v>
      </c>
      <c r="AD543" s="51">
        <f t="shared" si="2825"/>
        <v>167.77</v>
      </c>
      <c r="AE543" s="51">
        <f t="shared" si="2825"/>
        <v>115.98500000000001</v>
      </c>
      <c r="AF543" s="51">
        <f t="shared" si="2825"/>
        <v>71.995000000000005</v>
      </c>
      <c r="AG543" s="57"/>
      <c r="AH543" s="57"/>
      <c r="AI543" s="57"/>
      <c r="AJ543" s="57"/>
      <c r="AK543" s="51">
        <f t="shared" si="2093"/>
        <v>66.517500000000013</v>
      </c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8"/>
      <c r="BK543" s="8"/>
      <c r="BL543" s="8"/>
      <c r="BM543" s="8"/>
    </row>
    <row r="544" spans="1:65" ht="30" hidden="1" customHeight="1" x14ac:dyDescent="0.45">
      <c r="A544" s="55">
        <f t="shared" si="2813"/>
        <v>44687</v>
      </c>
      <c r="B544" s="56">
        <v>270.24</v>
      </c>
      <c r="C544" s="56">
        <v>194.58</v>
      </c>
      <c r="D544" s="56">
        <v>141.88999999999999</v>
      </c>
      <c r="E544" s="56">
        <v>89.68</v>
      </c>
      <c r="F544" s="56">
        <v>55.01</v>
      </c>
      <c r="G544" s="56">
        <v>376.59</v>
      </c>
      <c r="H544" s="51">
        <f t="shared" ref="H544:M544" si="2826">B544-B543</f>
        <v>3.3199999999999932</v>
      </c>
      <c r="I544" s="51">
        <f t="shared" si="2826"/>
        <v>2.0600000000000023</v>
      </c>
      <c r="J544" s="51">
        <f t="shared" si="2826"/>
        <v>-1.1300000000000239</v>
      </c>
      <c r="K544" s="51">
        <f t="shared" si="2826"/>
        <v>0.73000000000000398</v>
      </c>
      <c r="L544" s="51">
        <f t="shared" si="2826"/>
        <v>-3.0000000000001137E-2</v>
      </c>
      <c r="M544" s="42">
        <f t="shared" si="2826"/>
        <v>20.560000000000002</v>
      </c>
      <c r="N544" s="51">
        <f t="shared" ref="N544:R544" si="2827">AVERAGE(B544:B547)</f>
        <v>277.61750000000001</v>
      </c>
      <c r="O544" s="51">
        <f t="shared" si="2827"/>
        <v>195.81</v>
      </c>
      <c r="P544" s="51">
        <f t="shared" si="2827"/>
        <v>143.35499999999999</v>
      </c>
      <c r="Q544" s="51">
        <f t="shared" si="2827"/>
        <v>89.097499999999997</v>
      </c>
      <c r="R544" s="51">
        <f t="shared" si="2827"/>
        <v>55.037499999999994</v>
      </c>
      <c r="S544" s="51">
        <f t="shared" ref="S544:T544" si="2828">(B543+B544)/2</f>
        <v>268.58000000000004</v>
      </c>
      <c r="T544" s="51">
        <f t="shared" si="2828"/>
        <v>193.55</v>
      </c>
      <c r="U544" s="51">
        <f t="shared" si="2659"/>
        <v>142.45499999999998</v>
      </c>
      <c r="V544" s="51">
        <f t="shared" ref="V544:W544" si="2829">(E543+E544)/2</f>
        <v>89.314999999999998</v>
      </c>
      <c r="W544" s="51">
        <f t="shared" si="2829"/>
        <v>55.024999999999999</v>
      </c>
      <c r="X544" s="51">
        <f t="shared" ref="X544:AB544" si="2830">(SUM(B541:B544))/4</f>
        <v>266.1225</v>
      </c>
      <c r="Y544" s="51">
        <f t="shared" si="2830"/>
        <v>190.46</v>
      </c>
      <c r="Z544" s="51">
        <f t="shared" si="2830"/>
        <v>143.3775</v>
      </c>
      <c r="AA544" s="51">
        <f t="shared" si="2830"/>
        <v>88.707499999999996</v>
      </c>
      <c r="AB544" s="51">
        <f t="shared" si="2830"/>
        <v>55.592499999999994</v>
      </c>
      <c r="AC544" s="51">
        <f t="shared" ref="AC544:AF544" si="2831">(B544+C544)/2</f>
        <v>232.41000000000003</v>
      </c>
      <c r="AD544" s="51">
        <f t="shared" si="2831"/>
        <v>168.23500000000001</v>
      </c>
      <c r="AE544" s="51">
        <f t="shared" si="2831"/>
        <v>115.785</v>
      </c>
      <c r="AF544" s="51">
        <f t="shared" si="2831"/>
        <v>72.344999999999999</v>
      </c>
      <c r="AG544" s="57"/>
      <c r="AH544" s="57"/>
      <c r="AI544" s="57"/>
      <c r="AJ544" s="57"/>
      <c r="AK544" s="51">
        <f t="shared" si="2093"/>
        <v>66.820000000000007</v>
      </c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8"/>
      <c r="BK544" s="8"/>
      <c r="BL544" s="8"/>
      <c r="BM544" s="8"/>
    </row>
    <row r="545" spans="1:65" ht="30" hidden="1" customHeight="1" x14ac:dyDescent="0.45">
      <c r="A545" s="55">
        <f t="shared" si="2813"/>
        <v>44694</v>
      </c>
      <c r="B545" s="56">
        <v>276.51</v>
      </c>
      <c r="C545" s="56">
        <v>195.94</v>
      </c>
      <c r="D545" s="56">
        <v>144.54</v>
      </c>
      <c r="E545" s="56">
        <v>89.62</v>
      </c>
      <c r="F545" s="56">
        <v>55.37</v>
      </c>
      <c r="G545" s="56">
        <v>397.8</v>
      </c>
      <c r="H545" s="51">
        <f t="shared" ref="H545:M545" si="2832">B545-B544</f>
        <v>6.2699999999999818</v>
      </c>
      <c r="I545" s="51">
        <f t="shared" si="2832"/>
        <v>1.3599999999999852</v>
      </c>
      <c r="J545" s="51">
        <f t="shared" si="2832"/>
        <v>2.6500000000000057</v>
      </c>
      <c r="K545" s="51">
        <f t="shared" si="2832"/>
        <v>-6.0000000000002274E-2</v>
      </c>
      <c r="L545" s="51">
        <f t="shared" si="2832"/>
        <v>0.35999999999999943</v>
      </c>
      <c r="M545" s="42">
        <f t="shared" si="2832"/>
        <v>21.210000000000036</v>
      </c>
      <c r="N545" s="51">
        <f t="shared" ref="N545:R545" si="2833">N544</f>
        <v>277.61750000000001</v>
      </c>
      <c r="O545" s="51">
        <f t="shared" si="2833"/>
        <v>195.81</v>
      </c>
      <c r="P545" s="51">
        <f t="shared" si="2833"/>
        <v>143.35499999999999</v>
      </c>
      <c r="Q545" s="51">
        <f t="shared" si="2833"/>
        <v>89.097499999999997</v>
      </c>
      <c r="R545" s="51">
        <f t="shared" si="2833"/>
        <v>55.037499999999994</v>
      </c>
      <c r="S545" s="51">
        <f t="shared" ref="S545:T545" si="2834">(B544+B545)/2</f>
        <v>273.375</v>
      </c>
      <c r="T545" s="51">
        <f t="shared" si="2834"/>
        <v>195.26</v>
      </c>
      <c r="U545" s="51">
        <f t="shared" si="2659"/>
        <v>143.21499999999997</v>
      </c>
      <c r="V545" s="51">
        <f t="shared" ref="V545:W545" si="2835">(E544+E545)/2</f>
        <v>89.65</v>
      </c>
      <c r="W545" s="51">
        <f t="shared" si="2835"/>
        <v>55.19</v>
      </c>
      <c r="X545" s="51">
        <f t="shared" ref="X545:AB545" si="2836">(SUM(B542:B545))/4</f>
        <v>269.85750000000002</v>
      </c>
      <c r="Y545" s="51">
        <f t="shared" si="2836"/>
        <v>193.47750000000002</v>
      </c>
      <c r="Z545" s="51">
        <f t="shared" si="2836"/>
        <v>142.86499999999998</v>
      </c>
      <c r="AA545" s="51">
        <f t="shared" si="2836"/>
        <v>89.185000000000002</v>
      </c>
      <c r="AB545" s="51">
        <f t="shared" si="2836"/>
        <v>55.102499999999999</v>
      </c>
      <c r="AC545" s="51">
        <f t="shared" ref="AC545:AF545" si="2837">(B545+C545)/2</f>
        <v>236.22499999999999</v>
      </c>
      <c r="AD545" s="51">
        <f t="shared" si="2837"/>
        <v>170.24</v>
      </c>
      <c r="AE545" s="51">
        <f t="shared" si="2837"/>
        <v>117.08</v>
      </c>
      <c r="AF545" s="51">
        <f t="shared" si="2837"/>
        <v>72.495000000000005</v>
      </c>
      <c r="AG545" s="57"/>
      <c r="AH545" s="57"/>
      <c r="AI545" s="57"/>
      <c r="AJ545" s="57"/>
      <c r="AK545" s="51">
        <f t="shared" si="2093"/>
        <v>67.070000000000007</v>
      </c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8"/>
      <c r="BK545" s="8"/>
      <c r="BL545" s="8"/>
      <c r="BM545" s="8"/>
    </row>
    <row r="546" spans="1:65" ht="30" hidden="1" customHeight="1" x14ac:dyDescent="0.45">
      <c r="A546" s="55">
        <f t="shared" si="2813"/>
        <v>44701</v>
      </c>
      <c r="B546" s="56">
        <v>280.3</v>
      </c>
      <c r="C546" s="56">
        <v>197.44</v>
      </c>
      <c r="D546" s="56">
        <v>144.02000000000001</v>
      </c>
      <c r="E546" s="56">
        <v>89.21</v>
      </c>
      <c r="F546" s="56">
        <v>55.79</v>
      </c>
      <c r="G546" s="56">
        <v>436.07</v>
      </c>
      <c r="H546" s="51">
        <f t="shared" ref="H546:M546" si="2838">B546-B545</f>
        <v>3.7900000000000205</v>
      </c>
      <c r="I546" s="51">
        <f t="shared" si="2838"/>
        <v>1.5</v>
      </c>
      <c r="J546" s="51">
        <f t="shared" si="2838"/>
        <v>-0.51999999999998181</v>
      </c>
      <c r="K546" s="51">
        <f t="shared" si="2838"/>
        <v>-0.4100000000000108</v>
      </c>
      <c r="L546" s="51">
        <f t="shared" si="2838"/>
        <v>0.42000000000000171</v>
      </c>
      <c r="M546" s="42">
        <f t="shared" si="2838"/>
        <v>38.269999999999982</v>
      </c>
      <c r="N546" s="51">
        <f t="shared" ref="N546:R546" si="2839">N545</f>
        <v>277.61750000000001</v>
      </c>
      <c r="O546" s="51">
        <f t="shared" si="2839"/>
        <v>195.81</v>
      </c>
      <c r="P546" s="51">
        <f t="shared" si="2839"/>
        <v>143.35499999999999</v>
      </c>
      <c r="Q546" s="51">
        <f t="shared" si="2839"/>
        <v>89.097499999999997</v>
      </c>
      <c r="R546" s="51">
        <f t="shared" si="2839"/>
        <v>55.037499999999994</v>
      </c>
      <c r="S546" s="51">
        <f t="shared" ref="S546:T546" si="2840">(B545+B546)/2</f>
        <v>278.40499999999997</v>
      </c>
      <c r="T546" s="51">
        <f t="shared" si="2840"/>
        <v>196.69</v>
      </c>
      <c r="U546" s="51">
        <f t="shared" si="2659"/>
        <v>144.28</v>
      </c>
      <c r="V546" s="51">
        <f t="shared" ref="V546:W546" si="2841">(E545+E546)/2</f>
        <v>89.414999999999992</v>
      </c>
      <c r="W546" s="51">
        <f t="shared" si="2841"/>
        <v>55.58</v>
      </c>
      <c r="X546" s="51">
        <f t="shared" ref="X546:AB546" si="2842">(SUM(B543:B546))/4</f>
        <v>273.49250000000001</v>
      </c>
      <c r="Y546" s="51">
        <f t="shared" si="2842"/>
        <v>195.12</v>
      </c>
      <c r="Z546" s="51">
        <f t="shared" si="2842"/>
        <v>143.36749999999998</v>
      </c>
      <c r="AA546" s="51">
        <f t="shared" si="2842"/>
        <v>89.364999999999995</v>
      </c>
      <c r="AB546" s="51">
        <f t="shared" si="2842"/>
        <v>55.302499999999995</v>
      </c>
      <c r="AC546" s="51">
        <f t="shared" ref="AC546:AF546" si="2843">(B546+C546)/2</f>
        <v>238.87</v>
      </c>
      <c r="AD546" s="51">
        <f t="shared" si="2843"/>
        <v>170.73000000000002</v>
      </c>
      <c r="AE546" s="51">
        <f t="shared" si="2843"/>
        <v>116.61500000000001</v>
      </c>
      <c r="AF546" s="51">
        <f t="shared" si="2843"/>
        <v>72.5</v>
      </c>
      <c r="AG546" s="57"/>
      <c r="AH546" s="57"/>
      <c r="AI546" s="57"/>
      <c r="AJ546" s="57"/>
      <c r="AK546" s="51">
        <f t="shared" si="2093"/>
        <v>67.147500000000008</v>
      </c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8"/>
      <c r="BK546" s="8"/>
      <c r="BL546" s="8"/>
      <c r="BM546" s="8"/>
    </row>
    <row r="547" spans="1:65" ht="30" hidden="1" customHeight="1" x14ac:dyDescent="0.45">
      <c r="A547" s="55">
        <f t="shared" si="2813"/>
        <v>44708</v>
      </c>
      <c r="B547" s="56">
        <v>283.42</v>
      </c>
      <c r="C547" s="56">
        <v>195.28</v>
      </c>
      <c r="D547" s="56">
        <v>142.97</v>
      </c>
      <c r="E547" s="56">
        <v>87.88</v>
      </c>
      <c r="F547" s="56">
        <v>53.98</v>
      </c>
      <c r="G547" s="56">
        <v>415.6</v>
      </c>
      <c r="H547" s="51">
        <f t="shared" ref="H547:M547" si="2844">B547-B546</f>
        <v>3.1200000000000045</v>
      </c>
      <c r="I547" s="51">
        <f t="shared" si="2844"/>
        <v>-2.1599999999999966</v>
      </c>
      <c r="J547" s="51">
        <f t="shared" si="2844"/>
        <v>-1.0500000000000114</v>
      </c>
      <c r="K547" s="51">
        <f t="shared" si="2844"/>
        <v>-1.3299999999999983</v>
      </c>
      <c r="L547" s="51">
        <f t="shared" si="2844"/>
        <v>-1.8100000000000023</v>
      </c>
      <c r="M547" s="42">
        <f t="shared" si="2844"/>
        <v>-20.46999999999997</v>
      </c>
      <c r="N547" s="51">
        <f t="shared" ref="N547:R547" si="2845">N546</f>
        <v>277.61750000000001</v>
      </c>
      <c r="O547" s="51">
        <f t="shared" si="2845"/>
        <v>195.81</v>
      </c>
      <c r="P547" s="51">
        <f t="shared" si="2845"/>
        <v>143.35499999999999</v>
      </c>
      <c r="Q547" s="51">
        <f t="shared" si="2845"/>
        <v>89.097499999999997</v>
      </c>
      <c r="R547" s="51">
        <f t="shared" si="2845"/>
        <v>55.037499999999994</v>
      </c>
      <c r="S547" s="51">
        <f t="shared" ref="S547:T547" si="2846">(B546+B547)/2</f>
        <v>281.86</v>
      </c>
      <c r="T547" s="51">
        <f t="shared" si="2846"/>
        <v>196.36</v>
      </c>
      <c r="U547" s="51">
        <f t="shared" si="2659"/>
        <v>143.495</v>
      </c>
      <c r="V547" s="51">
        <f t="shared" ref="V547:W547" si="2847">(E546+E547)/2</f>
        <v>88.544999999999987</v>
      </c>
      <c r="W547" s="51">
        <f t="shared" si="2847"/>
        <v>54.884999999999998</v>
      </c>
      <c r="X547" s="51">
        <f t="shared" ref="X547:AB547" si="2848">(SUM(B544:B547))/4</f>
        <v>277.61750000000001</v>
      </c>
      <c r="Y547" s="51">
        <f t="shared" si="2848"/>
        <v>195.81</v>
      </c>
      <c r="Z547" s="51">
        <f t="shared" si="2848"/>
        <v>143.35499999999999</v>
      </c>
      <c r="AA547" s="51">
        <f t="shared" si="2848"/>
        <v>89.097499999999997</v>
      </c>
      <c r="AB547" s="51">
        <f t="shared" si="2848"/>
        <v>55.037499999999994</v>
      </c>
      <c r="AC547" s="51">
        <f t="shared" ref="AC547:AF547" si="2849">(B547+C547)/2</f>
        <v>239.35000000000002</v>
      </c>
      <c r="AD547" s="51">
        <f t="shared" si="2849"/>
        <v>169.125</v>
      </c>
      <c r="AE547" s="51">
        <f t="shared" si="2849"/>
        <v>115.425</v>
      </c>
      <c r="AF547" s="51">
        <f t="shared" si="2849"/>
        <v>70.929999999999993</v>
      </c>
      <c r="AG547" s="57"/>
      <c r="AH547" s="57"/>
      <c r="AI547" s="57"/>
      <c r="AJ547" s="57"/>
      <c r="AK547" s="51">
        <f t="shared" si="2093"/>
        <v>66.364999999999995</v>
      </c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8"/>
      <c r="BK547" s="8"/>
      <c r="BL547" s="8"/>
      <c r="BM547" s="8"/>
    </row>
    <row r="548" spans="1:65" ht="30" hidden="1" customHeight="1" x14ac:dyDescent="0.45">
      <c r="A548" s="55">
        <f t="shared" si="2813"/>
        <v>44715</v>
      </c>
      <c r="B548" s="56">
        <v>278.91000000000003</v>
      </c>
      <c r="C548" s="56">
        <v>189.7</v>
      </c>
      <c r="D548" s="56">
        <v>138.46</v>
      </c>
      <c r="E548" s="56">
        <v>85.55</v>
      </c>
      <c r="F548" s="56">
        <v>52.6</v>
      </c>
      <c r="G548" s="56">
        <v>411.63</v>
      </c>
      <c r="H548" s="51">
        <f t="shared" ref="H548:M548" si="2850">B548-B547</f>
        <v>-4.5099999999999909</v>
      </c>
      <c r="I548" s="51">
        <f t="shared" si="2850"/>
        <v>-5.5800000000000125</v>
      </c>
      <c r="J548" s="51">
        <f t="shared" si="2850"/>
        <v>-4.5099999999999909</v>
      </c>
      <c r="K548" s="51">
        <f t="shared" si="2850"/>
        <v>-2.3299999999999983</v>
      </c>
      <c r="L548" s="51">
        <f t="shared" si="2850"/>
        <v>-1.3799999999999955</v>
      </c>
      <c r="M548" s="42">
        <f t="shared" si="2850"/>
        <v>-3.9700000000000273</v>
      </c>
      <c r="N548" s="51">
        <f t="shared" ref="N548:R548" si="2851">AVERAGE(B548:B551)</f>
        <v>275.14499999999998</v>
      </c>
      <c r="O548" s="51">
        <f t="shared" si="2851"/>
        <v>190.10250000000002</v>
      </c>
      <c r="P548" s="51">
        <f t="shared" si="2851"/>
        <v>138.48250000000002</v>
      </c>
      <c r="Q548" s="51">
        <f t="shared" si="2851"/>
        <v>86.177499999999995</v>
      </c>
      <c r="R548" s="51">
        <f t="shared" si="2851"/>
        <v>52.582500000000003</v>
      </c>
      <c r="S548" s="51">
        <f t="shared" ref="S548:T548" si="2852">(B547+B548)/2</f>
        <v>281.16500000000002</v>
      </c>
      <c r="T548" s="51">
        <f t="shared" si="2852"/>
        <v>192.49</v>
      </c>
      <c r="U548" s="51">
        <f t="shared" si="2659"/>
        <v>140.715</v>
      </c>
      <c r="V548" s="51">
        <f t="shared" ref="V548:W548" si="2853">(E547+E548)/2</f>
        <v>86.715000000000003</v>
      </c>
      <c r="W548" s="51">
        <f t="shared" si="2853"/>
        <v>53.29</v>
      </c>
      <c r="X548" s="51">
        <f t="shared" ref="X548:AB548" si="2854">(SUM(B545:B548))/4</f>
        <v>279.78500000000003</v>
      </c>
      <c r="Y548" s="51">
        <f t="shared" si="2854"/>
        <v>194.58999999999997</v>
      </c>
      <c r="Z548" s="51">
        <f t="shared" si="2854"/>
        <v>142.4975</v>
      </c>
      <c r="AA548" s="51">
        <f t="shared" si="2854"/>
        <v>88.064999999999998</v>
      </c>
      <c r="AB548" s="51">
        <f t="shared" si="2854"/>
        <v>54.434999999999995</v>
      </c>
      <c r="AC548" s="51">
        <f t="shared" ref="AC548:AF548" si="2855">(B548+C548)/2</f>
        <v>234.30500000000001</v>
      </c>
      <c r="AD548" s="51">
        <f t="shared" si="2855"/>
        <v>164.07999999999998</v>
      </c>
      <c r="AE548" s="51">
        <f t="shared" si="2855"/>
        <v>112.005</v>
      </c>
      <c r="AF548" s="51">
        <f t="shared" si="2855"/>
        <v>69.075000000000003</v>
      </c>
      <c r="AG548" s="57"/>
      <c r="AH548" s="57"/>
      <c r="AI548" s="57"/>
      <c r="AJ548" s="57"/>
      <c r="AK548" s="51">
        <f t="shared" si="2093"/>
        <v>64.652500000000003</v>
      </c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8"/>
      <c r="BK548" s="8"/>
      <c r="BL548" s="8"/>
      <c r="BM548" s="8"/>
    </row>
    <row r="549" spans="1:65" ht="30" hidden="1" customHeight="1" x14ac:dyDescent="0.45">
      <c r="A549" s="55">
        <v>44722</v>
      </c>
      <c r="B549" s="56">
        <v>277.19</v>
      </c>
      <c r="C549" s="56">
        <v>189.28</v>
      </c>
      <c r="D549" s="56">
        <v>137.66</v>
      </c>
      <c r="E549" s="56">
        <v>85.84</v>
      </c>
      <c r="F549" s="56">
        <v>51.3</v>
      </c>
      <c r="G549" s="56">
        <v>398</v>
      </c>
      <c r="H549" s="51">
        <f t="shared" ref="H549:M549" si="2856">B549-B548</f>
        <v>-1.7200000000000273</v>
      </c>
      <c r="I549" s="51">
        <f t="shared" si="2856"/>
        <v>-0.41999999999998749</v>
      </c>
      <c r="J549" s="51">
        <f t="shared" si="2856"/>
        <v>-0.80000000000001137</v>
      </c>
      <c r="K549" s="51">
        <f t="shared" si="2856"/>
        <v>0.29000000000000625</v>
      </c>
      <c r="L549" s="51">
        <f t="shared" si="2856"/>
        <v>-1.3000000000000043</v>
      </c>
      <c r="M549" s="42">
        <f t="shared" si="2856"/>
        <v>-13.629999999999995</v>
      </c>
      <c r="N549" s="51">
        <f t="shared" ref="N549:R549" si="2857">N548</f>
        <v>275.14499999999998</v>
      </c>
      <c r="O549" s="51">
        <f t="shared" si="2857"/>
        <v>190.10250000000002</v>
      </c>
      <c r="P549" s="51">
        <f t="shared" si="2857"/>
        <v>138.48250000000002</v>
      </c>
      <c r="Q549" s="51">
        <f t="shared" si="2857"/>
        <v>86.177499999999995</v>
      </c>
      <c r="R549" s="51">
        <f t="shared" si="2857"/>
        <v>52.582500000000003</v>
      </c>
      <c r="S549" s="51">
        <f t="shared" ref="S549:T549" si="2858">(B548+B549)/2</f>
        <v>278.05</v>
      </c>
      <c r="T549" s="51">
        <f t="shared" si="2858"/>
        <v>189.49</v>
      </c>
      <c r="U549" s="51">
        <f t="shared" si="2659"/>
        <v>138.06</v>
      </c>
      <c r="V549" s="51">
        <f t="shared" ref="V549:W549" si="2859">(E548+E549)/2</f>
        <v>85.694999999999993</v>
      </c>
      <c r="W549" s="51">
        <f t="shared" si="2859"/>
        <v>51.95</v>
      </c>
      <c r="X549" s="51">
        <f t="shared" ref="X549:AB549" si="2860">(SUM(B546:B549))/4</f>
        <v>279.95500000000004</v>
      </c>
      <c r="Y549" s="51">
        <f t="shared" si="2860"/>
        <v>192.92500000000001</v>
      </c>
      <c r="Z549" s="51">
        <f t="shared" si="2860"/>
        <v>140.7775</v>
      </c>
      <c r="AA549" s="51">
        <f t="shared" si="2860"/>
        <v>87.12</v>
      </c>
      <c r="AB549" s="51">
        <f t="shared" si="2860"/>
        <v>53.417500000000004</v>
      </c>
      <c r="AC549" s="51">
        <f t="shared" ref="AC549:AF549" si="2861">(B549+C549)/2</f>
        <v>233.23500000000001</v>
      </c>
      <c r="AD549" s="51">
        <f t="shared" si="2861"/>
        <v>163.47</v>
      </c>
      <c r="AE549" s="51">
        <f t="shared" si="2861"/>
        <v>111.75</v>
      </c>
      <c r="AF549" s="51">
        <f t="shared" si="2861"/>
        <v>68.569999999999993</v>
      </c>
      <c r="AG549" s="57"/>
      <c r="AH549" s="57"/>
      <c r="AI549" s="57"/>
      <c r="AJ549" s="57"/>
      <c r="AK549" s="51">
        <f t="shared" si="2093"/>
        <v>63.472499999999989</v>
      </c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8"/>
      <c r="BK549" s="8"/>
      <c r="BL549" s="8"/>
      <c r="BM549" s="8"/>
    </row>
    <row r="550" spans="1:65" ht="30" hidden="1" customHeight="1" x14ac:dyDescent="0.45">
      <c r="A550" s="55">
        <f t="shared" ref="A550:A591" si="2862">A549+7</f>
        <v>44729</v>
      </c>
      <c r="B550" s="56">
        <v>272.45</v>
      </c>
      <c r="C550" s="56">
        <v>189.13</v>
      </c>
      <c r="D550" s="56">
        <v>138.32</v>
      </c>
      <c r="E550" s="56">
        <v>86.61</v>
      </c>
      <c r="F550" s="56">
        <v>53.21</v>
      </c>
      <c r="G550" s="56">
        <v>377.44</v>
      </c>
      <c r="H550" s="51">
        <f t="shared" ref="H550:M550" si="2863">B550-B549</f>
        <v>-4.7400000000000091</v>
      </c>
      <c r="I550" s="51">
        <f t="shared" si="2863"/>
        <v>-0.15000000000000568</v>
      </c>
      <c r="J550" s="51">
        <f t="shared" si="2863"/>
        <v>0.65999999999999659</v>
      </c>
      <c r="K550" s="51">
        <f t="shared" si="2863"/>
        <v>0.76999999999999602</v>
      </c>
      <c r="L550" s="51">
        <f t="shared" si="2863"/>
        <v>1.9100000000000037</v>
      </c>
      <c r="M550" s="42">
        <f t="shared" si="2863"/>
        <v>-20.560000000000002</v>
      </c>
      <c r="N550" s="51">
        <f t="shared" ref="N550:R550" si="2864">N549</f>
        <v>275.14499999999998</v>
      </c>
      <c r="O550" s="51">
        <f t="shared" si="2864"/>
        <v>190.10250000000002</v>
      </c>
      <c r="P550" s="51">
        <f t="shared" si="2864"/>
        <v>138.48250000000002</v>
      </c>
      <c r="Q550" s="51">
        <f t="shared" si="2864"/>
        <v>86.177499999999995</v>
      </c>
      <c r="R550" s="51">
        <f t="shared" si="2864"/>
        <v>52.582500000000003</v>
      </c>
      <c r="S550" s="51">
        <f t="shared" ref="S550:T550" si="2865">(B549+B550)/2</f>
        <v>274.82</v>
      </c>
      <c r="T550" s="51">
        <f t="shared" si="2865"/>
        <v>189.20499999999998</v>
      </c>
      <c r="U550" s="51">
        <f t="shared" si="2659"/>
        <v>137.99</v>
      </c>
      <c r="V550" s="51">
        <f t="shared" ref="V550:W550" si="2866">(E549+E550)/2</f>
        <v>86.224999999999994</v>
      </c>
      <c r="W550" s="51">
        <f t="shared" si="2866"/>
        <v>52.254999999999995</v>
      </c>
      <c r="X550" s="51">
        <f t="shared" ref="X550:AB550" si="2867">(SUM(B547:B550))/4</f>
        <v>277.99250000000001</v>
      </c>
      <c r="Y550" s="51">
        <f t="shared" si="2867"/>
        <v>190.8475</v>
      </c>
      <c r="Z550" s="51">
        <f t="shared" si="2867"/>
        <v>139.35250000000002</v>
      </c>
      <c r="AA550" s="51">
        <f t="shared" si="2867"/>
        <v>86.47</v>
      </c>
      <c r="AB550" s="51">
        <f t="shared" si="2867"/>
        <v>52.772500000000001</v>
      </c>
      <c r="AC550" s="51">
        <f t="shared" ref="AC550:AF550" si="2868">(B550+C550)/2</f>
        <v>230.79</v>
      </c>
      <c r="AD550" s="51">
        <f t="shared" si="2868"/>
        <v>163.72499999999999</v>
      </c>
      <c r="AE550" s="51">
        <f t="shared" si="2868"/>
        <v>112.465</v>
      </c>
      <c r="AF550" s="51">
        <f t="shared" si="2868"/>
        <v>69.91</v>
      </c>
      <c r="AG550" s="57"/>
      <c r="AH550" s="57"/>
      <c r="AI550" s="57"/>
      <c r="AJ550" s="57"/>
      <c r="AK550" s="51">
        <f t="shared" si="2093"/>
        <v>63.889999999999993</v>
      </c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8"/>
      <c r="BK550" s="8"/>
      <c r="BL550" s="8"/>
      <c r="BM550" s="8"/>
    </row>
    <row r="551" spans="1:65" ht="30" hidden="1" customHeight="1" x14ac:dyDescent="0.45">
      <c r="A551" s="55">
        <f t="shared" si="2862"/>
        <v>44736</v>
      </c>
      <c r="B551" s="56">
        <v>272.02999999999997</v>
      </c>
      <c r="C551" s="56">
        <v>192.3</v>
      </c>
      <c r="D551" s="56">
        <v>139.49</v>
      </c>
      <c r="E551" s="56">
        <v>86.71</v>
      </c>
      <c r="F551" s="56">
        <v>53.22</v>
      </c>
      <c r="G551" s="56">
        <v>403.44</v>
      </c>
      <c r="H551" s="51">
        <f t="shared" ref="H551:M551" si="2869">B551-B550</f>
        <v>-0.42000000000001592</v>
      </c>
      <c r="I551" s="51">
        <f t="shared" si="2869"/>
        <v>3.1700000000000159</v>
      </c>
      <c r="J551" s="51">
        <f t="shared" si="2869"/>
        <v>1.1700000000000159</v>
      </c>
      <c r="K551" s="51">
        <f t="shared" si="2869"/>
        <v>9.9999999999994316E-2</v>
      </c>
      <c r="L551" s="51">
        <f t="shared" si="2869"/>
        <v>9.9999999999980105E-3</v>
      </c>
      <c r="M551" s="42">
        <f t="shared" si="2869"/>
        <v>26</v>
      </c>
      <c r="N551" s="51">
        <f t="shared" ref="N551:R551" si="2870">N550</f>
        <v>275.14499999999998</v>
      </c>
      <c r="O551" s="51">
        <f t="shared" si="2870"/>
        <v>190.10250000000002</v>
      </c>
      <c r="P551" s="51">
        <f t="shared" si="2870"/>
        <v>138.48250000000002</v>
      </c>
      <c r="Q551" s="51">
        <f t="shared" si="2870"/>
        <v>86.177499999999995</v>
      </c>
      <c r="R551" s="51">
        <f t="shared" si="2870"/>
        <v>52.582500000000003</v>
      </c>
      <c r="S551" s="51">
        <f t="shared" ref="S551:T551" si="2871">(B550+B551)/2</f>
        <v>272.24</v>
      </c>
      <c r="T551" s="51">
        <f t="shared" si="2871"/>
        <v>190.715</v>
      </c>
      <c r="U551" s="51">
        <f t="shared" si="2659"/>
        <v>138.905</v>
      </c>
      <c r="V551" s="51">
        <f t="shared" ref="V551:W551" si="2872">(E550+E551)/2</f>
        <v>86.66</v>
      </c>
      <c r="W551" s="51">
        <f t="shared" si="2872"/>
        <v>53.215000000000003</v>
      </c>
      <c r="X551" s="51">
        <f t="shared" ref="X551:AB551" si="2873">(SUM(B548:B551))/4</f>
        <v>275.14499999999998</v>
      </c>
      <c r="Y551" s="51">
        <f t="shared" si="2873"/>
        <v>190.10250000000002</v>
      </c>
      <c r="Z551" s="51">
        <f t="shared" si="2873"/>
        <v>138.48250000000002</v>
      </c>
      <c r="AA551" s="51">
        <f t="shared" si="2873"/>
        <v>86.177499999999995</v>
      </c>
      <c r="AB551" s="51">
        <f t="shared" si="2873"/>
        <v>52.582500000000003</v>
      </c>
      <c r="AC551" s="51">
        <f t="shared" ref="AC551:AF551" si="2874">(B551+C551)/2</f>
        <v>232.16499999999999</v>
      </c>
      <c r="AD551" s="51">
        <f t="shared" si="2874"/>
        <v>165.89500000000001</v>
      </c>
      <c r="AE551" s="51">
        <f t="shared" si="2874"/>
        <v>113.1</v>
      </c>
      <c r="AF551" s="51">
        <f t="shared" si="2874"/>
        <v>69.965000000000003</v>
      </c>
      <c r="AG551" s="57"/>
      <c r="AH551" s="57"/>
      <c r="AI551" s="57"/>
      <c r="AJ551" s="57"/>
      <c r="AK551" s="51">
        <f t="shared" si="2093"/>
        <v>64.587500000000006</v>
      </c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8"/>
      <c r="BK551" s="8"/>
      <c r="BL551" s="8"/>
      <c r="BM551" s="8"/>
    </row>
    <row r="552" spans="1:65" ht="30" hidden="1" customHeight="1" x14ac:dyDescent="0.45">
      <c r="A552" s="55">
        <f t="shared" si="2862"/>
        <v>44743</v>
      </c>
      <c r="B552" s="56">
        <v>266.27</v>
      </c>
      <c r="C552" s="56">
        <v>188.59</v>
      </c>
      <c r="D552" s="56">
        <v>137.53</v>
      </c>
      <c r="E552" s="56">
        <v>85.31</v>
      </c>
      <c r="F552" s="56">
        <v>53.01</v>
      </c>
      <c r="G552" s="56">
        <v>390.36</v>
      </c>
      <c r="H552" s="51">
        <f t="shared" ref="H552:M552" si="2875">B552-B551</f>
        <v>-5.7599999999999909</v>
      </c>
      <c r="I552" s="51">
        <f t="shared" si="2875"/>
        <v>-3.710000000000008</v>
      </c>
      <c r="J552" s="51">
        <f t="shared" si="2875"/>
        <v>-1.960000000000008</v>
      </c>
      <c r="K552" s="51">
        <f t="shared" si="2875"/>
        <v>-1.3999999999999915</v>
      </c>
      <c r="L552" s="51">
        <f t="shared" si="2875"/>
        <v>-0.21000000000000085</v>
      </c>
      <c r="M552" s="42">
        <f t="shared" si="2875"/>
        <v>-13.079999999999984</v>
      </c>
      <c r="N552" s="51">
        <f t="shared" ref="N552:R552" si="2876">AVERAGE(B552:B556)</f>
        <v>264.30399999999997</v>
      </c>
      <c r="O552" s="51">
        <f t="shared" si="2876"/>
        <v>182.14</v>
      </c>
      <c r="P552" s="51">
        <f t="shared" si="2876"/>
        <v>128.32</v>
      </c>
      <c r="Q552" s="51">
        <f t="shared" si="2876"/>
        <v>83.63000000000001</v>
      </c>
      <c r="R552" s="51">
        <f t="shared" si="2876"/>
        <v>52.597999999999999</v>
      </c>
      <c r="S552" s="51" t="e">
        <f t="shared" ref="S552:T552" si="2877">(#REF!+B552)/2</f>
        <v>#REF!</v>
      </c>
      <c r="T552" s="51" t="e">
        <f t="shared" si="2877"/>
        <v>#REF!</v>
      </c>
      <c r="U552" s="51" t="e">
        <f>(D552+#REF!)/2</f>
        <v>#REF!</v>
      </c>
      <c r="V552" s="51" t="e">
        <f t="shared" ref="V552:W552" si="2878">(#REF!+E552)/2</f>
        <v>#REF!</v>
      </c>
      <c r="W552" s="51" t="e">
        <f t="shared" si="2878"/>
        <v>#REF!</v>
      </c>
      <c r="X552" s="51">
        <f t="shared" ref="X552:AB552" si="2879">(SUM(B552))/4</f>
        <v>66.567499999999995</v>
      </c>
      <c r="Y552" s="51">
        <f t="shared" si="2879"/>
        <v>47.147500000000001</v>
      </c>
      <c r="Z552" s="51">
        <f t="shared" si="2879"/>
        <v>34.3825</v>
      </c>
      <c r="AA552" s="51">
        <f t="shared" si="2879"/>
        <v>21.327500000000001</v>
      </c>
      <c r="AB552" s="51">
        <f t="shared" si="2879"/>
        <v>13.2525</v>
      </c>
      <c r="AC552" s="51">
        <f t="shared" ref="AC552:AF552" si="2880">(B552+C552)/2</f>
        <v>227.43</v>
      </c>
      <c r="AD552" s="51">
        <f t="shared" si="2880"/>
        <v>163.06</v>
      </c>
      <c r="AE552" s="51">
        <f t="shared" si="2880"/>
        <v>111.42</v>
      </c>
      <c r="AF552" s="51">
        <f t="shared" si="2880"/>
        <v>69.16</v>
      </c>
      <c r="AG552" s="57"/>
      <c r="AH552" s="57"/>
      <c r="AI552" s="57"/>
      <c r="AJ552" s="57"/>
      <c r="AK552" s="51" t="e">
        <f t="shared" si="2093"/>
        <v>#REF!</v>
      </c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8"/>
      <c r="BK552" s="8"/>
      <c r="BL552" s="8"/>
      <c r="BM552" s="8"/>
    </row>
    <row r="553" spans="1:65" ht="30" hidden="1" customHeight="1" x14ac:dyDescent="0.45">
      <c r="A553" s="55">
        <f t="shared" si="2862"/>
        <v>44750</v>
      </c>
      <c r="B553" s="56">
        <v>268.2</v>
      </c>
      <c r="C553" s="56">
        <v>187.9</v>
      </c>
      <c r="D553" s="56">
        <v>132.49</v>
      </c>
      <c r="E553" s="56">
        <v>84.99</v>
      </c>
      <c r="F553" s="56">
        <v>53</v>
      </c>
      <c r="G553" s="56">
        <v>404.56</v>
      </c>
      <c r="H553" s="51">
        <f t="shared" ref="H553:M553" si="2881">B553-B552</f>
        <v>1.9300000000000068</v>
      </c>
      <c r="I553" s="51">
        <f t="shared" si="2881"/>
        <v>-0.68999999999999773</v>
      </c>
      <c r="J553" s="51">
        <f t="shared" si="2881"/>
        <v>-5.039999999999992</v>
      </c>
      <c r="K553" s="51">
        <f t="shared" si="2881"/>
        <v>-0.32000000000000739</v>
      </c>
      <c r="L553" s="51">
        <f t="shared" si="2881"/>
        <v>-9.9999999999980105E-3</v>
      </c>
      <c r="M553" s="42">
        <f t="shared" si="2881"/>
        <v>14.199999999999989</v>
      </c>
      <c r="N553" s="51">
        <f t="shared" ref="N553:R553" si="2882">N552</f>
        <v>264.30399999999997</v>
      </c>
      <c r="O553" s="51">
        <f t="shared" si="2882"/>
        <v>182.14</v>
      </c>
      <c r="P553" s="51">
        <f t="shared" si="2882"/>
        <v>128.32</v>
      </c>
      <c r="Q553" s="51">
        <f t="shared" si="2882"/>
        <v>83.63000000000001</v>
      </c>
      <c r="R553" s="51">
        <f t="shared" si="2882"/>
        <v>52.597999999999999</v>
      </c>
      <c r="S553" s="51">
        <f t="shared" ref="S553:T553" si="2883">(B552+B553)/2</f>
        <v>267.23500000000001</v>
      </c>
      <c r="T553" s="51">
        <f t="shared" si="2883"/>
        <v>188.245</v>
      </c>
      <c r="U553" s="51">
        <f t="shared" ref="U553:U693" si="2884">(D553+D552)/2</f>
        <v>135.01</v>
      </c>
      <c r="V553" s="51">
        <f t="shared" ref="V553:W553" si="2885">(E552+E553)/2</f>
        <v>85.15</v>
      </c>
      <c r="W553" s="51">
        <f t="shared" si="2885"/>
        <v>53.004999999999995</v>
      </c>
      <c r="X553" s="51">
        <f t="shared" ref="X553:AB553" si="2886">(SUM(B552:B553))/4</f>
        <v>133.61750000000001</v>
      </c>
      <c r="Y553" s="51">
        <f t="shared" si="2886"/>
        <v>94.122500000000002</v>
      </c>
      <c r="Z553" s="51">
        <f t="shared" si="2886"/>
        <v>67.504999999999995</v>
      </c>
      <c r="AA553" s="51">
        <f t="shared" si="2886"/>
        <v>42.575000000000003</v>
      </c>
      <c r="AB553" s="51">
        <f t="shared" si="2886"/>
        <v>26.502499999999998</v>
      </c>
      <c r="AC553" s="51">
        <f t="shared" ref="AC553:AF553" si="2887">(B553+C553)/2</f>
        <v>228.05</v>
      </c>
      <c r="AD553" s="51">
        <f t="shared" si="2887"/>
        <v>160.19499999999999</v>
      </c>
      <c r="AE553" s="51">
        <f t="shared" si="2887"/>
        <v>108.74000000000001</v>
      </c>
      <c r="AF553" s="51">
        <f t="shared" si="2887"/>
        <v>68.995000000000005</v>
      </c>
      <c r="AG553" s="57"/>
      <c r="AH553" s="57"/>
      <c r="AI553" s="57"/>
      <c r="AJ553" s="57"/>
      <c r="AK553" s="51">
        <f t="shared" si="2093"/>
        <v>63.727499999999999</v>
      </c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8"/>
      <c r="BK553" s="8"/>
      <c r="BL553" s="8"/>
      <c r="BM553" s="8"/>
    </row>
    <row r="554" spans="1:65" ht="30" hidden="1" customHeight="1" x14ac:dyDescent="0.45">
      <c r="A554" s="55">
        <f t="shared" si="2862"/>
        <v>44757</v>
      </c>
      <c r="B554" s="56">
        <v>265.55</v>
      </c>
      <c r="C554" s="56">
        <v>183.89</v>
      </c>
      <c r="D554" s="56">
        <v>129.68</v>
      </c>
      <c r="E554" s="56">
        <v>84.43</v>
      </c>
      <c r="F554" s="56">
        <v>52.56</v>
      </c>
      <c r="G554" s="56">
        <v>433.9</v>
      </c>
      <c r="H554" s="51">
        <f t="shared" ref="H554:M554" si="2888">B554-B553</f>
        <v>-2.6499999999999773</v>
      </c>
      <c r="I554" s="51">
        <f t="shared" si="2888"/>
        <v>-4.0100000000000193</v>
      </c>
      <c r="J554" s="51">
        <f t="shared" si="2888"/>
        <v>-2.8100000000000023</v>
      </c>
      <c r="K554" s="51">
        <f t="shared" si="2888"/>
        <v>-0.55999999999998806</v>
      </c>
      <c r="L554" s="51">
        <f t="shared" si="2888"/>
        <v>-0.43999999999999773</v>
      </c>
      <c r="M554" s="42">
        <f t="shared" si="2888"/>
        <v>29.339999999999975</v>
      </c>
      <c r="N554" s="51">
        <f t="shared" ref="N554:R554" si="2889">N553</f>
        <v>264.30399999999997</v>
      </c>
      <c r="O554" s="51">
        <f t="shared" si="2889"/>
        <v>182.14</v>
      </c>
      <c r="P554" s="51">
        <f t="shared" si="2889"/>
        <v>128.32</v>
      </c>
      <c r="Q554" s="51">
        <f t="shared" si="2889"/>
        <v>83.63000000000001</v>
      </c>
      <c r="R554" s="51">
        <f t="shared" si="2889"/>
        <v>52.597999999999999</v>
      </c>
      <c r="S554" s="51">
        <f t="shared" ref="S554:T554" si="2890">(B553+B554)/2</f>
        <v>266.875</v>
      </c>
      <c r="T554" s="51">
        <f t="shared" si="2890"/>
        <v>185.89499999999998</v>
      </c>
      <c r="U554" s="51">
        <f t="shared" si="2884"/>
        <v>131.08500000000001</v>
      </c>
      <c r="V554" s="51">
        <f t="shared" ref="V554:W554" si="2891">(E553+E554)/2</f>
        <v>84.710000000000008</v>
      </c>
      <c r="W554" s="51">
        <f t="shared" si="2891"/>
        <v>52.78</v>
      </c>
      <c r="X554" s="51">
        <f t="shared" ref="X554:AB554" si="2892">(SUM(B552:B554))/4</f>
        <v>200.005</v>
      </c>
      <c r="Y554" s="51">
        <f t="shared" si="2892"/>
        <v>140.095</v>
      </c>
      <c r="Z554" s="51">
        <f t="shared" si="2892"/>
        <v>99.924999999999997</v>
      </c>
      <c r="AA554" s="51">
        <f t="shared" si="2892"/>
        <v>63.682500000000005</v>
      </c>
      <c r="AB554" s="51">
        <f t="shared" si="2892"/>
        <v>39.642499999999998</v>
      </c>
      <c r="AC554" s="51">
        <f t="shared" ref="AC554:AF554" si="2893">(B554+C554)/2</f>
        <v>224.72</v>
      </c>
      <c r="AD554" s="51">
        <f t="shared" si="2893"/>
        <v>156.785</v>
      </c>
      <c r="AE554" s="51">
        <f t="shared" si="2893"/>
        <v>107.05500000000001</v>
      </c>
      <c r="AF554" s="51">
        <f t="shared" si="2893"/>
        <v>68.495000000000005</v>
      </c>
      <c r="AG554" s="57"/>
      <c r="AH554" s="57"/>
      <c r="AI554" s="57"/>
      <c r="AJ554" s="57"/>
      <c r="AK554" s="51">
        <f t="shared" si="2093"/>
        <v>63.395000000000003</v>
      </c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8"/>
      <c r="BK554" s="8"/>
      <c r="BL554" s="8"/>
      <c r="BM554" s="8"/>
    </row>
    <row r="555" spans="1:65" ht="30" hidden="1" customHeight="1" x14ac:dyDescent="0.45">
      <c r="A555" s="55">
        <f t="shared" si="2862"/>
        <v>44764</v>
      </c>
      <c r="B555" s="56">
        <v>262.37</v>
      </c>
      <c r="C555" s="56">
        <v>176.9</v>
      </c>
      <c r="D555" s="56">
        <v>124.99</v>
      </c>
      <c r="E555" s="56">
        <v>82.67</v>
      </c>
      <c r="F555" s="56">
        <v>52.64</v>
      </c>
      <c r="G555" s="56">
        <v>404.43</v>
      </c>
      <c r="H555" s="51">
        <f t="shared" ref="H555:M555" si="2894">B555-B554</f>
        <v>-3.1800000000000068</v>
      </c>
      <c r="I555" s="51">
        <f t="shared" si="2894"/>
        <v>-6.9899999999999807</v>
      </c>
      <c r="J555" s="51">
        <f t="shared" si="2894"/>
        <v>-4.6900000000000119</v>
      </c>
      <c r="K555" s="51">
        <f t="shared" si="2894"/>
        <v>-1.7600000000000051</v>
      </c>
      <c r="L555" s="51">
        <f t="shared" si="2894"/>
        <v>7.9999999999998295E-2</v>
      </c>
      <c r="M555" s="42">
        <f t="shared" si="2894"/>
        <v>-29.46999999999997</v>
      </c>
      <c r="N555" s="51">
        <f t="shared" ref="N555:R555" si="2895">N554</f>
        <v>264.30399999999997</v>
      </c>
      <c r="O555" s="51">
        <f t="shared" si="2895"/>
        <v>182.14</v>
      </c>
      <c r="P555" s="51">
        <f t="shared" si="2895"/>
        <v>128.32</v>
      </c>
      <c r="Q555" s="51">
        <f t="shared" si="2895"/>
        <v>83.63000000000001</v>
      </c>
      <c r="R555" s="51">
        <f t="shared" si="2895"/>
        <v>52.597999999999999</v>
      </c>
      <c r="S555" s="51">
        <f t="shared" ref="S555:T555" si="2896">(B554+B555)/2</f>
        <v>263.96000000000004</v>
      </c>
      <c r="T555" s="51">
        <f t="shared" si="2896"/>
        <v>180.39499999999998</v>
      </c>
      <c r="U555" s="51">
        <f t="shared" si="2884"/>
        <v>127.33500000000001</v>
      </c>
      <c r="V555" s="51">
        <f t="shared" ref="V555:W555" si="2897">(E554+E555)/2</f>
        <v>83.550000000000011</v>
      </c>
      <c r="W555" s="51">
        <f t="shared" si="2897"/>
        <v>52.6</v>
      </c>
      <c r="X555" s="51">
        <f t="shared" ref="X555:AB555" si="2898">(SUM(B552:B555))/4</f>
        <v>265.59749999999997</v>
      </c>
      <c r="Y555" s="51">
        <f t="shared" si="2898"/>
        <v>184.32</v>
      </c>
      <c r="Z555" s="51">
        <f t="shared" si="2898"/>
        <v>131.17249999999999</v>
      </c>
      <c r="AA555" s="51">
        <f t="shared" si="2898"/>
        <v>84.350000000000009</v>
      </c>
      <c r="AB555" s="51">
        <f t="shared" si="2898"/>
        <v>52.802499999999995</v>
      </c>
      <c r="AC555" s="51">
        <f t="shared" ref="AC555:AF555" si="2899">(B555+C555)/2</f>
        <v>219.63499999999999</v>
      </c>
      <c r="AD555" s="51">
        <f t="shared" si="2899"/>
        <v>150.94499999999999</v>
      </c>
      <c r="AE555" s="51">
        <f t="shared" si="2899"/>
        <v>103.83</v>
      </c>
      <c r="AF555" s="51">
        <f t="shared" si="2899"/>
        <v>67.655000000000001</v>
      </c>
      <c r="AG555" s="57"/>
      <c r="AH555" s="57"/>
      <c r="AI555" s="57"/>
      <c r="AJ555" s="57"/>
      <c r="AK555" s="51">
        <f t="shared" si="2093"/>
        <v>62.725000000000001</v>
      </c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8"/>
      <c r="BK555" s="8"/>
      <c r="BL555" s="8"/>
      <c r="BM555" s="8"/>
    </row>
    <row r="556" spans="1:65" ht="30" hidden="1" customHeight="1" x14ac:dyDescent="0.45">
      <c r="A556" s="55">
        <f t="shared" si="2862"/>
        <v>44771</v>
      </c>
      <c r="B556" s="56">
        <v>259.13</v>
      </c>
      <c r="C556" s="56">
        <v>173.42</v>
      </c>
      <c r="D556" s="56">
        <v>116.91</v>
      </c>
      <c r="E556" s="56">
        <v>80.75</v>
      </c>
      <c r="F556" s="56">
        <v>51.78</v>
      </c>
      <c r="G556" s="56">
        <v>420.88</v>
      </c>
      <c r="H556" s="51">
        <f t="shared" ref="H556:M556" si="2900">B556-B555</f>
        <v>-3.2400000000000091</v>
      </c>
      <c r="I556" s="51">
        <f t="shared" si="2900"/>
        <v>-3.4800000000000182</v>
      </c>
      <c r="J556" s="51">
        <f t="shared" si="2900"/>
        <v>-8.0799999999999983</v>
      </c>
      <c r="K556" s="51">
        <f t="shared" si="2900"/>
        <v>-1.9200000000000017</v>
      </c>
      <c r="L556" s="51">
        <f t="shared" si="2900"/>
        <v>-0.85999999999999943</v>
      </c>
      <c r="M556" s="42">
        <f t="shared" si="2900"/>
        <v>16.449999999999989</v>
      </c>
      <c r="N556" s="51">
        <f t="shared" ref="N556:R556" si="2901">N555</f>
        <v>264.30399999999997</v>
      </c>
      <c r="O556" s="51">
        <f t="shared" si="2901"/>
        <v>182.14</v>
      </c>
      <c r="P556" s="51">
        <f t="shared" si="2901"/>
        <v>128.32</v>
      </c>
      <c r="Q556" s="51">
        <f t="shared" si="2901"/>
        <v>83.63000000000001</v>
      </c>
      <c r="R556" s="51">
        <f t="shared" si="2901"/>
        <v>52.597999999999999</v>
      </c>
      <c r="S556" s="51">
        <f t="shared" ref="S556:T556" si="2902">(B555+B556)/2</f>
        <v>260.75</v>
      </c>
      <c r="T556" s="51">
        <f t="shared" si="2902"/>
        <v>175.16</v>
      </c>
      <c r="U556" s="51">
        <f t="shared" si="2884"/>
        <v>120.94999999999999</v>
      </c>
      <c r="V556" s="51">
        <f t="shared" ref="V556:W556" si="2903">(E555+E556)/2</f>
        <v>81.710000000000008</v>
      </c>
      <c r="W556" s="51">
        <f t="shared" si="2903"/>
        <v>52.21</v>
      </c>
      <c r="X556" s="51">
        <f t="shared" ref="X556:AB556" si="2904">(SUM(B553:B556))/4</f>
        <v>263.8125</v>
      </c>
      <c r="Y556" s="51">
        <f t="shared" si="2904"/>
        <v>180.52749999999997</v>
      </c>
      <c r="Z556" s="51">
        <f t="shared" si="2904"/>
        <v>126.01750000000001</v>
      </c>
      <c r="AA556" s="51">
        <f t="shared" si="2904"/>
        <v>83.210000000000008</v>
      </c>
      <c r="AB556" s="51">
        <f t="shared" si="2904"/>
        <v>52.494999999999997</v>
      </c>
      <c r="AC556" s="51">
        <f t="shared" ref="AC556:AF556" si="2905">(B556+C556)/2</f>
        <v>216.27499999999998</v>
      </c>
      <c r="AD556" s="51">
        <f t="shared" si="2905"/>
        <v>145.16499999999999</v>
      </c>
      <c r="AE556" s="51">
        <f t="shared" si="2905"/>
        <v>98.83</v>
      </c>
      <c r="AF556" s="51">
        <f t="shared" si="2905"/>
        <v>66.265000000000001</v>
      </c>
      <c r="AG556" s="57"/>
      <c r="AH556" s="57"/>
      <c r="AI556" s="57"/>
      <c r="AJ556" s="57"/>
      <c r="AK556" s="51">
        <f t="shared" si="2093"/>
        <v>61.610000000000007</v>
      </c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8"/>
      <c r="BK556" s="8"/>
      <c r="BL556" s="8"/>
      <c r="BM556" s="8"/>
    </row>
    <row r="557" spans="1:65" ht="30" hidden="1" customHeight="1" x14ac:dyDescent="0.45">
      <c r="A557" s="55">
        <f t="shared" si="2862"/>
        <v>44778</v>
      </c>
      <c r="B557" s="56">
        <v>255.02</v>
      </c>
      <c r="C557" s="56">
        <v>170.31</v>
      </c>
      <c r="D557" s="56">
        <v>110.55</v>
      </c>
      <c r="E557" s="56">
        <v>77.83</v>
      </c>
      <c r="F557" s="56">
        <v>50.58</v>
      </c>
      <c r="G557" s="56">
        <v>392.84</v>
      </c>
      <c r="H557" s="51">
        <f t="shared" ref="H557:M557" si="2906">B557-B556</f>
        <v>-4.1099999999999852</v>
      </c>
      <c r="I557" s="51">
        <f t="shared" si="2906"/>
        <v>-3.1099999999999852</v>
      </c>
      <c r="J557" s="51">
        <f t="shared" si="2906"/>
        <v>-6.3599999999999994</v>
      </c>
      <c r="K557" s="51">
        <f t="shared" si="2906"/>
        <v>-2.9200000000000017</v>
      </c>
      <c r="L557" s="51">
        <f t="shared" si="2906"/>
        <v>-1.2000000000000028</v>
      </c>
      <c r="M557" s="42">
        <f t="shared" si="2906"/>
        <v>-28.04000000000002</v>
      </c>
      <c r="N557" s="51">
        <f t="shared" ref="N557:R557" si="2907">AVERAGE(B557:B560)</f>
        <v>251.20999999999998</v>
      </c>
      <c r="O557" s="51">
        <f t="shared" si="2907"/>
        <v>166.38</v>
      </c>
      <c r="P557" s="51">
        <f t="shared" si="2907"/>
        <v>106.64</v>
      </c>
      <c r="Q557" s="51">
        <f t="shared" si="2907"/>
        <v>74.995000000000005</v>
      </c>
      <c r="R557" s="51">
        <f t="shared" si="2907"/>
        <v>49.952500000000001</v>
      </c>
      <c r="S557" s="51">
        <f t="shared" ref="S557:T557" si="2908">(B556+B557)/2</f>
        <v>257.07499999999999</v>
      </c>
      <c r="T557" s="51">
        <f t="shared" si="2908"/>
        <v>171.86500000000001</v>
      </c>
      <c r="U557" s="51">
        <f t="shared" si="2884"/>
        <v>113.72999999999999</v>
      </c>
      <c r="V557" s="51">
        <f t="shared" ref="V557:W557" si="2909">(E556+E557)/2</f>
        <v>79.289999999999992</v>
      </c>
      <c r="W557" s="51">
        <f t="shared" si="2909"/>
        <v>51.18</v>
      </c>
      <c r="X557" s="51">
        <f t="shared" ref="X557:AB557" si="2910">(SUM(B554:B557))/4</f>
        <v>260.51750000000004</v>
      </c>
      <c r="Y557" s="51">
        <f t="shared" si="2910"/>
        <v>176.13</v>
      </c>
      <c r="Z557" s="51">
        <f t="shared" si="2910"/>
        <v>120.53250000000001</v>
      </c>
      <c r="AA557" s="51">
        <f t="shared" si="2910"/>
        <v>81.42</v>
      </c>
      <c r="AB557" s="51">
        <f t="shared" si="2910"/>
        <v>51.89</v>
      </c>
      <c r="AC557" s="51">
        <f t="shared" ref="AC557:AF557" si="2911">(B557+C557)/2</f>
        <v>212.66500000000002</v>
      </c>
      <c r="AD557" s="51">
        <f t="shared" si="2911"/>
        <v>140.43</v>
      </c>
      <c r="AE557" s="51">
        <f t="shared" si="2911"/>
        <v>94.19</v>
      </c>
      <c r="AF557" s="51">
        <f t="shared" si="2911"/>
        <v>64.204999999999998</v>
      </c>
      <c r="AG557" s="57"/>
      <c r="AH557" s="57"/>
      <c r="AI557" s="57"/>
      <c r="AJ557" s="57"/>
      <c r="AK557" s="51">
        <f t="shared" si="2093"/>
        <v>59.884999999999998</v>
      </c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8"/>
      <c r="BK557" s="8"/>
      <c r="BL557" s="8"/>
      <c r="BM557" s="8"/>
    </row>
    <row r="558" spans="1:65" ht="30" hidden="1" customHeight="1" x14ac:dyDescent="0.45">
      <c r="A558" s="55">
        <f t="shared" si="2862"/>
        <v>44785</v>
      </c>
      <c r="B558" s="56">
        <v>250.39</v>
      </c>
      <c r="C558" s="56">
        <v>165.8</v>
      </c>
      <c r="D558" s="56">
        <v>103.36</v>
      </c>
      <c r="E558" s="56">
        <v>73.03</v>
      </c>
      <c r="F558" s="56">
        <v>49.29</v>
      </c>
      <c r="G558" s="56">
        <v>396.21</v>
      </c>
      <c r="H558" s="51">
        <f t="shared" ref="H558:M558" si="2912">B558-B557</f>
        <v>-4.6300000000000239</v>
      </c>
      <c r="I558" s="51">
        <f t="shared" si="2912"/>
        <v>-4.5099999999999909</v>
      </c>
      <c r="J558" s="51">
        <f t="shared" si="2912"/>
        <v>-7.1899999999999977</v>
      </c>
      <c r="K558" s="51">
        <f t="shared" si="2912"/>
        <v>-4.7999999999999972</v>
      </c>
      <c r="L558" s="51">
        <f t="shared" si="2912"/>
        <v>-1.2899999999999991</v>
      </c>
      <c r="M558" s="42">
        <f t="shared" si="2912"/>
        <v>3.3700000000000045</v>
      </c>
      <c r="N558" s="51">
        <f t="shared" ref="N558:R558" si="2913">N557</f>
        <v>251.20999999999998</v>
      </c>
      <c r="O558" s="51">
        <f t="shared" si="2913"/>
        <v>166.38</v>
      </c>
      <c r="P558" s="51">
        <f t="shared" si="2913"/>
        <v>106.64</v>
      </c>
      <c r="Q558" s="51">
        <f t="shared" si="2913"/>
        <v>74.995000000000005</v>
      </c>
      <c r="R558" s="51">
        <f t="shared" si="2913"/>
        <v>49.952500000000001</v>
      </c>
      <c r="S558" s="51">
        <f t="shared" ref="S558:T558" si="2914">(B557+B558)/2</f>
        <v>252.70499999999998</v>
      </c>
      <c r="T558" s="51">
        <f t="shared" si="2914"/>
        <v>168.05500000000001</v>
      </c>
      <c r="U558" s="51">
        <f t="shared" si="2884"/>
        <v>106.955</v>
      </c>
      <c r="V558" s="51">
        <f t="shared" ref="V558:W558" si="2915">(E557+E558)/2</f>
        <v>75.430000000000007</v>
      </c>
      <c r="W558" s="51">
        <f t="shared" si="2915"/>
        <v>49.935000000000002</v>
      </c>
      <c r="X558" s="51">
        <f t="shared" ref="X558:AB558" si="2916">(SUM(B555:B558))/4</f>
        <v>256.72749999999996</v>
      </c>
      <c r="Y558" s="51">
        <f t="shared" si="2916"/>
        <v>171.60750000000002</v>
      </c>
      <c r="Z558" s="51">
        <f t="shared" si="2916"/>
        <v>113.9525</v>
      </c>
      <c r="AA558" s="51">
        <f t="shared" si="2916"/>
        <v>78.569999999999993</v>
      </c>
      <c r="AB558" s="51">
        <f t="shared" si="2916"/>
        <v>51.072499999999998</v>
      </c>
      <c r="AC558" s="51">
        <f t="shared" ref="AC558:AF558" si="2917">(B558+C558)/2</f>
        <v>208.095</v>
      </c>
      <c r="AD558" s="51">
        <f t="shared" si="2917"/>
        <v>134.58000000000001</v>
      </c>
      <c r="AE558" s="51">
        <f t="shared" si="2917"/>
        <v>88.194999999999993</v>
      </c>
      <c r="AF558" s="51">
        <f t="shared" si="2917"/>
        <v>61.16</v>
      </c>
      <c r="AG558" s="57"/>
      <c r="AH558" s="57"/>
      <c r="AI558" s="57"/>
      <c r="AJ558" s="57"/>
      <c r="AK558" s="51">
        <f t="shared" si="2093"/>
        <v>57.332500000000003</v>
      </c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8"/>
      <c r="BK558" s="8"/>
      <c r="BL558" s="8"/>
      <c r="BM558" s="8"/>
    </row>
    <row r="559" spans="1:65" ht="30" hidden="1" customHeight="1" x14ac:dyDescent="0.45">
      <c r="A559" s="55">
        <f t="shared" si="2862"/>
        <v>44792</v>
      </c>
      <c r="B559" s="56">
        <v>248.37</v>
      </c>
      <c r="C559" s="56">
        <v>164.5</v>
      </c>
      <c r="D559" s="56">
        <v>103.11</v>
      </c>
      <c r="E559" s="56">
        <v>73.459999999999994</v>
      </c>
      <c r="F559" s="56">
        <v>49.41</v>
      </c>
      <c r="G559" s="56">
        <v>436.99</v>
      </c>
      <c r="H559" s="51">
        <f t="shared" ref="H559:M559" si="2918">B559-B558</f>
        <v>-2.0199999999999818</v>
      </c>
      <c r="I559" s="51">
        <f t="shared" si="2918"/>
        <v>-1.3000000000000114</v>
      </c>
      <c r="J559" s="51">
        <f t="shared" si="2918"/>
        <v>-0.25</v>
      </c>
      <c r="K559" s="51">
        <f t="shared" si="2918"/>
        <v>0.42999999999999261</v>
      </c>
      <c r="L559" s="51">
        <f t="shared" si="2918"/>
        <v>0.11999999999999744</v>
      </c>
      <c r="M559" s="42">
        <f t="shared" si="2918"/>
        <v>40.78000000000003</v>
      </c>
      <c r="N559" s="51">
        <f t="shared" ref="N559:R559" si="2919">N558</f>
        <v>251.20999999999998</v>
      </c>
      <c r="O559" s="51">
        <f t="shared" si="2919"/>
        <v>166.38</v>
      </c>
      <c r="P559" s="51">
        <f t="shared" si="2919"/>
        <v>106.64</v>
      </c>
      <c r="Q559" s="51">
        <f t="shared" si="2919"/>
        <v>74.995000000000005</v>
      </c>
      <c r="R559" s="51">
        <f t="shared" si="2919"/>
        <v>49.952500000000001</v>
      </c>
      <c r="S559" s="51">
        <f t="shared" ref="S559:T559" si="2920">(B558+B559)/2</f>
        <v>249.38</v>
      </c>
      <c r="T559" s="51">
        <f t="shared" si="2920"/>
        <v>165.15</v>
      </c>
      <c r="U559" s="51">
        <f t="shared" si="2884"/>
        <v>103.235</v>
      </c>
      <c r="V559" s="51">
        <f t="shared" ref="V559:W559" si="2921">(E558+E559)/2</f>
        <v>73.245000000000005</v>
      </c>
      <c r="W559" s="51">
        <f t="shared" si="2921"/>
        <v>49.349999999999994</v>
      </c>
      <c r="X559" s="51">
        <f t="shared" ref="X559:AB559" si="2922">(SUM(B556:B559))/4</f>
        <v>253.22749999999999</v>
      </c>
      <c r="Y559" s="51">
        <f t="shared" si="2922"/>
        <v>168.50749999999999</v>
      </c>
      <c r="Z559" s="51">
        <f t="shared" si="2922"/>
        <v>108.4825</v>
      </c>
      <c r="AA559" s="51">
        <f t="shared" si="2922"/>
        <v>76.267499999999998</v>
      </c>
      <c r="AB559" s="51">
        <f t="shared" si="2922"/>
        <v>50.265000000000001</v>
      </c>
      <c r="AC559" s="51">
        <f t="shared" ref="AC559:AF559" si="2923">(B559+C559)/2</f>
        <v>206.435</v>
      </c>
      <c r="AD559" s="51">
        <f t="shared" si="2923"/>
        <v>133.80500000000001</v>
      </c>
      <c r="AE559" s="51">
        <f t="shared" si="2923"/>
        <v>88.284999999999997</v>
      </c>
      <c r="AF559" s="51">
        <f t="shared" si="2923"/>
        <v>61.434999999999995</v>
      </c>
      <c r="AG559" s="57"/>
      <c r="AH559" s="57"/>
      <c r="AI559" s="57"/>
      <c r="AJ559" s="57"/>
      <c r="AK559" s="51">
        <f t="shared" si="2093"/>
        <v>55.947499999999998</v>
      </c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8"/>
      <c r="BK559" s="8"/>
      <c r="BL559" s="8"/>
      <c r="BM559" s="8"/>
    </row>
    <row r="560" spans="1:65" ht="30" hidden="1" customHeight="1" x14ac:dyDescent="0.45">
      <c r="A560" s="55">
        <f t="shared" si="2862"/>
        <v>44799</v>
      </c>
      <c r="B560" s="56">
        <v>251.06</v>
      </c>
      <c r="C560" s="56">
        <v>164.91</v>
      </c>
      <c r="D560" s="56">
        <v>109.54</v>
      </c>
      <c r="E560" s="56">
        <v>75.66</v>
      </c>
      <c r="F560" s="56">
        <v>50.53</v>
      </c>
      <c r="G560" s="56">
        <v>443.51</v>
      </c>
      <c r="H560" s="51">
        <f t="shared" ref="H560:M560" si="2924">B560-B559</f>
        <v>2.6899999999999977</v>
      </c>
      <c r="I560" s="51">
        <f t="shared" si="2924"/>
        <v>0.40999999999999659</v>
      </c>
      <c r="J560" s="51">
        <f t="shared" si="2924"/>
        <v>6.4300000000000068</v>
      </c>
      <c r="K560" s="51">
        <f t="shared" si="2924"/>
        <v>2.2000000000000028</v>
      </c>
      <c r="L560" s="51">
        <f t="shared" si="2924"/>
        <v>1.1200000000000045</v>
      </c>
      <c r="M560" s="42">
        <f t="shared" si="2924"/>
        <v>6.5199999999999818</v>
      </c>
      <c r="N560" s="51">
        <f t="shared" ref="N560:R560" si="2925">N559</f>
        <v>251.20999999999998</v>
      </c>
      <c r="O560" s="51">
        <f t="shared" si="2925"/>
        <v>166.38</v>
      </c>
      <c r="P560" s="51">
        <f t="shared" si="2925"/>
        <v>106.64</v>
      </c>
      <c r="Q560" s="51">
        <f t="shared" si="2925"/>
        <v>74.995000000000005</v>
      </c>
      <c r="R560" s="51">
        <f t="shared" si="2925"/>
        <v>49.952500000000001</v>
      </c>
      <c r="S560" s="51">
        <f t="shared" ref="S560:T560" si="2926">(B559+B560)/2</f>
        <v>249.715</v>
      </c>
      <c r="T560" s="51">
        <f t="shared" si="2926"/>
        <v>164.70499999999998</v>
      </c>
      <c r="U560" s="51">
        <f t="shared" si="2884"/>
        <v>106.325</v>
      </c>
      <c r="V560" s="51">
        <f t="shared" ref="V560:W560" si="2927">(E559+E560)/2</f>
        <v>74.56</v>
      </c>
      <c r="W560" s="51">
        <f t="shared" si="2927"/>
        <v>49.97</v>
      </c>
      <c r="X560" s="51">
        <f t="shared" ref="X560:AB560" si="2928">(SUM(B557:B560))/4</f>
        <v>251.20999999999998</v>
      </c>
      <c r="Y560" s="51">
        <f t="shared" si="2928"/>
        <v>166.38</v>
      </c>
      <c r="Z560" s="51">
        <f t="shared" si="2928"/>
        <v>106.64</v>
      </c>
      <c r="AA560" s="51">
        <f t="shared" si="2928"/>
        <v>74.995000000000005</v>
      </c>
      <c r="AB560" s="51">
        <f t="shared" si="2928"/>
        <v>49.952500000000001</v>
      </c>
      <c r="AC560" s="51">
        <f t="shared" ref="AC560:AF560" si="2929">(B560+C560)/2</f>
        <v>207.98500000000001</v>
      </c>
      <c r="AD560" s="51">
        <f t="shared" si="2929"/>
        <v>137.22499999999999</v>
      </c>
      <c r="AE560" s="51">
        <f t="shared" si="2929"/>
        <v>92.6</v>
      </c>
      <c r="AF560" s="51">
        <f t="shared" si="2929"/>
        <v>63.094999999999999</v>
      </c>
      <c r="AG560" s="57"/>
      <c r="AH560" s="57"/>
      <c r="AI560" s="57"/>
      <c r="AJ560" s="57"/>
      <c r="AK560" s="51">
        <f t="shared" si="2093"/>
        <v>56.914999999999999</v>
      </c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8"/>
      <c r="BK560" s="8"/>
      <c r="BL560" s="8"/>
      <c r="BM560" s="8"/>
    </row>
    <row r="561" spans="1:65" ht="30" hidden="1" customHeight="1" x14ac:dyDescent="0.45">
      <c r="A561" s="55">
        <f t="shared" si="2862"/>
        <v>44806</v>
      </c>
      <c r="B561" s="56">
        <v>254.46</v>
      </c>
      <c r="C561" s="56">
        <v>167.98</v>
      </c>
      <c r="D561" s="56">
        <v>114.49</v>
      </c>
      <c r="E561" s="56">
        <v>79.069999999999993</v>
      </c>
      <c r="F561" s="56">
        <v>51.66</v>
      </c>
      <c r="G561" s="56">
        <v>439.67</v>
      </c>
      <c r="H561" s="51">
        <f t="shared" ref="H561:M561" si="2930">B561-B560</f>
        <v>3.4000000000000057</v>
      </c>
      <c r="I561" s="51">
        <f t="shared" si="2930"/>
        <v>3.0699999999999932</v>
      </c>
      <c r="J561" s="51">
        <f t="shared" si="2930"/>
        <v>4.9499999999999886</v>
      </c>
      <c r="K561" s="51">
        <f t="shared" si="2930"/>
        <v>3.4099999999999966</v>
      </c>
      <c r="L561" s="51">
        <f t="shared" si="2930"/>
        <v>1.1299999999999955</v>
      </c>
      <c r="M561" s="42">
        <f t="shared" si="2930"/>
        <v>-3.839999999999975</v>
      </c>
      <c r="N561" s="51">
        <f t="shared" ref="N561:R561" si="2931">AVERAGE(B561:B565)</f>
        <v>260.31599999999997</v>
      </c>
      <c r="O561" s="51">
        <f t="shared" si="2931"/>
        <v>173.822</v>
      </c>
      <c r="P561" s="51">
        <f t="shared" si="2931"/>
        <v>125.89000000000001</v>
      </c>
      <c r="Q561" s="51">
        <f t="shared" si="2931"/>
        <v>86.533999999999992</v>
      </c>
      <c r="R561" s="51">
        <f t="shared" si="2931"/>
        <v>54.101999999999997</v>
      </c>
      <c r="S561" s="51">
        <f t="shared" ref="S561:T561" si="2932">(B560+B561)/2</f>
        <v>252.76</v>
      </c>
      <c r="T561" s="51">
        <f t="shared" si="2932"/>
        <v>166.44499999999999</v>
      </c>
      <c r="U561" s="51">
        <f t="shared" si="2884"/>
        <v>112.015</v>
      </c>
      <c r="V561" s="51">
        <f t="shared" ref="V561:W561" si="2933">(E560+E561)/2</f>
        <v>77.364999999999995</v>
      </c>
      <c r="W561" s="51">
        <f t="shared" si="2933"/>
        <v>51.094999999999999</v>
      </c>
      <c r="X561" s="51">
        <f t="shared" ref="X561:AB561" si="2934">(SUM(B558:B561))/4</f>
        <v>251.07</v>
      </c>
      <c r="Y561" s="51">
        <f t="shared" si="2934"/>
        <v>165.79750000000001</v>
      </c>
      <c r="Z561" s="51">
        <f t="shared" si="2934"/>
        <v>107.625</v>
      </c>
      <c r="AA561" s="51">
        <f t="shared" si="2934"/>
        <v>75.305000000000007</v>
      </c>
      <c r="AB561" s="51">
        <f t="shared" si="2934"/>
        <v>50.222499999999997</v>
      </c>
      <c r="AC561" s="51">
        <f t="shared" ref="AC561:AF561" si="2935">(B561+C561)/2</f>
        <v>211.22</v>
      </c>
      <c r="AD561" s="51">
        <f t="shared" si="2935"/>
        <v>141.23499999999999</v>
      </c>
      <c r="AE561" s="51">
        <f t="shared" si="2935"/>
        <v>96.78</v>
      </c>
      <c r="AF561" s="51">
        <f t="shared" si="2935"/>
        <v>65.364999999999995</v>
      </c>
      <c r="AG561" s="57"/>
      <c r="AH561" s="57"/>
      <c r="AI561" s="57"/>
      <c r="AJ561" s="57"/>
      <c r="AK561" s="51">
        <f t="shared" si="2093"/>
        <v>58.879999999999988</v>
      </c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8"/>
      <c r="BK561" s="8"/>
      <c r="BL561" s="8"/>
      <c r="BM561" s="8"/>
    </row>
    <row r="562" spans="1:65" ht="30" hidden="1" customHeight="1" x14ac:dyDescent="0.45">
      <c r="A562" s="55">
        <f t="shared" si="2862"/>
        <v>44813</v>
      </c>
      <c r="B562" s="56">
        <v>258.68</v>
      </c>
      <c r="C562" s="56">
        <v>170.84</v>
      </c>
      <c r="D562" s="56">
        <v>119.37</v>
      </c>
      <c r="E562" s="56">
        <v>82.58</v>
      </c>
      <c r="F562" s="56">
        <v>53.02</v>
      </c>
      <c r="G562" s="56">
        <v>452.81</v>
      </c>
      <c r="H562" s="51">
        <f t="shared" ref="H562:M562" si="2936">B562-B561</f>
        <v>4.2199999999999989</v>
      </c>
      <c r="I562" s="51">
        <f t="shared" si="2936"/>
        <v>2.8600000000000136</v>
      </c>
      <c r="J562" s="51">
        <f t="shared" si="2936"/>
        <v>4.8800000000000097</v>
      </c>
      <c r="K562" s="51">
        <f t="shared" si="2936"/>
        <v>3.5100000000000051</v>
      </c>
      <c r="L562" s="51">
        <f t="shared" si="2936"/>
        <v>1.3600000000000065</v>
      </c>
      <c r="M562" s="42">
        <f t="shared" si="2936"/>
        <v>13.139999999999986</v>
      </c>
      <c r="N562" s="51">
        <f t="shared" ref="N562:R562" si="2937">N561</f>
        <v>260.31599999999997</v>
      </c>
      <c r="O562" s="51">
        <f t="shared" si="2937"/>
        <v>173.822</v>
      </c>
      <c r="P562" s="51">
        <f t="shared" si="2937"/>
        <v>125.89000000000001</v>
      </c>
      <c r="Q562" s="51">
        <f t="shared" si="2937"/>
        <v>86.533999999999992</v>
      </c>
      <c r="R562" s="51">
        <f t="shared" si="2937"/>
        <v>54.101999999999997</v>
      </c>
      <c r="S562" s="51">
        <f t="shared" ref="S562:T562" si="2938">(B561+B562)/2</f>
        <v>256.57</v>
      </c>
      <c r="T562" s="51">
        <f t="shared" si="2938"/>
        <v>169.41</v>
      </c>
      <c r="U562" s="51">
        <f t="shared" si="2884"/>
        <v>116.93</v>
      </c>
      <c r="V562" s="51">
        <f t="shared" ref="V562:W562" si="2939">(E561+E562)/2</f>
        <v>80.824999999999989</v>
      </c>
      <c r="W562" s="51">
        <f t="shared" si="2939"/>
        <v>52.34</v>
      </c>
      <c r="X562" s="51">
        <f t="shared" ref="X562:AB562" si="2940">(SUM(B559:B562))/4</f>
        <v>253.14249999999998</v>
      </c>
      <c r="Y562" s="51">
        <f t="shared" si="2940"/>
        <v>167.0575</v>
      </c>
      <c r="Z562" s="51">
        <f t="shared" si="2940"/>
        <v>111.6275</v>
      </c>
      <c r="AA562" s="51">
        <f t="shared" si="2940"/>
        <v>77.692499999999995</v>
      </c>
      <c r="AB562" s="51">
        <f t="shared" si="2940"/>
        <v>51.155000000000001</v>
      </c>
      <c r="AC562" s="51">
        <f t="shared" ref="AC562:AF562" si="2941">(B562+C562)/2</f>
        <v>214.76</v>
      </c>
      <c r="AD562" s="51">
        <f t="shared" si="2941"/>
        <v>145.10500000000002</v>
      </c>
      <c r="AE562" s="51">
        <f t="shared" si="2941"/>
        <v>100.97499999999999</v>
      </c>
      <c r="AF562" s="51">
        <f t="shared" si="2941"/>
        <v>67.8</v>
      </c>
      <c r="AG562" s="57"/>
      <c r="AH562" s="57"/>
      <c r="AI562" s="57"/>
      <c r="AJ562" s="57"/>
      <c r="AK562" s="51">
        <f t="shared" si="2093"/>
        <v>61.232499999999995</v>
      </c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8"/>
      <c r="BK562" s="8"/>
      <c r="BL562" s="8"/>
      <c r="BM562" s="8"/>
    </row>
    <row r="563" spans="1:65" ht="30" hidden="1" customHeight="1" x14ac:dyDescent="0.45">
      <c r="A563" s="55">
        <f t="shared" si="2862"/>
        <v>44820</v>
      </c>
      <c r="B563" s="56">
        <v>261.19</v>
      </c>
      <c r="C563" s="56">
        <v>173.66</v>
      </c>
      <c r="D563" s="56">
        <v>125.78</v>
      </c>
      <c r="E563" s="56">
        <v>87.53</v>
      </c>
      <c r="F563" s="56">
        <v>54.21</v>
      </c>
      <c r="G563" s="56">
        <v>433.44</v>
      </c>
      <c r="H563" s="51">
        <f t="shared" ref="H563:M563" si="2942">B563-B562</f>
        <v>2.5099999999999909</v>
      </c>
      <c r="I563" s="51">
        <f t="shared" si="2942"/>
        <v>2.8199999999999932</v>
      </c>
      <c r="J563" s="51">
        <f t="shared" si="2942"/>
        <v>6.4099999999999966</v>
      </c>
      <c r="K563" s="51">
        <f t="shared" si="2942"/>
        <v>4.9500000000000028</v>
      </c>
      <c r="L563" s="51">
        <f t="shared" si="2942"/>
        <v>1.1899999999999977</v>
      </c>
      <c r="M563" s="42">
        <f t="shared" si="2942"/>
        <v>-19.370000000000005</v>
      </c>
      <c r="N563" s="51">
        <f t="shared" ref="N563:R563" si="2943">N562</f>
        <v>260.31599999999997</v>
      </c>
      <c r="O563" s="51">
        <f t="shared" si="2943"/>
        <v>173.822</v>
      </c>
      <c r="P563" s="51">
        <f t="shared" si="2943"/>
        <v>125.89000000000001</v>
      </c>
      <c r="Q563" s="51">
        <f t="shared" si="2943"/>
        <v>86.533999999999992</v>
      </c>
      <c r="R563" s="51">
        <f t="shared" si="2943"/>
        <v>54.101999999999997</v>
      </c>
      <c r="S563" s="51">
        <f t="shared" ref="S563:T563" si="2944">(B562+B563)/2</f>
        <v>259.935</v>
      </c>
      <c r="T563" s="51">
        <f t="shared" si="2944"/>
        <v>172.25</v>
      </c>
      <c r="U563" s="51">
        <f t="shared" si="2884"/>
        <v>122.575</v>
      </c>
      <c r="V563" s="51">
        <f t="shared" ref="V563:W563" si="2945">(E562+E563)/2</f>
        <v>85.055000000000007</v>
      </c>
      <c r="W563" s="51">
        <f t="shared" si="2945"/>
        <v>53.615000000000002</v>
      </c>
      <c r="X563" s="51">
        <f t="shared" ref="X563:AB563" si="2946">(SUM(B560:B563))/4</f>
        <v>256.34750000000003</v>
      </c>
      <c r="Y563" s="51">
        <f t="shared" si="2946"/>
        <v>169.3475</v>
      </c>
      <c r="Z563" s="51">
        <f t="shared" si="2946"/>
        <v>117.29499999999999</v>
      </c>
      <c r="AA563" s="51">
        <f t="shared" si="2946"/>
        <v>81.210000000000008</v>
      </c>
      <c r="AB563" s="51">
        <f t="shared" si="2946"/>
        <v>52.355000000000004</v>
      </c>
      <c r="AC563" s="51">
        <f t="shared" ref="AC563:AF563" si="2947">(B563+C563)/2</f>
        <v>217.42500000000001</v>
      </c>
      <c r="AD563" s="51">
        <f t="shared" si="2947"/>
        <v>149.72</v>
      </c>
      <c r="AE563" s="51">
        <f t="shared" si="2947"/>
        <v>106.655</v>
      </c>
      <c r="AF563" s="51">
        <f t="shared" si="2947"/>
        <v>70.87</v>
      </c>
      <c r="AG563" s="57"/>
      <c r="AH563" s="57"/>
      <c r="AI563" s="57"/>
      <c r="AJ563" s="57"/>
      <c r="AK563" s="51">
        <f t="shared" si="2093"/>
        <v>63.985000000000007</v>
      </c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8"/>
      <c r="BK563" s="8"/>
      <c r="BL563" s="8"/>
      <c r="BM563" s="8"/>
    </row>
    <row r="564" spans="1:65" ht="30" hidden="1" customHeight="1" x14ac:dyDescent="0.45">
      <c r="A564" s="55">
        <f t="shared" si="2862"/>
        <v>44827</v>
      </c>
      <c r="B564" s="56">
        <v>263.07</v>
      </c>
      <c r="C564" s="56">
        <v>177.86</v>
      </c>
      <c r="D564" s="56">
        <v>134.32</v>
      </c>
      <c r="E564" s="56">
        <v>91.39</v>
      </c>
      <c r="F564" s="56">
        <v>55.38</v>
      </c>
      <c r="G564" s="56">
        <v>429.39</v>
      </c>
      <c r="H564" s="51">
        <f t="shared" ref="H564:M564" si="2948">B564-B563</f>
        <v>1.8799999999999955</v>
      </c>
      <c r="I564" s="51">
        <f t="shared" si="2948"/>
        <v>4.2000000000000171</v>
      </c>
      <c r="J564" s="51">
        <f t="shared" si="2948"/>
        <v>8.539999999999992</v>
      </c>
      <c r="K564" s="51">
        <f t="shared" si="2948"/>
        <v>3.8599999999999994</v>
      </c>
      <c r="L564" s="51">
        <f t="shared" si="2948"/>
        <v>1.1700000000000017</v>
      </c>
      <c r="M564" s="42">
        <f t="shared" si="2948"/>
        <v>-4.0500000000000114</v>
      </c>
      <c r="N564" s="51">
        <f t="shared" ref="N564:R564" si="2949">N563</f>
        <v>260.31599999999997</v>
      </c>
      <c r="O564" s="51">
        <f t="shared" si="2949"/>
        <v>173.822</v>
      </c>
      <c r="P564" s="51">
        <f t="shared" si="2949"/>
        <v>125.89000000000001</v>
      </c>
      <c r="Q564" s="51">
        <f t="shared" si="2949"/>
        <v>86.533999999999992</v>
      </c>
      <c r="R564" s="51">
        <f t="shared" si="2949"/>
        <v>54.101999999999997</v>
      </c>
      <c r="S564" s="51">
        <f t="shared" ref="S564:T564" si="2950">(B563+B564)/2</f>
        <v>262.13</v>
      </c>
      <c r="T564" s="51">
        <f t="shared" si="2950"/>
        <v>175.76</v>
      </c>
      <c r="U564" s="51">
        <f t="shared" si="2884"/>
        <v>130.05000000000001</v>
      </c>
      <c r="V564" s="51">
        <f t="shared" ref="V564:W564" si="2951">(E563+E564)/2</f>
        <v>89.460000000000008</v>
      </c>
      <c r="W564" s="51">
        <f t="shared" si="2951"/>
        <v>54.795000000000002</v>
      </c>
      <c r="X564" s="51">
        <f t="shared" ref="X564:AB564" si="2952">(SUM(B561:B564))/4</f>
        <v>259.34999999999997</v>
      </c>
      <c r="Y564" s="51">
        <f t="shared" si="2952"/>
        <v>172.58500000000001</v>
      </c>
      <c r="Z564" s="51">
        <f t="shared" si="2952"/>
        <v>123.49</v>
      </c>
      <c r="AA564" s="51">
        <f t="shared" si="2952"/>
        <v>85.142499999999998</v>
      </c>
      <c r="AB564" s="51">
        <f t="shared" si="2952"/>
        <v>53.567500000000003</v>
      </c>
      <c r="AC564" s="51">
        <f t="shared" ref="AC564:AF564" si="2953">(B564+C564)/2</f>
        <v>220.465</v>
      </c>
      <c r="AD564" s="51">
        <f t="shared" si="2953"/>
        <v>156.09</v>
      </c>
      <c r="AE564" s="51">
        <f t="shared" si="2953"/>
        <v>112.85499999999999</v>
      </c>
      <c r="AF564" s="51">
        <f t="shared" si="2953"/>
        <v>73.385000000000005</v>
      </c>
      <c r="AG564" s="57"/>
      <c r="AH564" s="57"/>
      <c r="AI564" s="57"/>
      <c r="AJ564" s="57"/>
      <c r="AK564" s="51">
        <f t="shared" si="2093"/>
        <v>66.777500000000003</v>
      </c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8"/>
      <c r="BK564" s="8"/>
      <c r="BL564" s="8"/>
      <c r="BM564" s="8"/>
    </row>
    <row r="565" spans="1:65" ht="30" hidden="1" customHeight="1" x14ac:dyDescent="0.45">
      <c r="A565" s="55">
        <f t="shared" si="2862"/>
        <v>44834</v>
      </c>
      <c r="B565" s="56">
        <v>264.18</v>
      </c>
      <c r="C565" s="56">
        <v>178.77</v>
      </c>
      <c r="D565" s="56">
        <v>135.49</v>
      </c>
      <c r="E565" s="56">
        <v>92.1</v>
      </c>
      <c r="F565" s="56">
        <v>56.24</v>
      </c>
      <c r="G565" s="56">
        <v>414.8</v>
      </c>
      <c r="H565" s="51">
        <f t="shared" ref="H565:M565" si="2954">B565-B564</f>
        <v>1.1100000000000136</v>
      </c>
      <c r="I565" s="51">
        <f t="shared" si="2954"/>
        <v>0.90999999999999659</v>
      </c>
      <c r="J565" s="51">
        <f t="shared" si="2954"/>
        <v>1.1700000000000159</v>
      </c>
      <c r="K565" s="51">
        <f t="shared" si="2954"/>
        <v>0.70999999999999375</v>
      </c>
      <c r="L565" s="51">
        <f t="shared" si="2954"/>
        <v>0.85999999999999943</v>
      </c>
      <c r="M565" s="42">
        <f t="shared" si="2954"/>
        <v>-14.589999999999975</v>
      </c>
      <c r="N565" s="51">
        <f t="shared" ref="N565:R565" si="2955">N564</f>
        <v>260.31599999999997</v>
      </c>
      <c r="O565" s="51">
        <f t="shared" si="2955"/>
        <v>173.822</v>
      </c>
      <c r="P565" s="51">
        <f t="shared" si="2955"/>
        <v>125.89000000000001</v>
      </c>
      <c r="Q565" s="51">
        <f t="shared" si="2955"/>
        <v>86.533999999999992</v>
      </c>
      <c r="R565" s="51">
        <f t="shared" si="2955"/>
        <v>54.101999999999997</v>
      </c>
      <c r="S565" s="51">
        <f t="shared" ref="S565:T565" si="2956">(B564+B565)/2</f>
        <v>263.625</v>
      </c>
      <c r="T565" s="51">
        <f t="shared" si="2956"/>
        <v>178.315</v>
      </c>
      <c r="U565" s="51">
        <f t="shared" si="2884"/>
        <v>134.905</v>
      </c>
      <c r="V565" s="51">
        <f t="shared" ref="V565:W565" si="2957">(E564+E565)/2</f>
        <v>91.745000000000005</v>
      </c>
      <c r="W565" s="51">
        <f t="shared" si="2957"/>
        <v>55.81</v>
      </c>
      <c r="X565" s="51">
        <f t="shared" ref="X565:AB565" si="2958">(SUM(B562:B565))/4</f>
        <v>261.78000000000003</v>
      </c>
      <c r="Y565" s="51">
        <f t="shared" si="2958"/>
        <v>175.2825</v>
      </c>
      <c r="Z565" s="51">
        <f t="shared" si="2958"/>
        <v>128.74</v>
      </c>
      <c r="AA565" s="51">
        <f t="shared" si="2958"/>
        <v>88.4</v>
      </c>
      <c r="AB565" s="51">
        <f t="shared" si="2958"/>
        <v>54.712500000000006</v>
      </c>
      <c r="AC565" s="51">
        <f t="shared" ref="AC565:AF565" si="2959">(B565+C565)/2</f>
        <v>221.47500000000002</v>
      </c>
      <c r="AD565" s="51">
        <f t="shared" si="2959"/>
        <v>157.13</v>
      </c>
      <c r="AE565" s="51">
        <f t="shared" si="2959"/>
        <v>113.795</v>
      </c>
      <c r="AF565" s="51">
        <f t="shared" si="2959"/>
        <v>74.17</v>
      </c>
      <c r="AG565" s="57"/>
      <c r="AH565" s="57"/>
      <c r="AI565" s="57"/>
      <c r="AJ565" s="57"/>
      <c r="AK565" s="51">
        <f t="shared" si="2093"/>
        <v>68.427500000000009</v>
      </c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8"/>
      <c r="BK565" s="8"/>
      <c r="BL565" s="8"/>
      <c r="BM565" s="8"/>
    </row>
    <row r="566" spans="1:65" ht="30" hidden="1" customHeight="1" x14ac:dyDescent="0.45">
      <c r="A566" s="55">
        <f t="shared" si="2862"/>
        <v>44841</v>
      </c>
      <c r="B566" s="56">
        <v>260.37</v>
      </c>
      <c r="C566" s="56">
        <v>175.4</v>
      </c>
      <c r="D566" s="56">
        <v>132.24</v>
      </c>
      <c r="E566" s="56">
        <v>89.75</v>
      </c>
      <c r="F566" s="56">
        <v>53.06</v>
      </c>
      <c r="G566" s="56">
        <v>399.44</v>
      </c>
      <c r="H566" s="51">
        <f t="shared" ref="H566:M566" si="2960">B566-B565</f>
        <v>-3.8100000000000023</v>
      </c>
      <c r="I566" s="51">
        <f t="shared" si="2960"/>
        <v>-3.3700000000000045</v>
      </c>
      <c r="J566" s="51">
        <f t="shared" si="2960"/>
        <v>-3.25</v>
      </c>
      <c r="K566" s="51">
        <f t="shared" si="2960"/>
        <v>-2.3499999999999943</v>
      </c>
      <c r="L566" s="51">
        <f t="shared" si="2960"/>
        <v>-3.1799999999999997</v>
      </c>
      <c r="M566" s="42">
        <f t="shared" si="2960"/>
        <v>-15.360000000000014</v>
      </c>
      <c r="N566" s="51">
        <f t="shared" ref="N566:R566" si="2961">AVERAGE(B566:B569)</f>
        <v>257.63749999999999</v>
      </c>
      <c r="O566" s="51">
        <f t="shared" si="2961"/>
        <v>173.22</v>
      </c>
      <c r="P566" s="51">
        <f t="shared" si="2961"/>
        <v>132.0625</v>
      </c>
      <c r="Q566" s="51">
        <f t="shared" si="2961"/>
        <v>91.635000000000005</v>
      </c>
      <c r="R566" s="51">
        <f t="shared" si="2961"/>
        <v>54.819999999999993</v>
      </c>
      <c r="S566" s="51">
        <f t="shared" ref="S566:T566" si="2962">(B565+B566)/2</f>
        <v>262.27499999999998</v>
      </c>
      <c r="T566" s="51">
        <f t="shared" si="2962"/>
        <v>177.08500000000001</v>
      </c>
      <c r="U566" s="51">
        <f t="shared" si="2884"/>
        <v>133.86500000000001</v>
      </c>
      <c r="V566" s="51">
        <f t="shared" ref="V566:W566" si="2963">(E565+E566)/2</f>
        <v>90.924999999999997</v>
      </c>
      <c r="W566" s="51">
        <f t="shared" si="2963"/>
        <v>54.650000000000006</v>
      </c>
      <c r="X566" s="51">
        <f t="shared" ref="X566:AB566" si="2964">(SUM(B563:B566))/4</f>
        <v>262.20249999999999</v>
      </c>
      <c r="Y566" s="51">
        <f t="shared" si="2964"/>
        <v>176.42249999999999</v>
      </c>
      <c r="Z566" s="51">
        <f t="shared" si="2964"/>
        <v>131.95750000000001</v>
      </c>
      <c r="AA566" s="51">
        <f t="shared" si="2964"/>
        <v>90.192499999999995</v>
      </c>
      <c r="AB566" s="51">
        <f t="shared" si="2964"/>
        <v>54.722500000000004</v>
      </c>
      <c r="AC566" s="51">
        <f t="shared" ref="AC566:AF566" si="2965">(B566+C566)/2</f>
        <v>217.88499999999999</v>
      </c>
      <c r="AD566" s="51">
        <f t="shared" si="2965"/>
        <v>153.82</v>
      </c>
      <c r="AE566" s="51">
        <f t="shared" si="2965"/>
        <v>110.995</v>
      </c>
      <c r="AF566" s="51">
        <f t="shared" si="2965"/>
        <v>71.405000000000001</v>
      </c>
      <c r="AG566" s="57"/>
      <c r="AH566" s="57"/>
      <c r="AI566" s="57"/>
      <c r="AJ566" s="57"/>
      <c r="AK566" s="51">
        <f t="shared" si="2093"/>
        <v>67.4375</v>
      </c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8"/>
      <c r="BK566" s="8"/>
      <c r="BL566" s="8"/>
      <c r="BM566" s="8"/>
    </row>
    <row r="567" spans="1:65" ht="30" hidden="1" customHeight="1" x14ac:dyDescent="0.45">
      <c r="A567" s="55">
        <f t="shared" si="2862"/>
        <v>44848</v>
      </c>
      <c r="B567" s="56">
        <v>258.26</v>
      </c>
      <c r="C567" s="56">
        <v>174</v>
      </c>
      <c r="D567" s="56">
        <v>132.38</v>
      </c>
      <c r="E567" s="56">
        <v>91.58</v>
      </c>
      <c r="F567" s="56">
        <v>54.63</v>
      </c>
      <c r="G567" s="56">
        <v>382.23</v>
      </c>
      <c r="H567" s="51">
        <f t="shared" ref="H567:M567" si="2966">B567-B566</f>
        <v>-2.1100000000000136</v>
      </c>
      <c r="I567" s="51">
        <f t="shared" si="2966"/>
        <v>-1.4000000000000057</v>
      </c>
      <c r="J567" s="51">
        <f t="shared" si="2966"/>
        <v>0.13999999999998636</v>
      </c>
      <c r="K567" s="51">
        <f t="shared" si="2966"/>
        <v>1.8299999999999983</v>
      </c>
      <c r="L567" s="51">
        <f t="shared" si="2966"/>
        <v>1.5700000000000003</v>
      </c>
      <c r="M567" s="42">
        <f t="shared" si="2966"/>
        <v>-17.20999999999998</v>
      </c>
      <c r="N567" s="51">
        <f t="shared" ref="N567:R567" si="2967">N566</f>
        <v>257.63749999999999</v>
      </c>
      <c r="O567" s="51">
        <f t="shared" si="2967"/>
        <v>173.22</v>
      </c>
      <c r="P567" s="51">
        <f t="shared" si="2967"/>
        <v>132.0625</v>
      </c>
      <c r="Q567" s="51">
        <f t="shared" si="2967"/>
        <v>91.635000000000005</v>
      </c>
      <c r="R567" s="51">
        <f t="shared" si="2967"/>
        <v>54.819999999999993</v>
      </c>
      <c r="S567" s="51">
        <f t="shared" ref="S567:T567" si="2968">(B566+B567)/2</f>
        <v>259.315</v>
      </c>
      <c r="T567" s="51">
        <f t="shared" si="2968"/>
        <v>174.7</v>
      </c>
      <c r="U567" s="51">
        <f t="shared" si="2884"/>
        <v>132.31</v>
      </c>
      <c r="V567" s="51">
        <f t="shared" ref="V567:W567" si="2969">(E566+E567)/2</f>
        <v>90.664999999999992</v>
      </c>
      <c r="W567" s="51">
        <f t="shared" si="2969"/>
        <v>53.844999999999999</v>
      </c>
      <c r="X567" s="51">
        <f t="shared" ref="X567:AB567" si="2970">(SUM(B564:B567))/4</f>
        <v>261.47000000000003</v>
      </c>
      <c r="Y567" s="51">
        <f t="shared" si="2970"/>
        <v>176.50749999999999</v>
      </c>
      <c r="Z567" s="51">
        <f t="shared" si="2970"/>
        <v>133.60750000000002</v>
      </c>
      <c r="AA567" s="51">
        <f t="shared" si="2970"/>
        <v>91.204999999999998</v>
      </c>
      <c r="AB567" s="51">
        <f t="shared" si="2970"/>
        <v>54.827500000000001</v>
      </c>
      <c r="AC567" s="51">
        <f t="shared" ref="AC567:AF567" si="2971">(B567+C567)/2</f>
        <v>216.13</v>
      </c>
      <c r="AD567" s="51">
        <f t="shared" si="2971"/>
        <v>153.19</v>
      </c>
      <c r="AE567" s="51">
        <f t="shared" si="2971"/>
        <v>111.97999999999999</v>
      </c>
      <c r="AF567" s="51">
        <f t="shared" si="2971"/>
        <v>73.105000000000004</v>
      </c>
      <c r="AG567" s="57"/>
      <c r="AH567" s="57"/>
      <c r="AI567" s="57"/>
      <c r="AJ567" s="57"/>
      <c r="AK567" s="51">
        <f t="shared" si="2093"/>
        <v>66.905000000000001</v>
      </c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8"/>
      <c r="BK567" s="8"/>
      <c r="BL567" s="8"/>
      <c r="BM567" s="8"/>
    </row>
    <row r="568" spans="1:65" ht="30" hidden="1" customHeight="1" x14ac:dyDescent="0.45">
      <c r="A568" s="55">
        <f t="shared" si="2862"/>
        <v>44855</v>
      </c>
      <c r="B568" s="56">
        <v>256.77</v>
      </c>
      <c r="C568" s="56">
        <v>172.24</v>
      </c>
      <c r="D568" s="56">
        <v>131.99</v>
      </c>
      <c r="E568" s="56">
        <v>92.42</v>
      </c>
      <c r="F568" s="56">
        <v>55.83</v>
      </c>
      <c r="G568" s="56">
        <v>388.7</v>
      </c>
      <c r="H568" s="51">
        <f t="shared" ref="H568:M568" si="2972">B568-B567</f>
        <v>-1.4900000000000091</v>
      </c>
      <c r="I568" s="51">
        <f t="shared" si="2972"/>
        <v>-1.7599999999999909</v>
      </c>
      <c r="J568" s="51">
        <f t="shared" si="2972"/>
        <v>-0.38999999999998636</v>
      </c>
      <c r="K568" s="51">
        <f t="shared" si="2972"/>
        <v>0.84000000000000341</v>
      </c>
      <c r="L568" s="51">
        <f t="shared" si="2972"/>
        <v>1.1999999999999957</v>
      </c>
      <c r="M568" s="42">
        <f t="shared" si="2972"/>
        <v>6.4699999999999704</v>
      </c>
      <c r="N568" s="51">
        <f t="shared" ref="N568:R568" si="2973">N567</f>
        <v>257.63749999999999</v>
      </c>
      <c r="O568" s="51">
        <f t="shared" si="2973"/>
        <v>173.22</v>
      </c>
      <c r="P568" s="51">
        <f t="shared" si="2973"/>
        <v>132.0625</v>
      </c>
      <c r="Q568" s="51">
        <f t="shared" si="2973"/>
        <v>91.635000000000005</v>
      </c>
      <c r="R568" s="51">
        <f t="shared" si="2973"/>
        <v>54.819999999999993</v>
      </c>
      <c r="S568" s="51">
        <f t="shared" ref="S568:T568" si="2974">(B567+B568)/2</f>
        <v>257.51499999999999</v>
      </c>
      <c r="T568" s="51">
        <f t="shared" si="2974"/>
        <v>173.12</v>
      </c>
      <c r="U568" s="51">
        <f t="shared" si="2884"/>
        <v>132.185</v>
      </c>
      <c r="V568" s="51">
        <f t="shared" ref="V568:W568" si="2975">(E567+E568)/2</f>
        <v>92</v>
      </c>
      <c r="W568" s="51">
        <f t="shared" si="2975"/>
        <v>55.230000000000004</v>
      </c>
      <c r="X568" s="51">
        <f t="shared" ref="X568:AB568" si="2976">(SUM(B565:B568))/4</f>
        <v>259.89499999999998</v>
      </c>
      <c r="Y568" s="51">
        <f t="shared" si="2976"/>
        <v>175.10250000000002</v>
      </c>
      <c r="Z568" s="51">
        <f t="shared" si="2976"/>
        <v>133.02500000000001</v>
      </c>
      <c r="AA568" s="51">
        <f t="shared" si="2976"/>
        <v>91.462500000000006</v>
      </c>
      <c r="AB568" s="51">
        <f t="shared" si="2976"/>
        <v>54.94</v>
      </c>
      <c r="AC568" s="51">
        <f t="shared" ref="AC568:AF568" si="2977">(B568+C568)/2</f>
        <v>214.505</v>
      </c>
      <c r="AD568" s="51">
        <f t="shared" si="2977"/>
        <v>152.11500000000001</v>
      </c>
      <c r="AE568" s="51">
        <f t="shared" si="2977"/>
        <v>112.20500000000001</v>
      </c>
      <c r="AF568" s="51">
        <f t="shared" si="2977"/>
        <v>74.125</v>
      </c>
      <c r="AG568" s="57"/>
      <c r="AH568" s="57"/>
      <c r="AI568" s="57"/>
      <c r="AJ568" s="57"/>
      <c r="AK568" s="51">
        <f t="shared" si="2093"/>
        <v>68.265000000000015</v>
      </c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8"/>
      <c r="BK568" s="8"/>
      <c r="BL568" s="8"/>
      <c r="BM568" s="8"/>
    </row>
    <row r="569" spans="1:65" ht="30" hidden="1" customHeight="1" x14ac:dyDescent="0.45">
      <c r="A569" s="55">
        <f t="shared" si="2862"/>
        <v>44862</v>
      </c>
      <c r="B569" s="56">
        <v>255.15</v>
      </c>
      <c r="C569" s="56">
        <v>171.24</v>
      </c>
      <c r="D569" s="56">
        <v>131.63999999999999</v>
      </c>
      <c r="E569" s="56">
        <v>92.79</v>
      </c>
      <c r="F569" s="56">
        <v>55.76</v>
      </c>
      <c r="G569" s="56">
        <v>376.6</v>
      </c>
      <c r="H569" s="51">
        <f t="shared" ref="H569:M569" si="2978">B569-B568</f>
        <v>-1.6199999999999761</v>
      </c>
      <c r="I569" s="51">
        <f t="shared" si="2978"/>
        <v>-1</v>
      </c>
      <c r="J569" s="51">
        <f t="shared" si="2978"/>
        <v>-0.35000000000002274</v>
      </c>
      <c r="K569" s="51">
        <f t="shared" si="2978"/>
        <v>0.37000000000000455</v>
      </c>
      <c r="L569" s="51">
        <f t="shared" si="2978"/>
        <v>-7.0000000000000284E-2</v>
      </c>
      <c r="M569" s="42">
        <f t="shared" si="2978"/>
        <v>-12.099999999999966</v>
      </c>
      <c r="N569" s="51">
        <f t="shared" ref="N569:R569" si="2979">N568</f>
        <v>257.63749999999999</v>
      </c>
      <c r="O569" s="51">
        <f t="shared" si="2979"/>
        <v>173.22</v>
      </c>
      <c r="P569" s="51">
        <f t="shared" si="2979"/>
        <v>132.0625</v>
      </c>
      <c r="Q569" s="51">
        <f t="shared" si="2979"/>
        <v>91.635000000000005</v>
      </c>
      <c r="R569" s="51">
        <f t="shared" si="2979"/>
        <v>54.819999999999993</v>
      </c>
      <c r="S569" s="51">
        <f t="shared" ref="S569:T569" si="2980">(B568+B569)/2</f>
        <v>255.95999999999998</v>
      </c>
      <c r="T569" s="51">
        <f t="shared" si="2980"/>
        <v>171.74</v>
      </c>
      <c r="U569" s="51">
        <f t="shared" si="2884"/>
        <v>131.815</v>
      </c>
      <c r="V569" s="51">
        <f t="shared" ref="V569:W569" si="2981">(E568+E569)/2</f>
        <v>92.605000000000004</v>
      </c>
      <c r="W569" s="51">
        <f t="shared" si="2981"/>
        <v>55.795000000000002</v>
      </c>
      <c r="X569" s="51">
        <f t="shared" ref="X569:AB569" si="2982">(SUM(B566:B569))/4</f>
        <v>257.63749999999999</v>
      </c>
      <c r="Y569" s="51">
        <f t="shared" si="2982"/>
        <v>173.22</v>
      </c>
      <c r="Z569" s="51">
        <f t="shared" si="2982"/>
        <v>132.0625</v>
      </c>
      <c r="AA569" s="51">
        <f t="shared" si="2982"/>
        <v>91.635000000000005</v>
      </c>
      <c r="AB569" s="51">
        <f t="shared" si="2982"/>
        <v>54.819999999999993</v>
      </c>
      <c r="AC569" s="51">
        <f t="shared" ref="AC569:AF569" si="2983">(B569+C569)/2</f>
        <v>213.19499999999999</v>
      </c>
      <c r="AD569" s="51">
        <f t="shared" si="2983"/>
        <v>151.44</v>
      </c>
      <c r="AE569" s="51">
        <f t="shared" si="2983"/>
        <v>112.215</v>
      </c>
      <c r="AF569" s="51">
        <f t="shared" si="2983"/>
        <v>74.275000000000006</v>
      </c>
      <c r="AG569" s="57"/>
      <c r="AH569" s="57"/>
      <c r="AI569" s="57"/>
      <c r="AJ569" s="57"/>
      <c r="AK569" s="51">
        <f t="shared" si="2093"/>
        <v>68.850000000000009</v>
      </c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8"/>
      <c r="BK569" s="8"/>
      <c r="BL569" s="8"/>
      <c r="BM569" s="8"/>
    </row>
    <row r="570" spans="1:65" ht="30" hidden="1" customHeight="1" x14ac:dyDescent="0.45">
      <c r="A570" s="55">
        <f t="shared" si="2862"/>
        <v>44869</v>
      </c>
      <c r="B570" s="56">
        <v>252.64</v>
      </c>
      <c r="C570" s="56">
        <v>170.32</v>
      </c>
      <c r="D570" s="56">
        <v>130.85</v>
      </c>
      <c r="E570" s="56">
        <v>91.82</v>
      </c>
      <c r="F570" s="56">
        <v>54.94</v>
      </c>
      <c r="G570" s="56">
        <v>362.14</v>
      </c>
      <c r="H570" s="51">
        <f t="shared" ref="H570:M570" si="2984">B570-B569</f>
        <v>-2.5100000000000193</v>
      </c>
      <c r="I570" s="51">
        <f t="shared" si="2984"/>
        <v>-0.92000000000001592</v>
      </c>
      <c r="J570" s="51">
        <f t="shared" si="2984"/>
        <v>-0.78999999999999204</v>
      </c>
      <c r="K570" s="51">
        <f t="shared" si="2984"/>
        <v>-0.97000000000001307</v>
      </c>
      <c r="L570" s="51">
        <f t="shared" si="2984"/>
        <v>-0.82000000000000028</v>
      </c>
      <c r="M570" s="42">
        <f t="shared" si="2984"/>
        <v>-14.460000000000036</v>
      </c>
      <c r="N570" s="51">
        <f t="shared" ref="N570:R570" si="2985">AVERAGE(B570:B573)</f>
        <v>245.75749999999999</v>
      </c>
      <c r="O570" s="51">
        <f t="shared" si="2985"/>
        <v>164.88249999999999</v>
      </c>
      <c r="P570" s="51">
        <f t="shared" si="2985"/>
        <v>125.99250000000001</v>
      </c>
      <c r="Q570" s="51">
        <f t="shared" si="2985"/>
        <v>88.41</v>
      </c>
      <c r="R570" s="51">
        <f t="shared" si="2985"/>
        <v>53.64</v>
      </c>
      <c r="S570" s="51">
        <f t="shared" ref="S570:T570" si="2986">(B569+B570)/2</f>
        <v>253.89499999999998</v>
      </c>
      <c r="T570" s="51">
        <f t="shared" si="2986"/>
        <v>170.78</v>
      </c>
      <c r="U570" s="51">
        <f t="shared" si="2884"/>
        <v>131.245</v>
      </c>
      <c r="V570" s="51">
        <f t="shared" ref="V570:W570" si="2987">(E569+E570)/2</f>
        <v>92.305000000000007</v>
      </c>
      <c r="W570" s="51">
        <f t="shared" si="2987"/>
        <v>55.349999999999994</v>
      </c>
      <c r="X570" s="51">
        <f t="shared" ref="X570:AB570" si="2988">(SUM(B567:B570))/4</f>
        <v>255.70499999999998</v>
      </c>
      <c r="Y570" s="51">
        <f t="shared" si="2988"/>
        <v>171.95</v>
      </c>
      <c r="Z570" s="51">
        <f t="shared" si="2988"/>
        <v>131.715</v>
      </c>
      <c r="AA570" s="51">
        <f t="shared" si="2988"/>
        <v>92.152500000000003</v>
      </c>
      <c r="AB570" s="51">
        <f t="shared" si="2988"/>
        <v>55.29</v>
      </c>
      <c r="AC570" s="51">
        <f t="shared" ref="AC570:AF570" si="2989">(B570+C570)/2</f>
        <v>211.48</v>
      </c>
      <c r="AD570" s="51">
        <f t="shared" si="2989"/>
        <v>150.58499999999998</v>
      </c>
      <c r="AE570" s="51">
        <f t="shared" si="2989"/>
        <v>111.33499999999999</v>
      </c>
      <c r="AF570" s="51">
        <f t="shared" si="2989"/>
        <v>73.38</v>
      </c>
      <c r="AG570" s="57"/>
      <c r="AH570" s="57"/>
      <c r="AI570" s="57"/>
      <c r="AJ570" s="57"/>
      <c r="AK570" s="51">
        <f t="shared" si="2093"/>
        <v>68.477500000000006</v>
      </c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8"/>
      <c r="BK570" s="8"/>
      <c r="BL570" s="8"/>
      <c r="BM570" s="8"/>
    </row>
    <row r="571" spans="1:65" ht="30" hidden="1" customHeight="1" x14ac:dyDescent="0.45">
      <c r="A571" s="55">
        <f t="shared" si="2862"/>
        <v>44876</v>
      </c>
      <c r="B571" s="56">
        <v>247.75</v>
      </c>
      <c r="C571" s="56">
        <v>165.98</v>
      </c>
      <c r="D571" s="56">
        <v>127.38</v>
      </c>
      <c r="E571" s="56">
        <v>87.76</v>
      </c>
      <c r="F571" s="56">
        <v>53.54</v>
      </c>
      <c r="G571" s="56">
        <v>324.26</v>
      </c>
      <c r="H571" s="51">
        <f t="shared" ref="H571:M571" si="2990">B571-B570</f>
        <v>-4.8899999999999864</v>
      </c>
      <c r="I571" s="51">
        <f t="shared" si="2990"/>
        <v>-4.3400000000000034</v>
      </c>
      <c r="J571" s="51">
        <f t="shared" si="2990"/>
        <v>-3.4699999999999989</v>
      </c>
      <c r="K571" s="51">
        <f t="shared" si="2990"/>
        <v>-4.0599999999999881</v>
      </c>
      <c r="L571" s="51">
        <f t="shared" si="2990"/>
        <v>-1.3999999999999986</v>
      </c>
      <c r="M571" s="42">
        <f t="shared" si="2990"/>
        <v>-37.879999999999995</v>
      </c>
      <c r="N571" s="51">
        <f t="shared" ref="N571:R571" si="2991">N570</f>
        <v>245.75749999999999</v>
      </c>
      <c r="O571" s="51">
        <f t="shared" si="2991"/>
        <v>164.88249999999999</v>
      </c>
      <c r="P571" s="51">
        <f t="shared" si="2991"/>
        <v>125.99250000000001</v>
      </c>
      <c r="Q571" s="51">
        <f t="shared" si="2991"/>
        <v>88.41</v>
      </c>
      <c r="R571" s="51">
        <f t="shared" si="2991"/>
        <v>53.64</v>
      </c>
      <c r="S571" s="51">
        <f t="shared" ref="S571:T571" si="2992">(B570+B571)/2</f>
        <v>250.19499999999999</v>
      </c>
      <c r="T571" s="51">
        <f t="shared" si="2992"/>
        <v>168.14999999999998</v>
      </c>
      <c r="U571" s="51">
        <f t="shared" si="2884"/>
        <v>129.11500000000001</v>
      </c>
      <c r="V571" s="51">
        <f t="shared" ref="V571:W571" si="2993">(E570+E571)/2</f>
        <v>89.789999999999992</v>
      </c>
      <c r="W571" s="51">
        <f t="shared" si="2993"/>
        <v>54.239999999999995</v>
      </c>
      <c r="X571" s="51">
        <f t="shared" ref="X571:AB571" si="2994">(SUM(B568:B571))/4</f>
        <v>253.07749999999999</v>
      </c>
      <c r="Y571" s="51">
        <f t="shared" si="2994"/>
        <v>169.94499999999999</v>
      </c>
      <c r="Z571" s="51">
        <f t="shared" si="2994"/>
        <v>130.465</v>
      </c>
      <c r="AA571" s="51">
        <f t="shared" si="2994"/>
        <v>91.197499999999991</v>
      </c>
      <c r="AB571" s="51">
        <f t="shared" si="2994"/>
        <v>55.017499999999998</v>
      </c>
      <c r="AC571" s="51">
        <f t="shared" ref="AC571:AF571" si="2995">(B571+C571)/2</f>
        <v>206.86500000000001</v>
      </c>
      <c r="AD571" s="51">
        <f t="shared" si="2995"/>
        <v>146.68</v>
      </c>
      <c r="AE571" s="51">
        <f t="shared" si="2995"/>
        <v>107.57</v>
      </c>
      <c r="AF571" s="51">
        <f t="shared" si="2995"/>
        <v>70.650000000000006</v>
      </c>
      <c r="AG571" s="57"/>
      <c r="AH571" s="57"/>
      <c r="AI571" s="57"/>
      <c r="AJ571" s="57"/>
      <c r="AK571" s="51">
        <f t="shared" si="2093"/>
        <v>66.664999999999992</v>
      </c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8"/>
      <c r="BK571" s="8"/>
      <c r="BL571" s="8"/>
      <c r="BM571" s="8"/>
    </row>
    <row r="572" spans="1:65" ht="30" hidden="1" customHeight="1" x14ac:dyDescent="0.45">
      <c r="A572" s="55">
        <f t="shared" si="2862"/>
        <v>44883</v>
      </c>
      <c r="B572" s="56">
        <v>242.16</v>
      </c>
      <c r="C572" s="56">
        <v>162.72999999999999</v>
      </c>
      <c r="D572" s="56">
        <v>124.49</v>
      </c>
      <c r="E572" s="56">
        <v>86.94</v>
      </c>
      <c r="F572" s="56">
        <v>53.52</v>
      </c>
      <c r="G572" s="56">
        <v>339.67</v>
      </c>
      <c r="H572" s="51">
        <f t="shared" ref="H572:M572" si="2996">B572-B571</f>
        <v>-5.5900000000000034</v>
      </c>
      <c r="I572" s="51">
        <f t="shared" si="2996"/>
        <v>-3.25</v>
      </c>
      <c r="J572" s="51">
        <f t="shared" si="2996"/>
        <v>-2.8900000000000006</v>
      </c>
      <c r="K572" s="51">
        <f t="shared" si="2996"/>
        <v>-0.82000000000000739</v>
      </c>
      <c r="L572" s="51">
        <f t="shared" si="2996"/>
        <v>-1.9999999999996021E-2</v>
      </c>
      <c r="M572" s="42">
        <f t="shared" si="2996"/>
        <v>15.410000000000025</v>
      </c>
      <c r="N572" s="51">
        <f t="shared" ref="N572:R572" si="2997">N571</f>
        <v>245.75749999999999</v>
      </c>
      <c r="O572" s="51">
        <f t="shared" si="2997"/>
        <v>164.88249999999999</v>
      </c>
      <c r="P572" s="51">
        <f t="shared" si="2997"/>
        <v>125.99250000000001</v>
      </c>
      <c r="Q572" s="51">
        <f t="shared" si="2997"/>
        <v>88.41</v>
      </c>
      <c r="R572" s="51">
        <f t="shared" si="2997"/>
        <v>53.64</v>
      </c>
      <c r="S572" s="51">
        <f t="shared" ref="S572:T572" si="2998">(B571+B572)/2</f>
        <v>244.95499999999998</v>
      </c>
      <c r="T572" s="51">
        <f t="shared" si="2998"/>
        <v>164.35499999999999</v>
      </c>
      <c r="U572" s="51">
        <f t="shared" si="2884"/>
        <v>125.935</v>
      </c>
      <c r="V572" s="51">
        <f t="shared" ref="V572:W572" si="2999">(E571+E572)/2</f>
        <v>87.35</v>
      </c>
      <c r="W572" s="51">
        <f t="shared" si="2999"/>
        <v>53.53</v>
      </c>
      <c r="X572" s="51">
        <f t="shared" ref="X572:AB572" si="3000">(SUM(B569:B572))/4</f>
        <v>249.42499999999998</v>
      </c>
      <c r="Y572" s="51">
        <f t="shared" si="3000"/>
        <v>167.5675</v>
      </c>
      <c r="Z572" s="51">
        <f t="shared" si="3000"/>
        <v>128.59</v>
      </c>
      <c r="AA572" s="51">
        <f t="shared" si="3000"/>
        <v>89.827500000000001</v>
      </c>
      <c r="AB572" s="51">
        <f t="shared" si="3000"/>
        <v>54.44</v>
      </c>
      <c r="AC572" s="51">
        <f t="shared" ref="AC572:AF572" si="3001">(B572+C572)/2</f>
        <v>202.44499999999999</v>
      </c>
      <c r="AD572" s="51">
        <f t="shared" si="3001"/>
        <v>143.60999999999999</v>
      </c>
      <c r="AE572" s="51">
        <f t="shared" si="3001"/>
        <v>105.715</v>
      </c>
      <c r="AF572" s="51">
        <f t="shared" si="3001"/>
        <v>70.23</v>
      </c>
      <c r="AG572" s="57"/>
      <c r="AH572" s="57"/>
      <c r="AI572" s="57"/>
      <c r="AJ572" s="57"/>
      <c r="AK572" s="51">
        <f t="shared" si="2093"/>
        <v>65.09</v>
      </c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8"/>
      <c r="BK572" s="8"/>
      <c r="BL572" s="8"/>
      <c r="BM572" s="8"/>
    </row>
    <row r="573" spans="1:65" ht="30" hidden="1" customHeight="1" x14ac:dyDescent="0.45">
      <c r="A573" s="55">
        <f t="shared" si="2862"/>
        <v>44890</v>
      </c>
      <c r="B573" s="56">
        <v>240.48</v>
      </c>
      <c r="C573" s="56">
        <v>160.5</v>
      </c>
      <c r="D573" s="56">
        <v>121.25</v>
      </c>
      <c r="E573" s="56">
        <v>87.12</v>
      </c>
      <c r="F573" s="56">
        <v>52.56</v>
      </c>
      <c r="G573" s="56">
        <v>364.54</v>
      </c>
      <c r="H573" s="51">
        <f t="shared" ref="H573:M573" si="3002">B573-B572</f>
        <v>-1.6800000000000068</v>
      </c>
      <c r="I573" s="51">
        <f t="shared" si="3002"/>
        <v>-2.2299999999999898</v>
      </c>
      <c r="J573" s="51">
        <f t="shared" si="3002"/>
        <v>-3.2399999999999949</v>
      </c>
      <c r="K573" s="51">
        <f t="shared" si="3002"/>
        <v>0.18000000000000682</v>
      </c>
      <c r="L573" s="51">
        <f t="shared" si="3002"/>
        <v>-0.96000000000000085</v>
      </c>
      <c r="M573" s="42">
        <f t="shared" si="3002"/>
        <v>24.870000000000005</v>
      </c>
      <c r="N573" s="51">
        <f t="shared" ref="N573:R573" si="3003">N572</f>
        <v>245.75749999999999</v>
      </c>
      <c r="O573" s="51">
        <f t="shared" si="3003"/>
        <v>164.88249999999999</v>
      </c>
      <c r="P573" s="51">
        <f t="shared" si="3003"/>
        <v>125.99250000000001</v>
      </c>
      <c r="Q573" s="51">
        <f t="shared" si="3003"/>
        <v>88.41</v>
      </c>
      <c r="R573" s="51">
        <f t="shared" si="3003"/>
        <v>53.64</v>
      </c>
      <c r="S573" s="51">
        <f t="shared" ref="S573:T573" si="3004">(B572+B573)/2</f>
        <v>241.32</v>
      </c>
      <c r="T573" s="51">
        <f t="shared" si="3004"/>
        <v>161.61500000000001</v>
      </c>
      <c r="U573" s="51">
        <f t="shared" si="2884"/>
        <v>122.87</v>
      </c>
      <c r="V573" s="51">
        <f t="shared" ref="V573:W573" si="3005">(E572+E573)/2</f>
        <v>87.03</v>
      </c>
      <c r="W573" s="51">
        <f t="shared" si="3005"/>
        <v>53.040000000000006</v>
      </c>
      <c r="X573" s="51">
        <f t="shared" ref="X573:AB573" si="3006">(SUM(B570:B573))/4</f>
        <v>245.75749999999999</v>
      </c>
      <c r="Y573" s="51">
        <f t="shared" si="3006"/>
        <v>164.88249999999999</v>
      </c>
      <c r="Z573" s="51">
        <f t="shared" si="3006"/>
        <v>125.99250000000001</v>
      </c>
      <c r="AA573" s="51">
        <f t="shared" si="3006"/>
        <v>88.41</v>
      </c>
      <c r="AB573" s="51">
        <f t="shared" si="3006"/>
        <v>53.64</v>
      </c>
      <c r="AC573" s="51">
        <f t="shared" ref="AC573:AF573" si="3007">(B573+C573)/2</f>
        <v>200.49</v>
      </c>
      <c r="AD573" s="51">
        <f t="shared" si="3007"/>
        <v>140.875</v>
      </c>
      <c r="AE573" s="51">
        <f t="shared" si="3007"/>
        <v>104.185</v>
      </c>
      <c r="AF573" s="51">
        <f t="shared" si="3007"/>
        <v>69.84</v>
      </c>
      <c r="AG573" s="57"/>
      <c r="AH573" s="57"/>
      <c r="AI573" s="57"/>
      <c r="AJ573" s="57"/>
      <c r="AK573" s="51">
        <f t="shared" si="2093"/>
        <v>64.685000000000002</v>
      </c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8"/>
      <c r="BK573" s="8"/>
      <c r="BL573" s="8"/>
      <c r="BM573" s="8"/>
    </row>
    <row r="574" spans="1:65" ht="30" hidden="1" customHeight="1" x14ac:dyDescent="0.45">
      <c r="A574" s="55">
        <f t="shared" si="2862"/>
        <v>44897</v>
      </c>
      <c r="B574" s="56">
        <v>238.69</v>
      </c>
      <c r="C574" s="56">
        <v>159.09</v>
      </c>
      <c r="D574" s="56">
        <v>119.68</v>
      </c>
      <c r="E574" s="56">
        <v>88.07</v>
      </c>
      <c r="F574" s="56">
        <v>52.91</v>
      </c>
      <c r="G574" s="56">
        <v>397.54</v>
      </c>
      <c r="H574" s="51">
        <f t="shared" ref="H574:M574" si="3008">B574-B573</f>
        <v>-1.789999999999992</v>
      </c>
      <c r="I574" s="51">
        <f t="shared" si="3008"/>
        <v>-1.4099999999999966</v>
      </c>
      <c r="J574" s="51">
        <f t="shared" si="3008"/>
        <v>-1.5699999999999932</v>
      </c>
      <c r="K574" s="51">
        <f t="shared" si="3008"/>
        <v>0.94999999999998863</v>
      </c>
      <c r="L574" s="51">
        <f t="shared" si="3008"/>
        <v>0.34999999999999432</v>
      </c>
      <c r="M574" s="42">
        <f t="shared" si="3008"/>
        <v>33</v>
      </c>
      <c r="N574" s="51">
        <f t="shared" ref="N574:R574" si="3009">AVERAGE(B574:B578)</f>
        <v>237.77800000000002</v>
      </c>
      <c r="O574" s="51">
        <f t="shared" si="3009"/>
        <v>157.46999999999997</v>
      </c>
      <c r="P574" s="51">
        <f t="shared" si="3009"/>
        <v>119.03200000000001</v>
      </c>
      <c r="Q574" s="51">
        <f t="shared" si="3009"/>
        <v>91.39</v>
      </c>
      <c r="R574" s="51">
        <f t="shared" si="3009"/>
        <v>53.498000000000005</v>
      </c>
      <c r="S574" s="51">
        <f t="shared" ref="S574:T574" si="3010">(B573+B574)/2</f>
        <v>239.58499999999998</v>
      </c>
      <c r="T574" s="51">
        <f t="shared" si="3010"/>
        <v>159.79500000000002</v>
      </c>
      <c r="U574" s="51">
        <f t="shared" si="2884"/>
        <v>120.465</v>
      </c>
      <c r="V574" s="51">
        <f t="shared" ref="V574:W574" si="3011">(E573+E574)/2</f>
        <v>87.594999999999999</v>
      </c>
      <c r="W574" s="51">
        <f t="shared" si="3011"/>
        <v>52.734999999999999</v>
      </c>
      <c r="X574" s="51">
        <f t="shared" ref="X574:AB574" si="3012">(SUM(B571:B574))/4</f>
        <v>242.26999999999998</v>
      </c>
      <c r="Y574" s="51">
        <f t="shared" si="3012"/>
        <v>162.07499999999999</v>
      </c>
      <c r="Z574" s="51">
        <f t="shared" si="3012"/>
        <v>123.2</v>
      </c>
      <c r="AA574" s="51">
        <f t="shared" si="3012"/>
        <v>87.472499999999997</v>
      </c>
      <c r="AB574" s="51">
        <f t="shared" si="3012"/>
        <v>53.1325</v>
      </c>
      <c r="AC574" s="51">
        <f t="shared" ref="AC574:AF574" si="3013">(B574+C574)/2</f>
        <v>198.89</v>
      </c>
      <c r="AD574" s="51">
        <f t="shared" si="3013"/>
        <v>139.38499999999999</v>
      </c>
      <c r="AE574" s="51">
        <f t="shared" si="3013"/>
        <v>103.875</v>
      </c>
      <c r="AF574" s="51">
        <f t="shared" si="3013"/>
        <v>70.489999999999995</v>
      </c>
      <c r="AG574" s="57"/>
      <c r="AH574" s="57"/>
      <c r="AI574" s="57"/>
      <c r="AJ574" s="57"/>
      <c r="AK574" s="51">
        <f t="shared" si="2093"/>
        <v>64.814999999999998</v>
      </c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8"/>
      <c r="BK574" s="8"/>
      <c r="BL574" s="8"/>
      <c r="BM574" s="8"/>
    </row>
    <row r="575" spans="1:65" ht="30" hidden="1" customHeight="1" x14ac:dyDescent="0.45">
      <c r="A575" s="55">
        <f t="shared" si="2862"/>
        <v>44904</v>
      </c>
      <c r="B575" s="56">
        <v>238.4</v>
      </c>
      <c r="C575" s="56">
        <v>159.04</v>
      </c>
      <c r="D575" s="56">
        <v>119.28</v>
      </c>
      <c r="E575" s="56">
        <v>91.02</v>
      </c>
      <c r="F575" s="56">
        <v>53.31</v>
      </c>
      <c r="G575" s="56">
        <v>416.02</v>
      </c>
      <c r="H575" s="51">
        <f t="shared" ref="H575:M575" si="3014">B575-B574</f>
        <v>-0.28999999999999204</v>
      </c>
      <c r="I575" s="51">
        <f t="shared" si="3014"/>
        <v>-5.0000000000011369E-2</v>
      </c>
      <c r="J575" s="51">
        <f t="shared" si="3014"/>
        <v>-0.40000000000000568</v>
      </c>
      <c r="K575" s="51">
        <f t="shared" si="3014"/>
        <v>2.9500000000000028</v>
      </c>
      <c r="L575" s="51">
        <f t="shared" si="3014"/>
        <v>0.40000000000000568</v>
      </c>
      <c r="M575" s="42">
        <f t="shared" si="3014"/>
        <v>18.479999999999961</v>
      </c>
      <c r="N575" s="51">
        <f t="shared" ref="N575:R575" si="3015">N574</f>
        <v>237.77800000000002</v>
      </c>
      <c r="O575" s="51">
        <f t="shared" si="3015"/>
        <v>157.46999999999997</v>
      </c>
      <c r="P575" s="51">
        <f t="shared" si="3015"/>
        <v>119.03200000000001</v>
      </c>
      <c r="Q575" s="51">
        <f t="shared" si="3015"/>
        <v>91.39</v>
      </c>
      <c r="R575" s="51">
        <f t="shared" si="3015"/>
        <v>53.498000000000005</v>
      </c>
      <c r="S575" s="51">
        <f t="shared" ref="S575:T575" si="3016">(B574+B575)/2</f>
        <v>238.54500000000002</v>
      </c>
      <c r="T575" s="51">
        <f t="shared" si="3016"/>
        <v>159.065</v>
      </c>
      <c r="U575" s="51">
        <f t="shared" si="2884"/>
        <v>119.48</v>
      </c>
      <c r="V575" s="51">
        <f t="shared" ref="V575:W575" si="3017">(E574+E575)/2</f>
        <v>89.544999999999987</v>
      </c>
      <c r="W575" s="51">
        <f t="shared" si="3017"/>
        <v>53.11</v>
      </c>
      <c r="X575" s="51">
        <f t="shared" ref="X575:AB575" si="3018">(SUM(B572:B575))/4</f>
        <v>239.93249999999998</v>
      </c>
      <c r="Y575" s="51">
        <f t="shared" si="3018"/>
        <v>160.34</v>
      </c>
      <c r="Z575" s="51">
        <f t="shared" si="3018"/>
        <v>121.17500000000001</v>
      </c>
      <c r="AA575" s="51">
        <f t="shared" si="3018"/>
        <v>88.287499999999994</v>
      </c>
      <c r="AB575" s="51">
        <f t="shared" si="3018"/>
        <v>53.075000000000003</v>
      </c>
      <c r="AC575" s="51">
        <f t="shared" ref="AC575:AF575" si="3019">(B575+C575)/2</f>
        <v>198.72</v>
      </c>
      <c r="AD575" s="51">
        <f t="shared" si="3019"/>
        <v>139.16</v>
      </c>
      <c r="AE575" s="51">
        <f t="shared" si="3019"/>
        <v>105.15</v>
      </c>
      <c r="AF575" s="51">
        <f t="shared" si="3019"/>
        <v>72.164999999999992</v>
      </c>
      <c r="AG575" s="57"/>
      <c r="AH575" s="57"/>
      <c r="AI575" s="57"/>
      <c r="AJ575" s="57"/>
      <c r="AK575" s="51">
        <f t="shared" si="2093"/>
        <v>65.977499999999992</v>
      </c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8"/>
      <c r="BK575" s="8"/>
      <c r="BL575" s="8"/>
      <c r="BM575" s="8"/>
    </row>
    <row r="576" spans="1:65" ht="30" hidden="1" customHeight="1" x14ac:dyDescent="0.45">
      <c r="A576" s="55">
        <f t="shared" si="2862"/>
        <v>44911</v>
      </c>
      <c r="B576" s="56">
        <v>238.5</v>
      </c>
      <c r="C576" s="56">
        <v>158.16999999999999</v>
      </c>
      <c r="D576" s="56">
        <v>120.25</v>
      </c>
      <c r="E576" s="56">
        <v>93.13</v>
      </c>
      <c r="F576" s="56">
        <v>53.88</v>
      </c>
      <c r="G576" s="56">
        <v>406.3</v>
      </c>
      <c r="H576" s="51">
        <f t="shared" ref="H576:M576" si="3020">B576-B575</f>
        <v>9.9999999999994316E-2</v>
      </c>
      <c r="I576" s="51">
        <f t="shared" si="3020"/>
        <v>-0.87000000000000455</v>
      </c>
      <c r="J576" s="51">
        <f t="shared" si="3020"/>
        <v>0.96999999999999886</v>
      </c>
      <c r="K576" s="51">
        <f t="shared" si="3020"/>
        <v>2.1099999999999994</v>
      </c>
      <c r="L576" s="51">
        <f t="shared" si="3020"/>
        <v>0.57000000000000028</v>
      </c>
      <c r="M576" s="42">
        <f t="shared" si="3020"/>
        <v>-9.7199999999999704</v>
      </c>
      <c r="N576" s="51">
        <f t="shared" ref="N576:R576" si="3021">N575</f>
        <v>237.77800000000002</v>
      </c>
      <c r="O576" s="51">
        <f t="shared" si="3021"/>
        <v>157.46999999999997</v>
      </c>
      <c r="P576" s="51">
        <f t="shared" si="3021"/>
        <v>119.03200000000001</v>
      </c>
      <c r="Q576" s="51">
        <f t="shared" si="3021"/>
        <v>91.39</v>
      </c>
      <c r="R576" s="51">
        <f t="shared" si="3021"/>
        <v>53.498000000000005</v>
      </c>
      <c r="S576" s="51">
        <f t="shared" ref="S576:T576" si="3022">(B575+B576)/2</f>
        <v>238.45</v>
      </c>
      <c r="T576" s="51">
        <f t="shared" si="3022"/>
        <v>158.60499999999999</v>
      </c>
      <c r="U576" s="51">
        <f t="shared" si="2884"/>
        <v>119.765</v>
      </c>
      <c r="V576" s="51">
        <f t="shared" ref="V576:W576" si="3023">(E575+E576)/2</f>
        <v>92.074999999999989</v>
      </c>
      <c r="W576" s="51">
        <f t="shared" si="3023"/>
        <v>53.594999999999999</v>
      </c>
      <c r="X576" s="51">
        <f t="shared" ref="X576:AB576" si="3024">(SUM(B573:B576))/4</f>
        <v>239.01749999999998</v>
      </c>
      <c r="Y576" s="51">
        <f t="shared" si="3024"/>
        <v>159.19999999999999</v>
      </c>
      <c r="Z576" s="51">
        <f t="shared" si="3024"/>
        <v>120.11500000000001</v>
      </c>
      <c r="AA576" s="51">
        <f t="shared" si="3024"/>
        <v>89.834999999999994</v>
      </c>
      <c r="AB576" s="51">
        <f t="shared" si="3024"/>
        <v>53.164999999999999</v>
      </c>
      <c r="AC576" s="51">
        <f t="shared" ref="AC576:AF576" si="3025">(B576+C576)/2</f>
        <v>198.33499999999998</v>
      </c>
      <c r="AD576" s="51">
        <f t="shared" si="3025"/>
        <v>139.20999999999998</v>
      </c>
      <c r="AE576" s="51">
        <f t="shared" si="3025"/>
        <v>106.69</v>
      </c>
      <c r="AF576" s="51">
        <f t="shared" si="3025"/>
        <v>73.504999999999995</v>
      </c>
      <c r="AG576" s="57"/>
      <c r="AH576" s="57"/>
      <c r="AI576" s="57"/>
      <c r="AJ576" s="57"/>
      <c r="AK576" s="51">
        <f t="shared" si="2093"/>
        <v>67.484999999999999</v>
      </c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8"/>
      <c r="BK576" s="8"/>
      <c r="BL576" s="8"/>
      <c r="BM576" s="8"/>
    </row>
    <row r="577" spans="1:65" ht="30" hidden="1" customHeight="1" x14ac:dyDescent="0.45">
      <c r="A577" s="55">
        <f t="shared" si="2862"/>
        <v>44918</v>
      </c>
      <c r="B577" s="56">
        <v>237.73</v>
      </c>
      <c r="C577" s="56">
        <v>156.6</v>
      </c>
      <c r="D577" s="56">
        <v>119.29</v>
      </c>
      <c r="E577" s="56">
        <v>94.28</v>
      </c>
      <c r="F577" s="56">
        <v>54.42</v>
      </c>
      <c r="G577" s="56">
        <v>401.97</v>
      </c>
      <c r="H577" s="51">
        <f t="shared" ref="H577:M577" si="3026">B577-B576</f>
        <v>-0.77000000000001023</v>
      </c>
      <c r="I577" s="51">
        <f t="shared" si="3026"/>
        <v>-1.5699999999999932</v>
      </c>
      <c r="J577" s="51">
        <f t="shared" si="3026"/>
        <v>-0.95999999999999375</v>
      </c>
      <c r="K577" s="51">
        <f t="shared" si="3026"/>
        <v>1.1500000000000057</v>
      </c>
      <c r="L577" s="51">
        <f t="shared" si="3026"/>
        <v>0.53999999999999915</v>
      </c>
      <c r="M577" s="42">
        <f t="shared" si="3026"/>
        <v>-4.3299999999999841</v>
      </c>
      <c r="N577" s="51">
        <f t="shared" ref="N577:R577" si="3027">N576</f>
        <v>237.77800000000002</v>
      </c>
      <c r="O577" s="51">
        <f t="shared" si="3027"/>
        <v>157.46999999999997</v>
      </c>
      <c r="P577" s="51">
        <f t="shared" si="3027"/>
        <v>119.03200000000001</v>
      </c>
      <c r="Q577" s="51">
        <f t="shared" si="3027"/>
        <v>91.39</v>
      </c>
      <c r="R577" s="51">
        <f t="shared" si="3027"/>
        <v>53.498000000000005</v>
      </c>
      <c r="S577" s="51">
        <f t="shared" ref="S577:T577" si="3028">(B576+B577)/2</f>
        <v>238.11500000000001</v>
      </c>
      <c r="T577" s="51">
        <f t="shared" si="3028"/>
        <v>157.38499999999999</v>
      </c>
      <c r="U577" s="51">
        <f t="shared" si="2884"/>
        <v>119.77000000000001</v>
      </c>
      <c r="V577" s="51">
        <f t="shared" ref="V577:W577" si="3029">(E576+E577)/2</f>
        <v>93.704999999999998</v>
      </c>
      <c r="W577" s="51">
        <f t="shared" si="3029"/>
        <v>54.150000000000006</v>
      </c>
      <c r="X577" s="51">
        <f t="shared" ref="X577:AB577" si="3030">(SUM(B574:B577))/4</f>
        <v>238.33</v>
      </c>
      <c r="Y577" s="51">
        <f t="shared" si="3030"/>
        <v>158.22499999999999</v>
      </c>
      <c r="Z577" s="51">
        <f t="shared" si="3030"/>
        <v>119.62500000000001</v>
      </c>
      <c r="AA577" s="51">
        <f t="shared" si="3030"/>
        <v>91.625</v>
      </c>
      <c r="AB577" s="51">
        <f t="shared" si="3030"/>
        <v>53.629999999999995</v>
      </c>
      <c r="AC577" s="51">
        <f t="shared" ref="AC577:AF577" si="3031">(B577+C577)/2</f>
        <v>197.16499999999999</v>
      </c>
      <c r="AD577" s="51">
        <f t="shared" si="3031"/>
        <v>137.94499999999999</v>
      </c>
      <c r="AE577" s="51">
        <f t="shared" si="3031"/>
        <v>106.785</v>
      </c>
      <c r="AF577" s="51">
        <f t="shared" si="3031"/>
        <v>74.349999999999994</v>
      </c>
      <c r="AG577" s="57"/>
      <c r="AH577" s="57"/>
      <c r="AI577" s="57"/>
      <c r="AJ577" s="57"/>
      <c r="AK577" s="51">
        <f t="shared" si="2093"/>
        <v>68.577500000000015</v>
      </c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8"/>
      <c r="BK577" s="8"/>
      <c r="BL577" s="8"/>
      <c r="BM577" s="8"/>
    </row>
    <row r="578" spans="1:65" ht="30" hidden="1" customHeight="1" x14ac:dyDescent="0.45">
      <c r="A578" s="55">
        <f t="shared" si="2862"/>
        <v>44925</v>
      </c>
      <c r="B578" s="56">
        <v>235.57</v>
      </c>
      <c r="C578" s="56">
        <v>154.44999999999999</v>
      </c>
      <c r="D578" s="56">
        <v>116.66</v>
      </c>
      <c r="E578" s="56">
        <v>90.45</v>
      </c>
      <c r="F578" s="56">
        <v>52.97</v>
      </c>
      <c r="G578" s="56">
        <v>398.5</v>
      </c>
      <c r="H578" s="51">
        <f t="shared" ref="H578:M578" si="3032">B578-B577</f>
        <v>-2.1599999999999966</v>
      </c>
      <c r="I578" s="51">
        <f t="shared" si="3032"/>
        <v>-2.1500000000000057</v>
      </c>
      <c r="J578" s="51">
        <f t="shared" si="3032"/>
        <v>-2.6300000000000097</v>
      </c>
      <c r="K578" s="51">
        <f t="shared" si="3032"/>
        <v>-3.8299999999999983</v>
      </c>
      <c r="L578" s="51">
        <f t="shared" si="3032"/>
        <v>-1.4500000000000028</v>
      </c>
      <c r="M578" s="42">
        <f t="shared" si="3032"/>
        <v>-3.4700000000000273</v>
      </c>
      <c r="N578" s="51">
        <f t="shared" ref="N578:R578" si="3033">N577</f>
        <v>237.77800000000002</v>
      </c>
      <c r="O578" s="51">
        <f t="shared" si="3033"/>
        <v>157.46999999999997</v>
      </c>
      <c r="P578" s="51">
        <f t="shared" si="3033"/>
        <v>119.03200000000001</v>
      </c>
      <c r="Q578" s="51">
        <f t="shared" si="3033"/>
        <v>91.39</v>
      </c>
      <c r="R578" s="51">
        <f t="shared" si="3033"/>
        <v>53.498000000000005</v>
      </c>
      <c r="S578" s="51">
        <f t="shared" ref="S578:T578" si="3034">(B577+B578)/2</f>
        <v>236.64999999999998</v>
      </c>
      <c r="T578" s="51">
        <f t="shared" si="3034"/>
        <v>155.52499999999998</v>
      </c>
      <c r="U578" s="51">
        <f t="shared" si="2884"/>
        <v>117.97499999999999</v>
      </c>
      <c r="V578" s="51">
        <f t="shared" ref="V578:W578" si="3035">(E577+E578)/2</f>
        <v>92.365000000000009</v>
      </c>
      <c r="W578" s="51">
        <f t="shared" si="3035"/>
        <v>53.695</v>
      </c>
      <c r="X578" s="51">
        <f t="shared" ref="X578:AB578" si="3036">(SUM(B575:B578))/4</f>
        <v>237.55</v>
      </c>
      <c r="Y578" s="51">
        <f t="shared" si="3036"/>
        <v>157.065</v>
      </c>
      <c r="Z578" s="51">
        <f t="shared" si="3036"/>
        <v>118.87</v>
      </c>
      <c r="AA578" s="51">
        <f t="shared" si="3036"/>
        <v>92.219999999999985</v>
      </c>
      <c r="AB578" s="51">
        <f t="shared" si="3036"/>
        <v>53.645000000000003</v>
      </c>
      <c r="AC578" s="51">
        <f t="shared" ref="AC578:AF578" si="3037">(B578+C578)/2</f>
        <v>195.01</v>
      </c>
      <c r="AD578" s="51">
        <f t="shared" si="3037"/>
        <v>135.55500000000001</v>
      </c>
      <c r="AE578" s="51">
        <f t="shared" si="3037"/>
        <v>103.55500000000001</v>
      </c>
      <c r="AF578" s="51">
        <f t="shared" si="3037"/>
        <v>71.710000000000008</v>
      </c>
      <c r="AG578" s="57"/>
      <c r="AH578" s="57"/>
      <c r="AI578" s="57"/>
      <c r="AJ578" s="57"/>
      <c r="AK578" s="51">
        <f t="shared" si="2093"/>
        <v>67.680000000000007</v>
      </c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8"/>
      <c r="BK578" s="8"/>
      <c r="BL578" s="8"/>
      <c r="BM578" s="8"/>
    </row>
    <row r="579" spans="1:65" ht="30" hidden="1" customHeight="1" x14ac:dyDescent="0.45">
      <c r="A579" s="53">
        <f t="shared" si="2862"/>
        <v>44932</v>
      </c>
      <c r="B579" s="56">
        <v>230.66</v>
      </c>
      <c r="C579" s="56">
        <v>150.18</v>
      </c>
      <c r="D579" s="56">
        <v>113.38</v>
      </c>
      <c r="E579" s="56">
        <v>87.55</v>
      </c>
      <c r="F579" s="56">
        <v>51.79</v>
      </c>
      <c r="G579" s="56">
        <v>397.3</v>
      </c>
      <c r="H579" s="51">
        <f t="shared" ref="H579:M579" si="3038">B579-B578</f>
        <v>-4.9099999999999966</v>
      </c>
      <c r="I579" s="51">
        <f t="shared" si="3038"/>
        <v>-4.2699999999999818</v>
      </c>
      <c r="J579" s="51">
        <f t="shared" si="3038"/>
        <v>-3.2800000000000011</v>
      </c>
      <c r="K579" s="51">
        <f t="shared" si="3038"/>
        <v>-2.9000000000000057</v>
      </c>
      <c r="L579" s="51">
        <f t="shared" si="3038"/>
        <v>-1.1799999999999997</v>
      </c>
      <c r="M579" s="42">
        <f t="shared" si="3038"/>
        <v>-1.1999999999999886</v>
      </c>
      <c r="N579" s="51">
        <f t="shared" ref="N579:R579" si="3039">AVERAGE(B579:B582)</f>
        <v>226.90749999999997</v>
      </c>
      <c r="O579" s="51">
        <f t="shared" si="3039"/>
        <v>144.44</v>
      </c>
      <c r="P579" s="51">
        <f t="shared" si="3039"/>
        <v>110.07249999999999</v>
      </c>
      <c r="Q579" s="51">
        <f t="shared" si="3039"/>
        <v>83.982500000000002</v>
      </c>
      <c r="R579" s="51">
        <f t="shared" si="3039"/>
        <v>51.112500000000004</v>
      </c>
      <c r="S579" s="62">
        <f t="shared" ref="S579:T579" si="3040">(B578+B579)/2</f>
        <v>233.11500000000001</v>
      </c>
      <c r="T579" s="62">
        <f t="shared" si="3040"/>
        <v>152.315</v>
      </c>
      <c r="U579" s="62">
        <f t="shared" si="2884"/>
        <v>115.02</v>
      </c>
      <c r="V579" s="62">
        <f t="shared" ref="V579:W579" si="3041">(E578+E579)/2</f>
        <v>89</v>
      </c>
      <c r="W579" s="62">
        <f t="shared" si="3041"/>
        <v>52.379999999999995</v>
      </c>
      <c r="X579" s="62">
        <f t="shared" ref="X579:AB579" si="3042">(SUM(B576:B579))/4</f>
        <v>235.61499999999998</v>
      </c>
      <c r="Y579" s="62">
        <f t="shared" si="3042"/>
        <v>154.85</v>
      </c>
      <c r="Z579" s="62">
        <f t="shared" si="3042"/>
        <v>117.39500000000001</v>
      </c>
      <c r="AA579" s="62">
        <f t="shared" si="3042"/>
        <v>91.352500000000006</v>
      </c>
      <c r="AB579" s="62">
        <f t="shared" si="3042"/>
        <v>53.265000000000001</v>
      </c>
      <c r="AC579" s="51">
        <f t="shared" ref="AC579:AF579" si="3043">(B579+C579)/2</f>
        <v>190.42000000000002</v>
      </c>
      <c r="AD579" s="51">
        <f t="shared" si="3043"/>
        <v>131.78</v>
      </c>
      <c r="AE579" s="51">
        <f t="shared" si="3043"/>
        <v>100.465</v>
      </c>
      <c r="AF579" s="51">
        <f t="shared" si="3043"/>
        <v>69.67</v>
      </c>
      <c r="AG579" s="7"/>
      <c r="AH579" s="7"/>
      <c r="AI579" s="7"/>
      <c r="AJ579" s="7"/>
      <c r="AK579" s="51">
        <f t="shared" si="2093"/>
        <v>65.34</v>
      </c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8"/>
      <c r="BK579" s="8"/>
      <c r="BL579" s="8"/>
      <c r="BM579" s="8"/>
    </row>
    <row r="580" spans="1:65" ht="30" hidden="1" customHeight="1" x14ac:dyDescent="0.45">
      <c r="A580" s="53">
        <f t="shared" si="2862"/>
        <v>44939</v>
      </c>
      <c r="B580" s="56">
        <v>228.41</v>
      </c>
      <c r="C580" s="56">
        <v>145.85</v>
      </c>
      <c r="D580" s="56">
        <v>111.89</v>
      </c>
      <c r="E580" s="56">
        <v>85.34</v>
      </c>
      <c r="F580" s="56">
        <v>51.32</v>
      </c>
      <c r="G580" s="56">
        <v>392.37</v>
      </c>
      <c r="H580" s="51">
        <f t="shared" ref="H580:M580" si="3044">B580-B579</f>
        <v>-2.25</v>
      </c>
      <c r="I580" s="51">
        <f t="shared" si="3044"/>
        <v>-4.3300000000000125</v>
      </c>
      <c r="J580" s="51">
        <f t="shared" si="3044"/>
        <v>-1.4899999999999949</v>
      </c>
      <c r="K580" s="51">
        <f t="shared" si="3044"/>
        <v>-2.2099999999999937</v>
      </c>
      <c r="L580" s="51">
        <f t="shared" si="3044"/>
        <v>-0.46999999999999886</v>
      </c>
      <c r="M580" s="42">
        <f t="shared" si="3044"/>
        <v>-4.9300000000000068</v>
      </c>
      <c r="N580" s="51">
        <f t="shared" ref="N580:R580" si="3045">N579</f>
        <v>226.90749999999997</v>
      </c>
      <c r="O580" s="51">
        <f t="shared" si="3045"/>
        <v>144.44</v>
      </c>
      <c r="P580" s="51">
        <f t="shared" si="3045"/>
        <v>110.07249999999999</v>
      </c>
      <c r="Q580" s="51">
        <f t="shared" si="3045"/>
        <v>83.982500000000002</v>
      </c>
      <c r="R580" s="51">
        <f t="shared" si="3045"/>
        <v>51.112500000000004</v>
      </c>
      <c r="S580" s="62">
        <f t="shared" ref="S580:T580" si="3046">(B579+B580)/2</f>
        <v>229.535</v>
      </c>
      <c r="T580" s="62">
        <f t="shared" si="3046"/>
        <v>148.01499999999999</v>
      </c>
      <c r="U580" s="62">
        <f t="shared" si="2884"/>
        <v>112.63499999999999</v>
      </c>
      <c r="V580" s="62">
        <f t="shared" ref="V580:W580" si="3047">(E579+E580)/2</f>
        <v>86.444999999999993</v>
      </c>
      <c r="W580" s="62">
        <f t="shared" si="3047"/>
        <v>51.555</v>
      </c>
      <c r="X580" s="62">
        <f t="shared" ref="X580:AB580" si="3048">(SUM(B577:B580))/4</f>
        <v>233.09249999999997</v>
      </c>
      <c r="Y580" s="62">
        <f t="shared" si="3048"/>
        <v>151.76999999999998</v>
      </c>
      <c r="Z580" s="62">
        <f t="shared" si="3048"/>
        <v>115.30499999999999</v>
      </c>
      <c r="AA580" s="62">
        <f t="shared" si="3048"/>
        <v>89.405000000000001</v>
      </c>
      <c r="AB580" s="62">
        <f t="shared" si="3048"/>
        <v>52.625</v>
      </c>
      <c r="AC580" s="51">
        <f t="shared" ref="AC580:AF580" si="3049">(B580+C580)/2</f>
        <v>187.13</v>
      </c>
      <c r="AD580" s="51">
        <f t="shared" si="3049"/>
        <v>128.87</v>
      </c>
      <c r="AE580" s="51">
        <f t="shared" si="3049"/>
        <v>98.615000000000009</v>
      </c>
      <c r="AF580" s="51">
        <f t="shared" si="3049"/>
        <v>68.33</v>
      </c>
      <c r="AG580" s="7"/>
      <c r="AH580" s="7"/>
      <c r="AI580" s="7"/>
      <c r="AJ580" s="7"/>
      <c r="AK580" s="51">
        <f t="shared" si="2093"/>
        <v>63.65</v>
      </c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8"/>
      <c r="BK580" s="8"/>
      <c r="BL580" s="8"/>
      <c r="BM580" s="8"/>
    </row>
    <row r="581" spans="1:65" ht="30" hidden="1" customHeight="1" x14ac:dyDescent="0.45">
      <c r="A581" s="53">
        <f t="shared" si="2862"/>
        <v>44946</v>
      </c>
      <c r="B581" s="56">
        <v>226.01</v>
      </c>
      <c r="C581" s="56">
        <v>142.38999999999999</v>
      </c>
      <c r="D581" s="56">
        <v>108.89</v>
      </c>
      <c r="E581" s="56">
        <v>82.65</v>
      </c>
      <c r="F581" s="56">
        <v>51</v>
      </c>
      <c r="G581" s="56">
        <v>347.34</v>
      </c>
      <c r="H581" s="51">
        <f t="shared" ref="H581:M581" si="3050">B581-B580</f>
        <v>-2.4000000000000057</v>
      </c>
      <c r="I581" s="51">
        <f t="shared" si="3050"/>
        <v>-3.460000000000008</v>
      </c>
      <c r="J581" s="51">
        <f t="shared" si="3050"/>
        <v>-3</v>
      </c>
      <c r="K581" s="51">
        <f t="shared" si="3050"/>
        <v>-2.6899999999999977</v>
      </c>
      <c r="L581" s="51">
        <f t="shared" si="3050"/>
        <v>-0.32000000000000028</v>
      </c>
      <c r="M581" s="42">
        <f t="shared" si="3050"/>
        <v>-45.03000000000003</v>
      </c>
      <c r="N581" s="51">
        <f t="shared" ref="N581:R581" si="3051">N580</f>
        <v>226.90749999999997</v>
      </c>
      <c r="O581" s="51">
        <f t="shared" si="3051"/>
        <v>144.44</v>
      </c>
      <c r="P581" s="51">
        <f t="shared" si="3051"/>
        <v>110.07249999999999</v>
      </c>
      <c r="Q581" s="51">
        <f t="shared" si="3051"/>
        <v>83.982500000000002</v>
      </c>
      <c r="R581" s="51">
        <f t="shared" si="3051"/>
        <v>51.112500000000004</v>
      </c>
      <c r="S581" s="62">
        <f t="shared" ref="S581:T581" si="3052">(B580+B581)/2</f>
        <v>227.20999999999998</v>
      </c>
      <c r="T581" s="62">
        <f t="shared" si="3052"/>
        <v>144.12</v>
      </c>
      <c r="U581" s="62">
        <f t="shared" si="2884"/>
        <v>110.39</v>
      </c>
      <c r="V581" s="62">
        <f t="shared" ref="V581:W581" si="3053">(E580+E581)/2</f>
        <v>83.995000000000005</v>
      </c>
      <c r="W581" s="62">
        <f t="shared" si="3053"/>
        <v>51.16</v>
      </c>
      <c r="X581" s="62">
        <f t="shared" ref="X581:AB581" si="3054">(SUM(B578:B581))/4</f>
        <v>230.16249999999999</v>
      </c>
      <c r="Y581" s="62">
        <f t="shared" si="3054"/>
        <v>148.2175</v>
      </c>
      <c r="Z581" s="62">
        <f t="shared" si="3054"/>
        <v>112.705</v>
      </c>
      <c r="AA581" s="62">
        <f t="shared" si="3054"/>
        <v>86.497500000000002</v>
      </c>
      <c r="AB581" s="62">
        <f t="shared" si="3054"/>
        <v>51.769999999999996</v>
      </c>
      <c r="AC581" s="51">
        <f t="shared" ref="AC581:AF581" si="3055">(B581+C581)/2</f>
        <v>184.2</v>
      </c>
      <c r="AD581" s="51">
        <f t="shared" si="3055"/>
        <v>125.63999999999999</v>
      </c>
      <c r="AE581" s="51">
        <f t="shared" si="3055"/>
        <v>95.77000000000001</v>
      </c>
      <c r="AF581" s="51">
        <f t="shared" si="3055"/>
        <v>66.825000000000003</v>
      </c>
      <c r="AG581" s="7"/>
      <c r="AH581" s="7"/>
      <c r="AI581" s="7"/>
      <c r="AJ581" s="7"/>
      <c r="AK581" s="51">
        <f t="shared" si="2093"/>
        <v>62.227499999999999</v>
      </c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8"/>
      <c r="BK581" s="8"/>
      <c r="BL581" s="8"/>
      <c r="BM581" s="8"/>
    </row>
    <row r="582" spans="1:65" ht="30" hidden="1" customHeight="1" x14ac:dyDescent="0.45">
      <c r="A582" s="53">
        <f t="shared" si="2862"/>
        <v>44953</v>
      </c>
      <c r="B582" s="56">
        <v>222.55</v>
      </c>
      <c r="C582" s="56">
        <v>139.34</v>
      </c>
      <c r="D582" s="56">
        <v>106.13</v>
      </c>
      <c r="E582" s="56">
        <v>80.39</v>
      </c>
      <c r="F582" s="56">
        <v>50.34</v>
      </c>
      <c r="G582" s="56">
        <v>294</v>
      </c>
      <c r="H582" s="51">
        <f t="shared" ref="H582:M582" si="3056">B582-B581</f>
        <v>-3.4599999999999795</v>
      </c>
      <c r="I582" s="51">
        <f t="shared" si="3056"/>
        <v>-3.0499999999999829</v>
      </c>
      <c r="J582" s="51">
        <f t="shared" si="3056"/>
        <v>-2.7600000000000051</v>
      </c>
      <c r="K582" s="51">
        <f t="shared" si="3056"/>
        <v>-2.2600000000000051</v>
      </c>
      <c r="L582" s="51">
        <f t="shared" si="3056"/>
        <v>-0.65999999999999659</v>
      </c>
      <c r="M582" s="42">
        <f t="shared" si="3056"/>
        <v>-53.339999999999975</v>
      </c>
      <c r="N582" s="51">
        <f t="shared" ref="N582:R582" si="3057">N581</f>
        <v>226.90749999999997</v>
      </c>
      <c r="O582" s="51">
        <f t="shared" si="3057"/>
        <v>144.44</v>
      </c>
      <c r="P582" s="51">
        <f t="shared" si="3057"/>
        <v>110.07249999999999</v>
      </c>
      <c r="Q582" s="51">
        <f t="shared" si="3057"/>
        <v>83.982500000000002</v>
      </c>
      <c r="R582" s="51">
        <f t="shared" si="3057"/>
        <v>51.112500000000004</v>
      </c>
      <c r="S582" s="62">
        <f t="shared" ref="S582:T582" si="3058">(B581+B582)/2</f>
        <v>224.28</v>
      </c>
      <c r="T582" s="62">
        <f t="shared" si="3058"/>
        <v>140.86500000000001</v>
      </c>
      <c r="U582" s="62">
        <f t="shared" si="2884"/>
        <v>107.50999999999999</v>
      </c>
      <c r="V582" s="62">
        <f t="shared" ref="V582:W582" si="3059">(E581+E582)/2</f>
        <v>81.52000000000001</v>
      </c>
      <c r="W582" s="62">
        <f t="shared" si="3059"/>
        <v>50.67</v>
      </c>
      <c r="X582" s="62">
        <f t="shared" ref="X582:AB582" si="3060">(SUM(B579:B582))/4</f>
        <v>226.90749999999997</v>
      </c>
      <c r="Y582" s="62">
        <f t="shared" si="3060"/>
        <v>144.44</v>
      </c>
      <c r="Z582" s="62">
        <f t="shared" si="3060"/>
        <v>110.07249999999999</v>
      </c>
      <c r="AA582" s="62">
        <f t="shared" si="3060"/>
        <v>83.982500000000002</v>
      </c>
      <c r="AB582" s="62">
        <f t="shared" si="3060"/>
        <v>51.112500000000004</v>
      </c>
      <c r="AC582" s="51">
        <f t="shared" ref="AC582:AF582" si="3061">(B582+C582)/2</f>
        <v>180.94499999999999</v>
      </c>
      <c r="AD582" s="51">
        <f t="shared" si="3061"/>
        <v>122.735</v>
      </c>
      <c r="AE582" s="51">
        <f t="shared" si="3061"/>
        <v>93.259999999999991</v>
      </c>
      <c r="AF582" s="51">
        <f t="shared" si="3061"/>
        <v>65.365000000000009</v>
      </c>
      <c r="AG582" s="7"/>
      <c r="AH582" s="7"/>
      <c r="AI582" s="7"/>
      <c r="AJ582" s="7"/>
      <c r="AK582" s="51">
        <f t="shared" si="2093"/>
        <v>60.744999999999997</v>
      </c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8"/>
      <c r="BK582" s="8"/>
      <c r="BL582" s="8"/>
      <c r="BM582" s="8"/>
    </row>
    <row r="583" spans="1:65" ht="30" hidden="1" customHeight="1" x14ac:dyDescent="0.45">
      <c r="A583" s="53">
        <f t="shared" si="2862"/>
        <v>44960</v>
      </c>
      <c r="B583" s="56">
        <v>210.12</v>
      </c>
      <c r="C583" s="56">
        <v>134.1</v>
      </c>
      <c r="D583" s="56">
        <v>101.46</v>
      </c>
      <c r="E583" s="56">
        <v>77.989999999999995</v>
      </c>
      <c r="F583" s="56">
        <v>49.61</v>
      </c>
      <c r="G583" s="56">
        <v>245.43</v>
      </c>
      <c r="H583" s="51">
        <f t="shared" ref="H583:M583" si="3062">B583-B582</f>
        <v>-12.430000000000007</v>
      </c>
      <c r="I583" s="51">
        <f t="shared" si="3062"/>
        <v>-5.2400000000000091</v>
      </c>
      <c r="J583" s="51">
        <f t="shared" si="3062"/>
        <v>-4.6700000000000017</v>
      </c>
      <c r="K583" s="51">
        <f t="shared" si="3062"/>
        <v>-2.4000000000000057</v>
      </c>
      <c r="L583" s="51">
        <f t="shared" si="3062"/>
        <v>-0.73000000000000398</v>
      </c>
      <c r="M583" s="42">
        <f t="shared" si="3062"/>
        <v>-48.569999999999993</v>
      </c>
      <c r="N583" s="51">
        <f t="shared" ref="N583:R583" si="3063">AVERAGE(B583:B586)</f>
        <v>196.85250000000002</v>
      </c>
      <c r="O583" s="51">
        <f t="shared" si="3063"/>
        <v>125.89750000000001</v>
      </c>
      <c r="P583" s="51">
        <f t="shared" si="3063"/>
        <v>95.257499999999993</v>
      </c>
      <c r="Q583" s="51">
        <f t="shared" si="3063"/>
        <v>72.820000000000007</v>
      </c>
      <c r="R583" s="51">
        <f t="shared" si="3063"/>
        <v>48.642500000000005</v>
      </c>
      <c r="S583" s="62">
        <f t="shared" ref="S583:T583" si="3064">(B582+B583)/2</f>
        <v>216.33500000000001</v>
      </c>
      <c r="T583" s="62">
        <f t="shared" si="3064"/>
        <v>136.72</v>
      </c>
      <c r="U583" s="62">
        <f t="shared" si="2884"/>
        <v>103.79499999999999</v>
      </c>
      <c r="V583" s="62">
        <f t="shared" ref="V583:W583" si="3065">(E582+E583)/2</f>
        <v>79.19</v>
      </c>
      <c r="W583" s="62">
        <f t="shared" si="3065"/>
        <v>49.975000000000001</v>
      </c>
      <c r="X583" s="62">
        <f t="shared" ref="X583:AB583" si="3066">(SUM(B580:B583))/4</f>
        <v>221.77250000000001</v>
      </c>
      <c r="Y583" s="62">
        <f t="shared" si="3066"/>
        <v>140.42000000000002</v>
      </c>
      <c r="Z583" s="62">
        <f t="shared" si="3066"/>
        <v>107.09249999999999</v>
      </c>
      <c r="AA583" s="62">
        <f t="shared" si="3066"/>
        <v>81.592500000000001</v>
      </c>
      <c r="AB583" s="62">
        <f t="shared" si="3066"/>
        <v>50.567499999999995</v>
      </c>
      <c r="AC583" s="51">
        <f t="shared" ref="AC583:AF583" si="3067">(B583+C583)/2</f>
        <v>172.11</v>
      </c>
      <c r="AD583" s="51">
        <f t="shared" si="3067"/>
        <v>117.78</v>
      </c>
      <c r="AE583" s="51">
        <f t="shared" si="3067"/>
        <v>89.724999999999994</v>
      </c>
      <c r="AF583" s="51">
        <f t="shared" si="3067"/>
        <v>63.8</v>
      </c>
      <c r="AG583" s="7"/>
      <c r="AH583" s="7"/>
      <c r="AI583" s="7"/>
      <c r="AJ583" s="7"/>
      <c r="AK583" s="51">
        <f t="shared" si="2093"/>
        <v>59.232499999999995</v>
      </c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8"/>
      <c r="BK583" s="8"/>
      <c r="BL583" s="8"/>
      <c r="BM583" s="8"/>
    </row>
    <row r="584" spans="1:65" ht="30" hidden="1" customHeight="1" x14ac:dyDescent="0.45">
      <c r="A584" s="53">
        <f t="shared" si="2862"/>
        <v>44967</v>
      </c>
      <c r="B584" s="56">
        <v>196.99</v>
      </c>
      <c r="C584" s="56">
        <v>125.65</v>
      </c>
      <c r="D584" s="56">
        <v>94.78</v>
      </c>
      <c r="E584" s="56">
        <v>71.69</v>
      </c>
      <c r="F584" s="56">
        <v>48.25</v>
      </c>
      <c r="G584" s="56">
        <v>227.86</v>
      </c>
      <c r="H584" s="51">
        <f t="shared" ref="H584:M584" si="3068">B584-B583</f>
        <v>-13.129999999999995</v>
      </c>
      <c r="I584" s="51">
        <f t="shared" si="3068"/>
        <v>-8.4499999999999886</v>
      </c>
      <c r="J584" s="51">
        <f t="shared" si="3068"/>
        <v>-6.6799999999999926</v>
      </c>
      <c r="K584" s="51">
        <f t="shared" si="3068"/>
        <v>-6.2999999999999972</v>
      </c>
      <c r="L584" s="51">
        <f t="shared" si="3068"/>
        <v>-1.3599999999999994</v>
      </c>
      <c r="M584" s="42">
        <f t="shared" si="3068"/>
        <v>-17.569999999999993</v>
      </c>
      <c r="N584" s="51">
        <f t="shared" ref="N584:R584" si="3069">N583</f>
        <v>196.85250000000002</v>
      </c>
      <c r="O584" s="51">
        <f t="shared" si="3069"/>
        <v>125.89750000000001</v>
      </c>
      <c r="P584" s="51">
        <f t="shared" si="3069"/>
        <v>95.257499999999993</v>
      </c>
      <c r="Q584" s="51">
        <f t="shared" si="3069"/>
        <v>72.820000000000007</v>
      </c>
      <c r="R584" s="51">
        <f t="shared" si="3069"/>
        <v>48.642500000000005</v>
      </c>
      <c r="S584" s="62">
        <f t="shared" ref="S584:T584" si="3070">(B583+B584)/2</f>
        <v>203.55500000000001</v>
      </c>
      <c r="T584" s="62">
        <f t="shared" si="3070"/>
        <v>129.875</v>
      </c>
      <c r="U584" s="62">
        <f t="shared" si="2884"/>
        <v>98.12</v>
      </c>
      <c r="V584" s="62">
        <f t="shared" ref="V584:W584" si="3071">(E583+E584)/2</f>
        <v>74.84</v>
      </c>
      <c r="W584" s="62">
        <f t="shared" si="3071"/>
        <v>48.93</v>
      </c>
      <c r="X584" s="62">
        <f t="shared" ref="X584:AB584" si="3072">(SUM(B581:B584))/4</f>
        <v>213.91750000000002</v>
      </c>
      <c r="Y584" s="62">
        <f t="shared" si="3072"/>
        <v>135.37</v>
      </c>
      <c r="Z584" s="62">
        <f t="shared" si="3072"/>
        <v>102.815</v>
      </c>
      <c r="AA584" s="62">
        <f t="shared" si="3072"/>
        <v>78.180000000000007</v>
      </c>
      <c r="AB584" s="62">
        <f t="shared" si="3072"/>
        <v>49.8</v>
      </c>
      <c r="AC584" s="51">
        <f t="shared" ref="AC584:AF584" si="3073">(B584+C584)/2</f>
        <v>161.32</v>
      </c>
      <c r="AD584" s="51">
        <f t="shared" si="3073"/>
        <v>110.215</v>
      </c>
      <c r="AE584" s="51">
        <f t="shared" si="3073"/>
        <v>83.234999999999999</v>
      </c>
      <c r="AF584" s="51">
        <f t="shared" si="3073"/>
        <v>59.97</v>
      </c>
      <c r="AG584" s="7"/>
      <c r="AH584" s="7"/>
      <c r="AI584" s="7"/>
      <c r="AJ584" s="7"/>
      <c r="AK584" s="51">
        <f t="shared" si="2093"/>
        <v>56.535000000000004</v>
      </c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8"/>
      <c r="BK584" s="8"/>
      <c r="BL584" s="8"/>
      <c r="BM584" s="8"/>
    </row>
    <row r="585" spans="1:65" ht="30" hidden="1" customHeight="1" x14ac:dyDescent="0.45">
      <c r="A585" s="53">
        <f t="shared" si="2862"/>
        <v>44974</v>
      </c>
      <c r="B585" s="56">
        <v>189.8</v>
      </c>
      <c r="C585" s="56">
        <v>120.72</v>
      </c>
      <c r="D585" s="56">
        <v>90.52</v>
      </c>
      <c r="E585" s="56">
        <v>68.180000000000007</v>
      </c>
      <c r="F585" s="56">
        <v>46.81</v>
      </c>
      <c r="G585" s="56">
        <v>187.27</v>
      </c>
      <c r="H585" s="51">
        <f t="shared" ref="H585:M585" si="3074">B585-B584</f>
        <v>-7.1899999999999977</v>
      </c>
      <c r="I585" s="51">
        <f t="shared" si="3074"/>
        <v>-4.9300000000000068</v>
      </c>
      <c r="J585" s="51">
        <f t="shared" si="3074"/>
        <v>-4.2600000000000051</v>
      </c>
      <c r="K585" s="51">
        <f t="shared" si="3074"/>
        <v>-3.5099999999999909</v>
      </c>
      <c r="L585" s="51">
        <f t="shared" si="3074"/>
        <v>-1.4399999999999977</v>
      </c>
      <c r="M585" s="42">
        <f t="shared" si="3074"/>
        <v>-40.590000000000003</v>
      </c>
      <c r="N585" s="51">
        <f t="shared" ref="N585:R585" si="3075">N584</f>
        <v>196.85250000000002</v>
      </c>
      <c r="O585" s="51">
        <f t="shared" si="3075"/>
        <v>125.89750000000001</v>
      </c>
      <c r="P585" s="51">
        <f t="shared" si="3075"/>
        <v>95.257499999999993</v>
      </c>
      <c r="Q585" s="51">
        <f t="shared" si="3075"/>
        <v>72.820000000000007</v>
      </c>
      <c r="R585" s="51">
        <f t="shared" si="3075"/>
        <v>48.642500000000005</v>
      </c>
      <c r="S585" s="62">
        <f t="shared" ref="S585:T585" si="3076">(B584+B585)/2</f>
        <v>193.39500000000001</v>
      </c>
      <c r="T585" s="62">
        <f t="shared" si="3076"/>
        <v>123.185</v>
      </c>
      <c r="U585" s="62">
        <f t="shared" si="2884"/>
        <v>92.65</v>
      </c>
      <c r="V585" s="62">
        <f t="shared" ref="V585:W585" si="3077">(E584+E585)/2</f>
        <v>69.935000000000002</v>
      </c>
      <c r="W585" s="62">
        <f t="shared" si="3077"/>
        <v>47.53</v>
      </c>
      <c r="X585" s="62">
        <f t="shared" ref="X585:AB585" si="3078">(SUM(B582:B585))/4</f>
        <v>204.86500000000001</v>
      </c>
      <c r="Y585" s="62">
        <f t="shared" si="3078"/>
        <v>129.95250000000001</v>
      </c>
      <c r="Z585" s="62">
        <f t="shared" si="3078"/>
        <v>98.222499999999997</v>
      </c>
      <c r="AA585" s="62">
        <f t="shared" si="3078"/>
        <v>74.5625</v>
      </c>
      <c r="AB585" s="62">
        <f t="shared" si="3078"/>
        <v>48.752499999999998</v>
      </c>
      <c r="AC585" s="51">
        <f t="shared" ref="AC585:AF585" si="3079">(B585+C585)/2</f>
        <v>155.26</v>
      </c>
      <c r="AD585" s="51">
        <f t="shared" si="3079"/>
        <v>105.62</v>
      </c>
      <c r="AE585" s="51">
        <f t="shared" si="3079"/>
        <v>79.349999999999994</v>
      </c>
      <c r="AF585" s="51">
        <f t="shared" si="3079"/>
        <v>57.495000000000005</v>
      </c>
      <c r="AG585" s="7"/>
      <c r="AH585" s="7"/>
      <c r="AI585" s="7"/>
      <c r="AJ585" s="7"/>
      <c r="AK585" s="51">
        <f t="shared" si="2093"/>
        <v>53.3825</v>
      </c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8"/>
      <c r="BK585" s="8"/>
      <c r="BL585" s="8"/>
      <c r="BM585" s="8"/>
    </row>
    <row r="586" spans="1:65" ht="30" hidden="1" customHeight="1" x14ac:dyDescent="0.45">
      <c r="A586" s="53">
        <f t="shared" si="2862"/>
        <v>44981</v>
      </c>
      <c r="B586" s="56">
        <v>190.5</v>
      </c>
      <c r="C586" s="56">
        <v>123.12</v>
      </c>
      <c r="D586" s="56">
        <v>94.27</v>
      </c>
      <c r="E586" s="56">
        <v>73.42</v>
      </c>
      <c r="F586" s="56">
        <v>49.9</v>
      </c>
      <c r="G586" s="56">
        <v>173.89</v>
      </c>
      <c r="H586" s="51">
        <f t="shared" ref="H586:M586" si="3080">B586-B585</f>
        <v>0.69999999999998863</v>
      </c>
      <c r="I586" s="51">
        <f t="shared" si="3080"/>
        <v>2.4000000000000057</v>
      </c>
      <c r="J586" s="51">
        <f t="shared" si="3080"/>
        <v>3.75</v>
      </c>
      <c r="K586" s="51">
        <f t="shared" si="3080"/>
        <v>5.2399999999999949</v>
      </c>
      <c r="L586" s="51">
        <f t="shared" si="3080"/>
        <v>3.0899999999999963</v>
      </c>
      <c r="M586" s="42">
        <f t="shared" si="3080"/>
        <v>-13.380000000000024</v>
      </c>
      <c r="N586" s="51">
        <f t="shared" ref="N586:R586" si="3081">N585</f>
        <v>196.85250000000002</v>
      </c>
      <c r="O586" s="51">
        <f t="shared" si="3081"/>
        <v>125.89750000000001</v>
      </c>
      <c r="P586" s="51">
        <f t="shared" si="3081"/>
        <v>95.257499999999993</v>
      </c>
      <c r="Q586" s="51">
        <f t="shared" si="3081"/>
        <v>72.820000000000007</v>
      </c>
      <c r="R586" s="51">
        <f t="shared" si="3081"/>
        <v>48.642500000000005</v>
      </c>
      <c r="S586" s="62">
        <f t="shared" ref="S586:T586" si="3082">(B585+B586)/2</f>
        <v>190.15</v>
      </c>
      <c r="T586" s="62">
        <f t="shared" si="3082"/>
        <v>121.92</v>
      </c>
      <c r="U586" s="62">
        <f t="shared" si="2884"/>
        <v>92.394999999999996</v>
      </c>
      <c r="V586" s="62">
        <f t="shared" ref="V586:W586" si="3083">(E585+E586)/2</f>
        <v>70.800000000000011</v>
      </c>
      <c r="W586" s="62">
        <f t="shared" si="3083"/>
        <v>48.355000000000004</v>
      </c>
      <c r="X586" s="62">
        <f t="shared" ref="X586:AB586" si="3084">(SUM(B583:B586))/4</f>
        <v>196.85250000000002</v>
      </c>
      <c r="Y586" s="62">
        <f t="shared" si="3084"/>
        <v>125.89750000000001</v>
      </c>
      <c r="Z586" s="62">
        <f t="shared" si="3084"/>
        <v>95.257499999999993</v>
      </c>
      <c r="AA586" s="62">
        <f t="shared" si="3084"/>
        <v>72.820000000000007</v>
      </c>
      <c r="AB586" s="62">
        <f t="shared" si="3084"/>
        <v>48.642500000000005</v>
      </c>
      <c r="AC586" s="51">
        <f t="shared" ref="AC586:AF586" si="3085">(B586+C586)/2</f>
        <v>156.81</v>
      </c>
      <c r="AD586" s="51">
        <f t="shared" si="3085"/>
        <v>108.69499999999999</v>
      </c>
      <c r="AE586" s="51">
        <f t="shared" si="3085"/>
        <v>83.844999999999999</v>
      </c>
      <c r="AF586" s="51">
        <f t="shared" si="3085"/>
        <v>61.66</v>
      </c>
      <c r="AG586" s="7"/>
      <c r="AH586" s="7"/>
      <c r="AI586" s="7"/>
      <c r="AJ586" s="7"/>
      <c r="AK586" s="51">
        <f t="shared" si="2093"/>
        <v>54.227500000000006</v>
      </c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8"/>
      <c r="BK586" s="8"/>
      <c r="BL586" s="8"/>
      <c r="BM586" s="8"/>
    </row>
    <row r="587" spans="1:65" ht="30" hidden="1" customHeight="1" x14ac:dyDescent="0.45">
      <c r="A587" s="53">
        <f t="shared" si="2862"/>
        <v>44988</v>
      </c>
      <c r="B587" s="56">
        <v>190.1</v>
      </c>
      <c r="C587" s="56">
        <v>122.36</v>
      </c>
      <c r="D587" s="56">
        <v>94.6</v>
      </c>
      <c r="E587" s="56">
        <v>72.430000000000007</v>
      </c>
      <c r="F587" s="56">
        <v>48.26</v>
      </c>
      <c r="G587" s="56">
        <v>184.55</v>
      </c>
      <c r="H587" s="51">
        <f t="shared" ref="H587:M587" si="3086">B587-B586</f>
        <v>-0.40000000000000568</v>
      </c>
      <c r="I587" s="51">
        <f t="shared" si="3086"/>
        <v>-0.76000000000000512</v>
      </c>
      <c r="J587" s="51">
        <f t="shared" si="3086"/>
        <v>0.32999999999999829</v>
      </c>
      <c r="K587" s="51">
        <f t="shared" si="3086"/>
        <v>-0.98999999999999488</v>
      </c>
      <c r="L587" s="51">
        <f t="shared" si="3086"/>
        <v>-1.6400000000000006</v>
      </c>
      <c r="M587" s="42">
        <f t="shared" si="3086"/>
        <v>10.660000000000025</v>
      </c>
      <c r="N587" s="51">
        <f t="shared" ref="N587:R587" si="3087">AVERAGE(B587:B591)</f>
        <v>184.048</v>
      </c>
      <c r="O587" s="51">
        <f t="shared" si="3087"/>
        <v>119.92200000000003</v>
      </c>
      <c r="P587" s="51">
        <f t="shared" si="3087"/>
        <v>95.986000000000004</v>
      </c>
      <c r="Q587" s="51">
        <f t="shared" si="3087"/>
        <v>73.718000000000004</v>
      </c>
      <c r="R587" s="51">
        <f t="shared" si="3087"/>
        <v>49.124000000000002</v>
      </c>
      <c r="S587" s="62">
        <f t="shared" ref="S587:T587" si="3088">(B586+B587)/2</f>
        <v>190.3</v>
      </c>
      <c r="T587" s="62">
        <f t="shared" si="3088"/>
        <v>122.74000000000001</v>
      </c>
      <c r="U587" s="62">
        <f t="shared" si="2884"/>
        <v>94.435000000000002</v>
      </c>
      <c r="V587" s="62">
        <f t="shared" ref="V587:W587" si="3089">(E586+E587)/2</f>
        <v>72.925000000000011</v>
      </c>
      <c r="W587" s="62">
        <f t="shared" si="3089"/>
        <v>49.08</v>
      </c>
      <c r="X587" s="62">
        <f t="shared" ref="X587:AB587" si="3090">(SUM(B584:B587))/4</f>
        <v>191.8475</v>
      </c>
      <c r="Y587" s="62">
        <f t="shared" si="3090"/>
        <v>122.96250000000001</v>
      </c>
      <c r="Z587" s="62">
        <f t="shared" si="3090"/>
        <v>93.54249999999999</v>
      </c>
      <c r="AA587" s="62">
        <f t="shared" si="3090"/>
        <v>71.430000000000007</v>
      </c>
      <c r="AB587" s="62">
        <f t="shared" si="3090"/>
        <v>48.305</v>
      </c>
      <c r="AC587" s="51">
        <f t="shared" ref="AC587:AF587" si="3091">(B587+C587)/2</f>
        <v>156.22999999999999</v>
      </c>
      <c r="AD587" s="51">
        <f t="shared" si="3091"/>
        <v>108.47999999999999</v>
      </c>
      <c r="AE587" s="51">
        <f t="shared" si="3091"/>
        <v>83.515000000000001</v>
      </c>
      <c r="AF587" s="51">
        <f t="shared" si="3091"/>
        <v>60.344999999999999</v>
      </c>
      <c r="AG587" s="7"/>
      <c r="AH587" s="7"/>
      <c r="AI587" s="7"/>
      <c r="AJ587" s="7"/>
      <c r="AK587" s="51">
        <f t="shared" si="2093"/>
        <v>55.652500000000003</v>
      </c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8"/>
      <c r="BK587" s="8"/>
      <c r="BL587" s="8"/>
      <c r="BM587" s="8"/>
    </row>
    <row r="588" spans="1:65" ht="30" hidden="1" customHeight="1" x14ac:dyDescent="0.45">
      <c r="A588" s="53">
        <f t="shared" si="2862"/>
        <v>44995</v>
      </c>
      <c r="B588" s="56">
        <v>187.93</v>
      </c>
      <c r="C588" s="56">
        <v>120.31</v>
      </c>
      <c r="D588" s="56">
        <v>95.39</v>
      </c>
      <c r="E588" s="56">
        <v>73.84</v>
      </c>
      <c r="F588" s="56">
        <v>48.3</v>
      </c>
      <c r="G588" s="56">
        <v>175.25</v>
      </c>
      <c r="H588" s="51">
        <f t="shared" ref="H588:M588" si="3092">B588-B587</f>
        <v>-2.1699999999999875</v>
      </c>
      <c r="I588" s="51">
        <f t="shared" si="3092"/>
        <v>-2.0499999999999972</v>
      </c>
      <c r="J588" s="51">
        <f t="shared" si="3092"/>
        <v>0.79000000000000625</v>
      </c>
      <c r="K588" s="51">
        <f t="shared" si="3092"/>
        <v>1.4099999999999966</v>
      </c>
      <c r="L588" s="51">
        <f t="shared" si="3092"/>
        <v>3.9999999999999147E-2</v>
      </c>
      <c r="M588" s="42">
        <f t="shared" si="3092"/>
        <v>-9.3000000000000114</v>
      </c>
      <c r="N588" s="51">
        <f t="shared" ref="N588:N591" si="3093">N587</f>
        <v>184.048</v>
      </c>
      <c r="O588" s="51">
        <f t="shared" ref="O588:R588" si="3094">AVERAGE(C588:C591)</f>
        <v>119.3125</v>
      </c>
      <c r="P588" s="51">
        <f t="shared" si="3094"/>
        <v>96.332499999999996</v>
      </c>
      <c r="Q588" s="51">
        <f t="shared" si="3094"/>
        <v>74.039999999999992</v>
      </c>
      <c r="R588" s="51">
        <f t="shared" si="3094"/>
        <v>49.34</v>
      </c>
      <c r="S588" s="62">
        <f t="shared" ref="S588:T588" si="3095">(B587+B588)/2</f>
        <v>189.01499999999999</v>
      </c>
      <c r="T588" s="62">
        <f t="shared" si="3095"/>
        <v>121.33500000000001</v>
      </c>
      <c r="U588" s="62">
        <f t="shared" si="2884"/>
        <v>94.995000000000005</v>
      </c>
      <c r="V588" s="62">
        <f t="shared" ref="V588:W588" si="3096">(E587+E588)/2</f>
        <v>73.135000000000005</v>
      </c>
      <c r="W588" s="62">
        <f t="shared" si="3096"/>
        <v>48.28</v>
      </c>
      <c r="X588" s="62">
        <f t="shared" ref="X588:AB588" si="3097">(SUM(B585:B588))/4</f>
        <v>189.58249999999998</v>
      </c>
      <c r="Y588" s="62">
        <f t="shared" si="3097"/>
        <v>121.6275</v>
      </c>
      <c r="Z588" s="62">
        <f t="shared" si="3097"/>
        <v>93.694999999999993</v>
      </c>
      <c r="AA588" s="62">
        <f t="shared" si="3097"/>
        <v>71.967500000000001</v>
      </c>
      <c r="AB588" s="62">
        <f t="shared" si="3097"/>
        <v>48.317499999999995</v>
      </c>
      <c r="AC588" s="51">
        <f t="shared" ref="AC588:AF588" si="3098">(B588+C588)/2</f>
        <v>154.12</v>
      </c>
      <c r="AD588" s="51">
        <f t="shared" si="3098"/>
        <v>107.85</v>
      </c>
      <c r="AE588" s="51">
        <f t="shared" si="3098"/>
        <v>84.615000000000009</v>
      </c>
      <c r="AF588" s="51">
        <f t="shared" si="3098"/>
        <v>61.07</v>
      </c>
      <c r="AG588" s="7"/>
      <c r="AH588" s="7"/>
      <c r="AI588" s="7"/>
      <c r="AJ588" s="7"/>
      <c r="AK588" s="51">
        <f t="shared" si="2093"/>
        <v>55.357500000000002</v>
      </c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8"/>
      <c r="BK588" s="8"/>
      <c r="BL588" s="8"/>
      <c r="BM588" s="8"/>
    </row>
    <row r="589" spans="1:65" ht="30" hidden="1" customHeight="1" x14ac:dyDescent="0.45">
      <c r="A589" s="53">
        <f t="shared" si="2862"/>
        <v>45002</v>
      </c>
      <c r="B589" s="56">
        <v>183.6</v>
      </c>
      <c r="C589" s="56">
        <v>119.78</v>
      </c>
      <c r="D589" s="56">
        <v>96.24</v>
      </c>
      <c r="E589" s="56">
        <v>74.239999999999995</v>
      </c>
      <c r="F589" s="56">
        <v>49.94</v>
      </c>
      <c r="G589" s="56">
        <v>170.8</v>
      </c>
      <c r="H589" s="51">
        <f t="shared" ref="H589:M589" si="3099">B589-B588</f>
        <v>-4.3300000000000125</v>
      </c>
      <c r="I589" s="51">
        <f t="shared" si="3099"/>
        <v>-0.53000000000000114</v>
      </c>
      <c r="J589" s="51">
        <f t="shared" si="3099"/>
        <v>0.84999999999999432</v>
      </c>
      <c r="K589" s="51">
        <f t="shared" si="3099"/>
        <v>0.39999999999999147</v>
      </c>
      <c r="L589" s="51">
        <f t="shared" si="3099"/>
        <v>1.6400000000000006</v>
      </c>
      <c r="M589" s="42">
        <f t="shared" si="3099"/>
        <v>-4.4499999999999886</v>
      </c>
      <c r="N589" s="51">
        <f t="shared" si="3093"/>
        <v>184.048</v>
      </c>
      <c r="O589" s="51">
        <f t="shared" ref="O589:R589" si="3100">O588</f>
        <v>119.3125</v>
      </c>
      <c r="P589" s="51">
        <f t="shared" si="3100"/>
        <v>96.332499999999996</v>
      </c>
      <c r="Q589" s="51">
        <f t="shared" si="3100"/>
        <v>74.039999999999992</v>
      </c>
      <c r="R589" s="51">
        <f t="shared" si="3100"/>
        <v>49.34</v>
      </c>
      <c r="S589" s="62">
        <f t="shared" ref="S589:T589" si="3101">(B588+B589)/2</f>
        <v>185.76499999999999</v>
      </c>
      <c r="T589" s="62">
        <f t="shared" si="3101"/>
        <v>120.045</v>
      </c>
      <c r="U589" s="62">
        <f t="shared" si="2884"/>
        <v>95.814999999999998</v>
      </c>
      <c r="V589" s="62">
        <f t="shared" ref="V589:W589" si="3102">(E588+E589)/2</f>
        <v>74.039999999999992</v>
      </c>
      <c r="W589" s="62">
        <f t="shared" si="3102"/>
        <v>49.12</v>
      </c>
      <c r="X589" s="62">
        <f t="shared" ref="X589:AB589" si="3103">(SUM(B586:B589))/4</f>
        <v>188.0325</v>
      </c>
      <c r="Y589" s="62">
        <f t="shared" si="3103"/>
        <v>121.39250000000001</v>
      </c>
      <c r="Z589" s="62">
        <f t="shared" si="3103"/>
        <v>95.125</v>
      </c>
      <c r="AA589" s="62">
        <f t="shared" si="3103"/>
        <v>73.482500000000002</v>
      </c>
      <c r="AB589" s="62">
        <f t="shared" si="3103"/>
        <v>49.099999999999994</v>
      </c>
      <c r="AC589" s="51">
        <f t="shared" ref="AC589:AF589" si="3104">(B589+C589)/2</f>
        <v>151.69</v>
      </c>
      <c r="AD589" s="51">
        <f t="shared" si="3104"/>
        <v>108.00999999999999</v>
      </c>
      <c r="AE589" s="51">
        <f t="shared" si="3104"/>
        <v>85.24</v>
      </c>
      <c r="AF589" s="51">
        <f t="shared" si="3104"/>
        <v>62.089999999999996</v>
      </c>
      <c r="AG589" s="7"/>
      <c r="AH589" s="7"/>
      <c r="AI589" s="7"/>
      <c r="AJ589" s="7"/>
      <c r="AK589" s="51">
        <f t="shared" si="2093"/>
        <v>56.23</v>
      </c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8"/>
      <c r="BK589" s="8"/>
      <c r="BL589" s="8"/>
      <c r="BM589" s="8"/>
    </row>
    <row r="590" spans="1:65" ht="30" hidden="1" customHeight="1" x14ac:dyDescent="0.45">
      <c r="A590" s="53">
        <f t="shared" si="2862"/>
        <v>45009</v>
      </c>
      <c r="B590" s="56">
        <v>179.84</v>
      </c>
      <c r="C590" s="56">
        <v>118.98</v>
      </c>
      <c r="D590" s="56">
        <v>96.5</v>
      </c>
      <c r="E590" s="56">
        <v>74.55</v>
      </c>
      <c r="F590" s="56">
        <v>49.73</v>
      </c>
      <c r="G590" s="56">
        <v>176.25</v>
      </c>
      <c r="H590" s="51">
        <f t="shared" ref="H590:M590" si="3105">B590-B589</f>
        <v>-3.7599999999999909</v>
      </c>
      <c r="I590" s="51">
        <f t="shared" si="3105"/>
        <v>-0.79999999999999716</v>
      </c>
      <c r="J590" s="51">
        <f t="shared" si="3105"/>
        <v>0.26000000000000512</v>
      </c>
      <c r="K590" s="51">
        <f t="shared" si="3105"/>
        <v>0.31000000000000227</v>
      </c>
      <c r="L590" s="51">
        <f t="shared" si="3105"/>
        <v>-0.21000000000000085</v>
      </c>
      <c r="M590" s="42">
        <f t="shared" si="3105"/>
        <v>5.4499999999999886</v>
      </c>
      <c r="N590" s="51">
        <f t="shared" si="3093"/>
        <v>184.048</v>
      </c>
      <c r="O590" s="51">
        <f t="shared" ref="O590:R590" si="3106">O589</f>
        <v>119.3125</v>
      </c>
      <c r="P590" s="51">
        <f t="shared" si="3106"/>
        <v>96.332499999999996</v>
      </c>
      <c r="Q590" s="51">
        <f t="shared" si="3106"/>
        <v>74.039999999999992</v>
      </c>
      <c r="R590" s="51">
        <f t="shared" si="3106"/>
        <v>49.34</v>
      </c>
      <c r="S590" s="62">
        <f t="shared" ref="S590:T590" si="3107">(B589+B590)/2</f>
        <v>181.72</v>
      </c>
      <c r="T590" s="62">
        <f t="shared" si="3107"/>
        <v>119.38</v>
      </c>
      <c r="U590" s="62">
        <f t="shared" si="2884"/>
        <v>96.37</v>
      </c>
      <c r="V590" s="62">
        <f t="shared" ref="V590:W590" si="3108">(E589+E590)/2</f>
        <v>74.394999999999996</v>
      </c>
      <c r="W590" s="62">
        <f t="shared" si="3108"/>
        <v>49.834999999999994</v>
      </c>
      <c r="X590" s="62">
        <f t="shared" ref="X590:AB590" si="3109">(SUM(B587:B590))/4</f>
        <v>185.36750000000001</v>
      </c>
      <c r="Y590" s="62">
        <f t="shared" si="3109"/>
        <v>120.35750000000002</v>
      </c>
      <c r="Z590" s="62">
        <f t="shared" si="3109"/>
        <v>95.682500000000005</v>
      </c>
      <c r="AA590" s="62">
        <f t="shared" si="3109"/>
        <v>73.765000000000001</v>
      </c>
      <c r="AB590" s="62">
        <f t="shared" si="3109"/>
        <v>49.057499999999997</v>
      </c>
      <c r="AC590" s="51">
        <f t="shared" ref="AC590:AF590" si="3110">(B590+C590)/2</f>
        <v>149.41</v>
      </c>
      <c r="AD590" s="51">
        <f t="shared" si="3110"/>
        <v>107.74000000000001</v>
      </c>
      <c r="AE590" s="51">
        <f t="shared" si="3110"/>
        <v>85.525000000000006</v>
      </c>
      <c r="AF590" s="51">
        <f t="shared" si="3110"/>
        <v>62.14</v>
      </c>
      <c r="AG590" s="7"/>
      <c r="AH590" s="7"/>
      <c r="AI590" s="7"/>
      <c r="AJ590" s="7"/>
      <c r="AK590" s="51">
        <f t="shared" si="2093"/>
        <v>56.764999999999993</v>
      </c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8"/>
      <c r="BK590" s="8"/>
      <c r="BL590" s="8"/>
      <c r="BM590" s="8"/>
    </row>
    <row r="591" spans="1:65" ht="30" hidden="1" customHeight="1" x14ac:dyDescent="0.45">
      <c r="A591" s="53">
        <f t="shared" si="2862"/>
        <v>45016</v>
      </c>
      <c r="B591" s="56">
        <v>178.77</v>
      </c>
      <c r="C591" s="56">
        <v>118.18</v>
      </c>
      <c r="D591" s="56">
        <v>97.2</v>
      </c>
      <c r="E591" s="56">
        <v>73.53</v>
      </c>
      <c r="F591" s="56">
        <v>49.39</v>
      </c>
      <c r="G591" s="56">
        <v>178.53</v>
      </c>
      <c r="H591" s="51">
        <f t="shared" ref="H591:M591" si="3111">B591-B590</f>
        <v>-1.0699999999999932</v>
      </c>
      <c r="I591" s="51">
        <f t="shared" si="3111"/>
        <v>-0.79999999999999716</v>
      </c>
      <c r="J591" s="51">
        <f t="shared" si="3111"/>
        <v>0.70000000000000284</v>
      </c>
      <c r="K591" s="51">
        <f t="shared" si="3111"/>
        <v>-1.019999999999996</v>
      </c>
      <c r="L591" s="51">
        <f t="shared" si="3111"/>
        <v>-0.33999999999999631</v>
      </c>
      <c r="M591" s="42">
        <f t="shared" si="3111"/>
        <v>2.2800000000000011</v>
      </c>
      <c r="N591" s="51">
        <f t="shared" si="3093"/>
        <v>184.048</v>
      </c>
      <c r="O591" s="51">
        <f t="shared" ref="O591:R591" si="3112">O590</f>
        <v>119.3125</v>
      </c>
      <c r="P591" s="51">
        <f t="shared" si="3112"/>
        <v>96.332499999999996</v>
      </c>
      <c r="Q591" s="51">
        <f t="shared" si="3112"/>
        <v>74.039999999999992</v>
      </c>
      <c r="R591" s="51">
        <f t="shared" si="3112"/>
        <v>49.34</v>
      </c>
      <c r="S591" s="62">
        <f t="shared" ref="S591:T591" si="3113">(B590+B591)/2</f>
        <v>179.30500000000001</v>
      </c>
      <c r="T591" s="62">
        <f t="shared" si="3113"/>
        <v>118.58000000000001</v>
      </c>
      <c r="U591" s="62">
        <f t="shared" si="2884"/>
        <v>96.85</v>
      </c>
      <c r="V591" s="62">
        <f t="shared" ref="V591:W591" si="3114">(E590+E591)/2</f>
        <v>74.039999999999992</v>
      </c>
      <c r="W591" s="62">
        <f t="shared" si="3114"/>
        <v>49.56</v>
      </c>
      <c r="X591" s="62">
        <f t="shared" ref="X591:AB591" si="3115">(SUM(B588:B591))/4</f>
        <v>182.535</v>
      </c>
      <c r="Y591" s="62">
        <f t="shared" si="3115"/>
        <v>119.3125</v>
      </c>
      <c r="Z591" s="62">
        <f t="shared" si="3115"/>
        <v>96.332499999999996</v>
      </c>
      <c r="AA591" s="62">
        <f t="shared" si="3115"/>
        <v>74.039999999999992</v>
      </c>
      <c r="AB591" s="62">
        <f t="shared" si="3115"/>
        <v>49.34</v>
      </c>
      <c r="AC591" s="51">
        <f t="shared" ref="AC591:AF591" si="3116">(B591+C591)/2</f>
        <v>148.47500000000002</v>
      </c>
      <c r="AD591" s="51">
        <f t="shared" si="3116"/>
        <v>107.69</v>
      </c>
      <c r="AE591" s="51">
        <f t="shared" si="3116"/>
        <v>85.365000000000009</v>
      </c>
      <c r="AF591" s="51">
        <f t="shared" si="3116"/>
        <v>61.46</v>
      </c>
      <c r="AG591" s="7"/>
      <c r="AH591" s="7"/>
      <c r="AI591" s="7"/>
      <c r="AJ591" s="7"/>
      <c r="AK591" s="51">
        <f t="shared" si="2093"/>
        <v>56.449999999999996</v>
      </c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8"/>
      <c r="BK591" s="8"/>
      <c r="BL591" s="8"/>
      <c r="BM591" s="8"/>
    </row>
    <row r="592" spans="1:65" ht="30" hidden="1" customHeight="1" x14ac:dyDescent="0.45">
      <c r="A592" s="53">
        <v>45022</v>
      </c>
      <c r="B592" s="56">
        <v>175.57</v>
      </c>
      <c r="C592" s="56">
        <v>117.94</v>
      </c>
      <c r="D592" s="56">
        <v>95.82</v>
      </c>
      <c r="E592" s="56">
        <v>72.48</v>
      </c>
      <c r="F592" s="56">
        <v>48.72</v>
      </c>
      <c r="G592" s="56">
        <v>199.58</v>
      </c>
      <c r="H592" s="51">
        <f t="shared" ref="H592:M592" si="3117">B592-B591</f>
        <v>-3.2000000000000171</v>
      </c>
      <c r="I592" s="51">
        <f t="shared" si="3117"/>
        <v>-0.24000000000000909</v>
      </c>
      <c r="J592" s="51">
        <f t="shared" si="3117"/>
        <v>-1.3800000000000097</v>
      </c>
      <c r="K592" s="51">
        <f t="shared" si="3117"/>
        <v>-1.0499999999999972</v>
      </c>
      <c r="L592" s="51">
        <f t="shared" si="3117"/>
        <v>-0.67000000000000171</v>
      </c>
      <c r="M592" s="42">
        <f t="shared" si="3117"/>
        <v>21.050000000000011</v>
      </c>
      <c r="N592" s="51">
        <f t="shared" ref="N592:R592" si="3118">AVERAGE(B592:B595)</f>
        <v>173.5025</v>
      </c>
      <c r="O592" s="51">
        <f t="shared" si="3118"/>
        <v>116.34249999999999</v>
      </c>
      <c r="P592" s="51">
        <f t="shared" si="3118"/>
        <v>94.84</v>
      </c>
      <c r="Q592" s="51">
        <f t="shared" si="3118"/>
        <v>71.525000000000006</v>
      </c>
      <c r="R592" s="51">
        <f t="shared" si="3118"/>
        <v>47.557499999999997</v>
      </c>
      <c r="S592" s="62">
        <f t="shared" ref="S592:T592" si="3119">(B591+B592)/2</f>
        <v>177.17000000000002</v>
      </c>
      <c r="T592" s="62">
        <f t="shared" si="3119"/>
        <v>118.06</v>
      </c>
      <c r="U592" s="62">
        <f t="shared" si="2884"/>
        <v>96.509999999999991</v>
      </c>
      <c r="V592" s="62">
        <f t="shared" ref="V592:W592" si="3120">(E591+E592)/2</f>
        <v>73.004999999999995</v>
      </c>
      <c r="W592" s="62">
        <f t="shared" si="3120"/>
        <v>49.055</v>
      </c>
      <c r="X592" s="62">
        <f t="shared" ref="X592:AB592" si="3121">(SUM(B589:B592))/4</f>
        <v>179.44499999999999</v>
      </c>
      <c r="Y592" s="62">
        <f t="shared" si="3121"/>
        <v>118.72</v>
      </c>
      <c r="Z592" s="62">
        <f t="shared" si="3121"/>
        <v>96.44</v>
      </c>
      <c r="AA592" s="62">
        <f t="shared" si="3121"/>
        <v>73.7</v>
      </c>
      <c r="AB592" s="62">
        <f t="shared" si="3121"/>
        <v>49.445</v>
      </c>
      <c r="AC592" s="51">
        <f t="shared" ref="AC592:AF592" si="3122">(B592+C592)/2</f>
        <v>146.755</v>
      </c>
      <c r="AD592" s="51">
        <f t="shared" si="3122"/>
        <v>106.88</v>
      </c>
      <c r="AE592" s="51">
        <f t="shared" si="3122"/>
        <v>84.15</v>
      </c>
      <c r="AF592" s="51">
        <f t="shared" si="3122"/>
        <v>60.6</v>
      </c>
      <c r="AG592" s="7"/>
      <c r="AH592" s="7"/>
      <c r="AI592" s="7"/>
      <c r="AJ592" s="7"/>
      <c r="AK592" s="51">
        <f t="shared" si="2093"/>
        <v>55.68</v>
      </c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8"/>
      <c r="BK592" s="8"/>
      <c r="BL592" s="8"/>
      <c r="BM592" s="8"/>
    </row>
    <row r="593" spans="1:65" ht="30" hidden="1" customHeight="1" x14ac:dyDescent="0.45">
      <c r="A593" s="53">
        <v>45030</v>
      </c>
      <c r="B593" s="56">
        <v>173.78</v>
      </c>
      <c r="C593" s="56">
        <v>116.21</v>
      </c>
      <c r="D593" s="56">
        <v>94.48</v>
      </c>
      <c r="E593" s="56">
        <v>71.010000000000005</v>
      </c>
      <c r="F593" s="56">
        <v>47.33</v>
      </c>
      <c r="G593" s="56">
        <v>188.75</v>
      </c>
      <c r="H593" s="51">
        <f t="shared" ref="H593:M593" si="3123">B593-B592</f>
        <v>-1.789999999999992</v>
      </c>
      <c r="I593" s="51">
        <f t="shared" si="3123"/>
        <v>-1.730000000000004</v>
      </c>
      <c r="J593" s="51">
        <f t="shared" si="3123"/>
        <v>-1.3399999999999892</v>
      </c>
      <c r="K593" s="51">
        <f t="shared" si="3123"/>
        <v>-1.4699999999999989</v>
      </c>
      <c r="L593" s="51">
        <f t="shared" si="3123"/>
        <v>-1.3900000000000006</v>
      </c>
      <c r="M593" s="42">
        <f t="shared" si="3123"/>
        <v>-10.830000000000013</v>
      </c>
      <c r="N593" s="51">
        <f t="shared" ref="N593:R593" si="3124">N592</f>
        <v>173.5025</v>
      </c>
      <c r="O593" s="51">
        <f t="shared" si="3124"/>
        <v>116.34249999999999</v>
      </c>
      <c r="P593" s="51">
        <f t="shared" si="3124"/>
        <v>94.84</v>
      </c>
      <c r="Q593" s="51">
        <f t="shared" si="3124"/>
        <v>71.525000000000006</v>
      </c>
      <c r="R593" s="51">
        <f t="shared" si="3124"/>
        <v>47.557499999999997</v>
      </c>
      <c r="S593" s="62">
        <f t="shared" ref="S593:T593" si="3125">(B592+B593)/2</f>
        <v>174.67500000000001</v>
      </c>
      <c r="T593" s="62">
        <f t="shared" si="3125"/>
        <v>117.07499999999999</v>
      </c>
      <c r="U593" s="62">
        <f t="shared" si="2884"/>
        <v>95.15</v>
      </c>
      <c r="V593" s="62">
        <f t="shared" ref="V593:W593" si="3126">(E592+E593)/2</f>
        <v>71.745000000000005</v>
      </c>
      <c r="W593" s="62">
        <f t="shared" si="3126"/>
        <v>48.024999999999999</v>
      </c>
      <c r="X593" s="62">
        <f t="shared" ref="X593:AB593" si="3127">(SUM(B590:B593))/4</f>
        <v>176.99</v>
      </c>
      <c r="Y593" s="62">
        <f t="shared" si="3127"/>
        <v>117.8275</v>
      </c>
      <c r="Z593" s="62">
        <f t="shared" si="3127"/>
        <v>96</v>
      </c>
      <c r="AA593" s="62">
        <f t="shared" si="3127"/>
        <v>72.892499999999998</v>
      </c>
      <c r="AB593" s="62">
        <f t="shared" si="3127"/>
        <v>48.792500000000004</v>
      </c>
      <c r="AC593" s="51">
        <f t="shared" ref="AC593:AF593" si="3128">(B593+C593)/2</f>
        <v>144.995</v>
      </c>
      <c r="AD593" s="51">
        <f t="shared" si="3128"/>
        <v>105.345</v>
      </c>
      <c r="AE593" s="51">
        <f t="shared" si="3128"/>
        <v>82.745000000000005</v>
      </c>
      <c r="AF593" s="51">
        <f t="shared" si="3128"/>
        <v>59.17</v>
      </c>
      <c r="AG593" s="7"/>
      <c r="AH593" s="7"/>
      <c r="AI593" s="7"/>
      <c r="AJ593" s="7"/>
      <c r="AK593" s="51">
        <f t="shared" si="2093"/>
        <v>54.535000000000004</v>
      </c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8"/>
      <c r="BK593" s="8"/>
      <c r="BL593" s="8"/>
      <c r="BM593" s="8"/>
    </row>
    <row r="594" spans="1:65" ht="30" hidden="1" customHeight="1" x14ac:dyDescent="0.45">
      <c r="A594" s="53">
        <f t="shared" ref="A594:A599" si="3129">A593+7</f>
        <v>45037</v>
      </c>
      <c r="B594" s="56">
        <v>173.47</v>
      </c>
      <c r="C594" s="56">
        <v>115.76</v>
      </c>
      <c r="D594" s="56">
        <v>94.58</v>
      </c>
      <c r="E594" s="56">
        <v>71.3</v>
      </c>
      <c r="F594" s="56">
        <v>46.91</v>
      </c>
      <c r="G594" s="56">
        <v>184.26</v>
      </c>
      <c r="H594" s="51">
        <f t="shared" ref="H594:M594" si="3130">B594-B593</f>
        <v>-0.31000000000000227</v>
      </c>
      <c r="I594" s="51">
        <f t="shared" si="3130"/>
        <v>-0.44999999999998863</v>
      </c>
      <c r="J594" s="51">
        <f t="shared" si="3130"/>
        <v>9.9999999999994316E-2</v>
      </c>
      <c r="K594" s="51">
        <f t="shared" si="3130"/>
        <v>0.28999999999999204</v>
      </c>
      <c r="L594" s="51">
        <f t="shared" si="3130"/>
        <v>-0.42000000000000171</v>
      </c>
      <c r="M594" s="42">
        <f t="shared" si="3130"/>
        <v>-4.4900000000000091</v>
      </c>
      <c r="N594" s="51">
        <f t="shared" ref="N594:R594" si="3131">N593</f>
        <v>173.5025</v>
      </c>
      <c r="O594" s="51">
        <f t="shared" si="3131"/>
        <v>116.34249999999999</v>
      </c>
      <c r="P594" s="51">
        <f t="shared" si="3131"/>
        <v>94.84</v>
      </c>
      <c r="Q594" s="51">
        <f t="shared" si="3131"/>
        <v>71.525000000000006</v>
      </c>
      <c r="R594" s="51">
        <f t="shared" si="3131"/>
        <v>47.557499999999997</v>
      </c>
      <c r="S594" s="62">
        <f t="shared" ref="S594:T594" si="3132">(B593+B594)/2</f>
        <v>173.625</v>
      </c>
      <c r="T594" s="62">
        <f t="shared" si="3132"/>
        <v>115.985</v>
      </c>
      <c r="U594" s="62">
        <f t="shared" si="2884"/>
        <v>94.53</v>
      </c>
      <c r="V594" s="62">
        <f t="shared" ref="V594:W594" si="3133">(E593+E594)/2</f>
        <v>71.155000000000001</v>
      </c>
      <c r="W594" s="62">
        <f t="shared" si="3133"/>
        <v>47.12</v>
      </c>
      <c r="X594" s="62">
        <f t="shared" ref="X594:AB594" si="3134">(SUM(B591:B594))/4</f>
        <v>175.39750000000001</v>
      </c>
      <c r="Y594" s="62">
        <f t="shared" si="3134"/>
        <v>117.02249999999999</v>
      </c>
      <c r="Z594" s="62">
        <f t="shared" si="3134"/>
        <v>95.52</v>
      </c>
      <c r="AA594" s="62">
        <f t="shared" si="3134"/>
        <v>72.08</v>
      </c>
      <c r="AB594" s="62">
        <f t="shared" si="3134"/>
        <v>48.087499999999999</v>
      </c>
      <c r="AC594" s="51">
        <f t="shared" ref="AC594:AF594" si="3135">(B594+C594)/2</f>
        <v>144.61500000000001</v>
      </c>
      <c r="AD594" s="51">
        <f t="shared" si="3135"/>
        <v>105.17</v>
      </c>
      <c r="AE594" s="51">
        <f t="shared" si="3135"/>
        <v>82.94</v>
      </c>
      <c r="AF594" s="51">
        <f t="shared" si="3135"/>
        <v>59.104999999999997</v>
      </c>
      <c r="AG594" s="7"/>
      <c r="AH594" s="7"/>
      <c r="AI594" s="7"/>
      <c r="AJ594" s="7"/>
      <c r="AK594" s="51">
        <f t="shared" si="2093"/>
        <v>53.787500000000001</v>
      </c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8"/>
      <c r="BK594" s="8"/>
      <c r="BL594" s="8"/>
      <c r="BM594" s="8"/>
    </row>
    <row r="595" spans="1:65" ht="30" hidden="1" customHeight="1" x14ac:dyDescent="0.45">
      <c r="A595" s="53">
        <f t="shared" si="3129"/>
        <v>45044</v>
      </c>
      <c r="B595" s="56">
        <v>171.19</v>
      </c>
      <c r="C595" s="56">
        <v>115.46</v>
      </c>
      <c r="D595" s="56">
        <v>94.48</v>
      </c>
      <c r="E595" s="56">
        <v>71.31</v>
      </c>
      <c r="F595" s="56">
        <v>47.27</v>
      </c>
      <c r="G595" s="56">
        <v>186.31</v>
      </c>
      <c r="H595" s="51">
        <f t="shared" ref="H595:M595" si="3136">B595-B594</f>
        <v>-2.2800000000000011</v>
      </c>
      <c r="I595" s="51">
        <f t="shared" si="3136"/>
        <v>-0.30000000000001137</v>
      </c>
      <c r="J595" s="51">
        <f t="shared" si="3136"/>
        <v>-9.9999999999994316E-2</v>
      </c>
      <c r="K595" s="51">
        <f t="shared" si="3136"/>
        <v>1.0000000000005116E-2</v>
      </c>
      <c r="L595" s="51">
        <f t="shared" si="3136"/>
        <v>0.36000000000000654</v>
      </c>
      <c r="M595" s="42">
        <f t="shared" si="3136"/>
        <v>2.0500000000000114</v>
      </c>
      <c r="N595" s="51">
        <f t="shared" ref="N595:R595" si="3137">N594</f>
        <v>173.5025</v>
      </c>
      <c r="O595" s="51">
        <f t="shared" si="3137"/>
        <v>116.34249999999999</v>
      </c>
      <c r="P595" s="51">
        <f t="shared" si="3137"/>
        <v>94.84</v>
      </c>
      <c r="Q595" s="51">
        <f t="shared" si="3137"/>
        <v>71.525000000000006</v>
      </c>
      <c r="R595" s="51">
        <f t="shared" si="3137"/>
        <v>47.557499999999997</v>
      </c>
      <c r="S595" s="62">
        <f t="shared" ref="S595:T595" si="3138">(B594+B595)/2</f>
        <v>172.32999999999998</v>
      </c>
      <c r="T595" s="62">
        <f t="shared" si="3138"/>
        <v>115.61</v>
      </c>
      <c r="U595" s="62">
        <f t="shared" si="2884"/>
        <v>94.53</v>
      </c>
      <c r="V595" s="62">
        <f t="shared" ref="V595:W595" si="3139">(E594+E595)/2</f>
        <v>71.305000000000007</v>
      </c>
      <c r="W595" s="62">
        <f t="shared" si="3139"/>
        <v>47.09</v>
      </c>
      <c r="X595" s="62">
        <f t="shared" ref="X595:AB595" si="3140">(SUM(B592:B595))/4</f>
        <v>173.5025</v>
      </c>
      <c r="Y595" s="62">
        <f t="shared" si="3140"/>
        <v>116.34249999999999</v>
      </c>
      <c r="Z595" s="62">
        <f t="shared" si="3140"/>
        <v>94.84</v>
      </c>
      <c r="AA595" s="62">
        <f t="shared" si="3140"/>
        <v>71.525000000000006</v>
      </c>
      <c r="AB595" s="62">
        <f t="shared" si="3140"/>
        <v>47.557499999999997</v>
      </c>
      <c r="AC595" s="51">
        <f t="shared" ref="AC595:AF595" si="3141">(B595+C595)/2</f>
        <v>143.32499999999999</v>
      </c>
      <c r="AD595" s="51">
        <f t="shared" si="3141"/>
        <v>104.97</v>
      </c>
      <c r="AE595" s="51">
        <f t="shared" si="3141"/>
        <v>82.89500000000001</v>
      </c>
      <c r="AF595" s="51">
        <f t="shared" si="3141"/>
        <v>59.290000000000006</v>
      </c>
      <c r="AG595" s="7"/>
      <c r="AH595" s="7"/>
      <c r="AI595" s="7"/>
      <c r="AJ595" s="7"/>
      <c r="AK595" s="51">
        <f t="shared" si="2093"/>
        <v>53.847500000000004</v>
      </c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8"/>
      <c r="BK595" s="8"/>
      <c r="BL595" s="8"/>
      <c r="BM595" s="8"/>
    </row>
    <row r="596" spans="1:65" ht="30" hidden="1" customHeight="1" x14ac:dyDescent="0.45">
      <c r="A596" s="53">
        <f t="shared" si="3129"/>
        <v>45051</v>
      </c>
      <c r="B596" s="56">
        <v>166.99</v>
      </c>
      <c r="C596" s="56">
        <v>114.96</v>
      </c>
      <c r="D596" s="56">
        <v>95.65</v>
      </c>
      <c r="E596" s="56">
        <v>71.39</v>
      </c>
      <c r="F596" s="56">
        <v>47.55</v>
      </c>
      <c r="G596" s="56">
        <v>178</v>
      </c>
      <c r="H596" s="51">
        <f t="shared" ref="H596:M596" si="3142">B596-B595</f>
        <v>-4.1999999999999886</v>
      </c>
      <c r="I596" s="51">
        <f t="shared" si="3142"/>
        <v>-0.5</v>
      </c>
      <c r="J596" s="51">
        <f t="shared" si="3142"/>
        <v>1.1700000000000017</v>
      </c>
      <c r="K596" s="51">
        <f t="shared" si="3142"/>
        <v>7.9999999999998295E-2</v>
      </c>
      <c r="L596" s="51">
        <f t="shared" si="3142"/>
        <v>0.27999999999999403</v>
      </c>
      <c r="M596" s="42">
        <f t="shared" si="3142"/>
        <v>-8.3100000000000023</v>
      </c>
      <c r="N596" s="51">
        <f t="shared" ref="N596:R596" si="3143">AVERAGE(B596:B599)</f>
        <v>157.9025</v>
      </c>
      <c r="O596" s="51">
        <f t="shared" si="3143"/>
        <v>111.63749999999999</v>
      </c>
      <c r="P596" s="51">
        <f t="shared" si="3143"/>
        <v>92.172499999999999</v>
      </c>
      <c r="Q596" s="51">
        <f t="shared" si="3143"/>
        <v>69.175000000000011</v>
      </c>
      <c r="R596" s="51">
        <f t="shared" si="3143"/>
        <v>46.324999999999996</v>
      </c>
      <c r="S596" s="62">
        <f t="shared" ref="S596:T596" si="3144">(B595+B596)/2</f>
        <v>169.09</v>
      </c>
      <c r="T596" s="62">
        <f t="shared" si="3144"/>
        <v>115.21</v>
      </c>
      <c r="U596" s="62">
        <f t="shared" si="2884"/>
        <v>95.064999999999998</v>
      </c>
      <c r="V596" s="62">
        <f t="shared" ref="V596:W596" si="3145">(E595+E596)/2</f>
        <v>71.349999999999994</v>
      </c>
      <c r="W596" s="62">
        <f t="shared" si="3145"/>
        <v>47.41</v>
      </c>
      <c r="X596" s="62">
        <f t="shared" ref="X596:AB596" si="3146">(SUM(B593:B596))/4</f>
        <v>171.35750000000002</v>
      </c>
      <c r="Y596" s="62">
        <f t="shared" si="3146"/>
        <v>115.5975</v>
      </c>
      <c r="Z596" s="62">
        <f t="shared" si="3146"/>
        <v>94.797500000000014</v>
      </c>
      <c r="AA596" s="62">
        <f t="shared" si="3146"/>
        <v>71.252499999999998</v>
      </c>
      <c r="AB596" s="62">
        <f t="shared" si="3146"/>
        <v>47.265000000000001</v>
      </c>
      <c r="AC596" s="51">
        <f t="shared" ref="AC596:AF596" si="3147">(B596+C596)/2</f>
        <v>140.97499999999999</v>
      </c>
      <c r="AD596" s="51">
        <f t="shared" si="3147"/>
        <v>105.30500000000001</v>
      </c>
      <c r="AE596" s="51">
        <f t="shared" si="3147"/>
        <v>83.52000000000001</v>
      </c>
      <c r="AF596" s="51">
        <f t="shared" si="3147"/>
        <v>59.47</v>
      </c>
      <c r="AG596" s="7"/>
      <c r="AH596" s="7"/>
      <c r="AI596" s="7"/>
      <c r="AJ596" s="7"/>
      <c r="AK596" s="51">
        <f t="shared" si="2093"/>
        <v>54.029999999999994</v>
      </c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8"/>
      <c r="BK596" s="8"/>
      <c r="BL596" s="8"/>
      <c r="BM596" s="8"/>
    </row>
    <row r="597" spans="1:65" ht="30" hidden="1" customHeight="1" x14ac:dyDescent="0.45">
      <c r="A597" s="53">
        <f t="shared" si="3129"/>
        <v>45058</v>
      </c>
      <c r="B597" s="56">
        <v>163.59</v>
      </c>
      <c r="C597" s="56">
        <v>113.56</v>
      </c>
      <c r="D597" s="56">
        <v>93.81</v>
      </c>
      <c r="E597" s="56">
        <v>71.040000000000006</v>
      </c>
      <c r="F597" s="56">
        <v>46.66</v>
      </c>
      <c r="G597" s="56">
        <v>168.06</v>
      </c>
      <c r="H597" s="51">
        <f t="shared" ref="H597:M597" si="3148">B597-B596</f>
        <v>-3.4000000000000057</v>
      </c>
      <c r="I597" s="51">
        <f t="shared" si="3148"/>
        <v>-1.3999999999999915</v>
      </c>
      <c r="J597" s="51">
        <f t="shared" si="3148"/>
        <v>-1.8400000000000034</v>
      </c>
      <c r="K597" s="51">
        <f t="shared" si="3148"/>
        <v>-0.34999999999999432</v>
      </c>
      <c r="L597" s="51">
        <f t="shared" si="3148"/>
        <v>-0.89000000000000057</v>
      </c>
      <c r="M597" s="42">
        <f t="shared" si="3148"/>
        <v>-9.9399999999999977</v>
      </c>
      <c r="N597" s="51">
        <f t="shared" ref="N597:R597" si="3149">N596</f>
        <v>157.9025</v>
      </c>
      <c r="O597" s="51">
        <f t="shared" si="3149"/>
        <v>111.63749999999999</v>
      </c>
      <c r="P597" s="51">
        <f t="shared" si="3149"/>
        <v>92.172499999999999</v>
      </c>
      <c r="Q597" s="51">
        <f t="shared" si="3149"/>
        <v>69.175000000000011</v>
      </c>
      <c r="R597" s="51">
        <f t="shared" si="3149"/>
        <v>46.324999999999996</v>
      </c>
      <c r="S597" s="62">
        <f t="shared" ref="S597:T597" si="3150">(B596+B597)/2</f>
        <v>165.29000000000002</v>
      </c>
      <c r="T597" s="62">
        <f t="shared" si="3150"/>
        <v>114.25999999999999</v>
      </c>
      <c r="U597" s="62">
        <f t="shared" si="2884"/>
        <v>94.73</v>
      </c>
      <c r="V597" s="62">
        <f t="shared" ref="V597:W597" si="3151">(E596+E597)/2</f>
        <v>71.215000000000003</v>
      </c>
      <c r="W597" s="62">
        <f t="shared" si="3151"/>
        <v>47.104999999999997</v>
      </c>
      <c r="X597" s="62">
        <f t="shared" ref="X597:AB597" si="3152">(SUM(B594:B597))/4</f>
        <v>168.81</v>
      </c>
      <c r="Y597" s="62">
        <f t="shared" si="3152"/>
        <v>114.935</v>
      </c>
      <c r="Z597" s="62">
        <f t="shared" si="3152"/>
        <v>94.63000000000001</v>
      </c>
      <c r="AA597" s="62">
        <f t="shared" si="3152"/>
        <v>71.260000000000005</v>
      </c>
      <c r="AB597" s="62">
        <f t="shared" si="3152"/>
        <v>47.097500000000004</v>
      </c>
      <c r="AC597" s="51">
        <f t="shared" ref="AC597:AF597" si="3153">(B597+C597)/2</f>
        <v>138.57499999999999</v>
      </c>
      <c r="AD597" s="51">
        <f t="shared" si="3153"/>
        <v>103.685</v>
      </c>
      <c r="AE597" s="51">
        <f t="shared" si="3153"/>
        <v>82.425000000000011</v>
      </c>
      <c r="AF597" s="51">
        <f t="shared" si="3153"/>
        <v>58.85</v>
      </c>
      <c r="AG597" s="7"/>
      <c r="AH597" s="7"/>
      <c r="AI597" s="7"/>
      <c r="AJ597" s="7"/>
      <c r="AK597" s="51">
        <f t="shared" si="2093"/>
        <v>53.809999999999995</v>
      </c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8"/>
      <c r="BK597" s="8"/>
      <c r="BL597" s="8"/>
      <c r="BM597" s="8"/>
    </row>
    <row r="598" spans="1:65" ht="30" hidden="1" customHeight="1" x14ac:dyDescent="0.45">
      <c r="A598" s="53">
        <f t="shared" si="3129"/>
        <v>45065</v>
      </c>
      <c r="B598" s="56">
        <v>152.44</v>
      </c>
      <c r="C598" s="56">
        <v>111.82</v>
      </c>
      <c r="D598" s="56">
        <v>92.3</v>
      </c>
      <c r="E598" s="56">
        <v>68.989999999999995</v>
      </c>
      <c r="F598" s="56">
        <v>46.27</v>
      </c>
      <c r="G598" s="56">
        <v>158.16999999999999</v>
      </c>
      <c r="H598" s="51">
        <f t="shared" ref="H598:M598" si="3154">B598-B597</f>
        <v>-11.150000000000006</v>
      </c>
      <c r="I598" s="51">
        <f t="shared" si="3154"/>
        <v>-1.7400000000000091</v>
      </c>
      <c r="J598" s="51">
        <f t="shared" si="3154"/>
        <v>-1.5100000000000051</v>
      </c>
      <c r="K598" s="51">
        <f t="shared" si="3154"/>
        <v>-2.0500000000000114</v>
      </c>
      <c r="L598" s="51">
        <f t="shared" si="3154"/>
        <v>-0.38999999999999346</v>
      </c>
      <c r="M598" s="42">
        <f t="shared" si="3154"/>
        <v>-9.8900000000000148</v>
      </c>
      <c r="N598" s="51">
        <f t="shared" ref="N598:R598" si="3155">N597</f>
        <v>157.9025</v>
      </c>
      <c r="O598" s="51">
        <f t="shared" si="3155"/>
        <v>111.63749999999999</v>
      </c>
      <c r="P598" s="51">
        <f t="shared" si="3155"/>
        <v>92.172499999999999</v>
      </c>
      <c r="Q598" s="51">
        <f t="shared" si="3155"/>
        <v>69.175000000000011</v>
      </c>
      <c r="R598" s="51">
        <f t="shared" si="3155"/>
        <v>46.324999999999996</v>
      </c>
      <c r="S598" s="62">
        <f t="shared" ref="S598:T598" si="3156">(B597+B598)/2</f>
        <v>158.01499999999999</v>
      </c>
      <c r="T598" s="62">
        <f t="shared" si="3156"/>
        <v>112.69</v>
      </c>
      <c r="U598" s="62">
        <f t="shared" si="2884"/>
        <v>93.055000000000007</v>
      </c>
      <c r="V598" s="62">
        <f t="shared" ref="V598:W598" si="3157">(E597+E598)/2</f>
        <v>70.015000000000001</v>
      </c>
      <c r="W598" s="62">
        <f t="shared" si="3157"/>
        <v>46.465000000000003</v>
      </c>
      <c r="X598" s="62">
        <f t="shared" ref="X598:AB598" si="3158">(SUM(B595:B598))/4</f>
        <v>163.55250000000001</v>
      </c>
      <c r="Y598" s="62">
        <f t="shared" si="3158"/>
        <v>113.95</v>
      </c>
      <c r="Z598" s="62">
        <f t="shared" si="3158"/>
        <v>94.06</v>
      </c>
      <c r="AA598" s="62">
        <f t="shared" si="3158"/>
        <v>70.682500000000005</v>
      </c>
      <c r="AB598" s="62">
        <f t="shared" si="3158"/>
        <v>46.9375</v>
      </c>
      <c r="AC598" s="51">
        <f t="shared" ref="AC598:AF598" si="3159">(B598+C598)/2</f>
        <v>132.13</v>
      </c>
      <c r="AD598" s="51">
        <f t="shared" si="3159"/>
        <v>102.06</v>
      </c>
      <c r="AE598" s="51">
        <f t="shared" si="3159"/>
        <v>80.644999999999996</v>
      </c>
      <c r="AF598" s="51">
        <f t="shared" si="3159"/>
        <v>57.629999999999995</v>
      </c>
      <c r="AG598" s="7"/>
      <c r="AH598" s="7"/>
      <c r="AI598" s="7"/>
      <c r="AJ598" s="7"/>
      <c r="AK598" s="51">
        <f t="shared" si="2093"/>
        <v>52.89</v>
      </c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8"/>
      <c r="BK598" s="8"/>
      <c r="BL598" s="8"/>
      <c r="BM598" s="8"/>
    </row>
    <row r="599" spans="1:65" ht="30" hidden="1" customHeight="1" x14ac:dyDescent="0.45">
      <c r="A599" s="53">
        <f t="shared" si="3129"/>
        <v>45072</v>
      </c>
      <c r="B599" s="56">
        <v>148.59</v>
      </c>
      <c r="C599" s="56">
        <v>106.21</v>
      </c>
      <c r="D599" s="56">
        <v>86.93</v>
      </c>
      <c r="E599" s="56">
        <v>65.28</v>
      </c>
      <c r="F599" s="56">
        <v>44.82</v>
      </c>
      <c r="G599" s="56">
        <v>148.97</v>
      </c>
      <c r="H599" s="51">
        <f t="shared" ref="H599:M599" si="3160">B599-B598</f>
        <v>-3.8499999999999943</v>
      </c>
      <c r="I599" s="51">
        <f t="shared" si="3160"/>
        <v>-5.6099999999999994</v>
      </c>
      <c r="J599" s="51">
        <f t="shared" si="3160"/>
        <v>-5.3699999999999903</v>
      </c>
      <c r="K599" s="51">
        <f t="shared" si="3160"/>
        <v>-3.7099999999999937</v>
      </c>
      <c r="L599" s="51">
        <f t="shared" si="3160"/>
        <v>-1.4500000000000028</v>
      </c>
      <c r="M599" s="42">
        <f t="shared" si="3160"/>
        <v>-9.1999999999999886</v>
      </c>
      <c r="N599" s="51">
        <f t="shared" ref="N599:R599" si="3161">N598</f>
        <v>157.9025</v>
      </c>
      <c r="O599" s="51">
        <f t="shared" si="3161"/>
        <v>111.63749999999999</v>
      </c>
      <c r="P599" s="51">
        <f t="shared" si="3161"/>
        <v>92.172499999999999</v>
      </c>
      <c r="Q599" s="51">
        <f t="shared" si="3161"/>
        <v>69.175000000000011</v>
      </c>
      <c r="R599" s="51">
        <f t="shared" si="3161"/>
        <v>46.324999999999996</v>
      </c>
      <c r="S599" s="62">
        <f t="shared" ref="S599:T599" si="3162">(B598+B599)/2</f>
        <v>150.51499999999999</v>
      </c>
      <c r="T599" s="62">
        <f t="shared" si="3162"/>
        <v>109.01499999999999</v>
      </c>
      <c r="U599" s="62">
        <f t="shared" si="2884"/>
        <v>89.615000000000009</v>
      </c>
      <c r="V599" s="62">
        <f t="shared" ref="V599:W599" si="3163">(E598+E599)/2</f>
        <v>67.134999999999991</v>
      </c>
      <c r="W599" s="62">
        <f t="shared" si="3163"/>
        <v>45.545000000000002</v>
      </c>
      <c r="X599" s="62">
        <f t="shared" ref="X599:AB599" si="3164">(SUM(B596:B599))/4</f>
        <v>157.9025</v>
      </c>
      <c r="Y599" s="62">
        <f t="shared" si="3164"/>
        <v>111.63749999999999</v>
      </c>
      <c r="Z599" s="62">
        <f t="shared" si="3164"/>
        <v>92.172499999999999</v>
      </c>
      <c r="AA599" s="62">
        <f t="shared" si="3164"/>
        <v>69.175000000000011</v>
      </c>
      <c r="AB599" s="62">
        <f t="shared" si="3164"/>
        <v>46.324999999999996</v>
      </c>
      <c r="AC599" s="51">
        <f t="shared" ref="AC599:AF599" si="3165">(B599+C599)/2</f>
        <v>127.4</v>
      </c>
      <c r="AD599" s="51">
        <f t="shared" si="3165"/>
        <v>96.57</v>
      </c>
      <c r="AE599" s="51">
        <f t="shared" si="3165"/>
        <v>76.105000000000004</v>
      </c>
      <c r="AF599" s="51">
        <f t="shared" si="3165"/>
        <v>55.05</v>
      </c>
      <c r="AG599" s="7"/>
      <c r="AH599" s="7"/>
      <c r="AI599" s="7"/>
      <c r="AJ599" s="7"/>
      <c r="AK599" s="51">
        <f t="shared" si="2093"/>
        <v>50.989999999999995</v>
      </c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8"/>
      <c r="BK599" s="8"/>
      <c r="BL599" s="8"/>
      <c r="BM599" s="8"/>
    </row>
    <row r="600" spans="1:65" ht="30" hidden="1" customHeight="1" x14ac:dyDescent="0.45">
      <c r="A600" s="53">
        <v>45078</v>
      </c>
      <c r="B600" s="56">
        <v>137.35</v>
      </c>
      <c r="C600" s="56">
        <v>101.21</v>
      </c>
      <c r="D600" s="56">
        <v>81.36</v>
      </c>
      <c r="E600" s="56">
        <v>61.34</v>
      </c>
      <c r="F600" s="56">
        <v>42.7</v>
      </c>
      <c r="G600" s="56">
        <v>128</v>
      </c>
      <c r="H600" s="51">
        <f t="shared" ref="H600:M600" si="3166">B600-B599</f>
        <v>-11.240000000000009</v>
      </c>
      <c r="I600" s="51">
        <f t="shared" si="3166"/>
        <v>-5</v>
      </c>
      <c r="J600" s="51">
        <f t="shared" si="3166"/>
        <v>-5.5700000000000074</v>
      </c>
      <c r="K600" s="51">
        <f t="shared" si="3166"/>
        <v>-3.9399999999999977</v>
      </c>
      <c r="L600" s="51">
        <f t="shared" si="3166"/>
        <v>-2.1199999999999974</v>
      </c>
      <c r="M600" s="42">
        <f t="shared" si="3166"/>
        <v>-20.97</v>
      </c>
      <c r="N600" s="51">
        <f t="shared" ref="N600:R600" si="3167">AVERAGE(B600:B604)</f>
        <v>128.93199999999999</v>
      </c>
      <c r="O600" s="51">
        <f t="shared" si="3167"/>
        <v>91.328000000000003</v>
      </c>
      <c r="P600" s="51">
        <f t="shared" si="3167"/>
        <v>72.634</v>
      </c>
      <c r="Q600" s="51">
        <f t="shared" si="3167"/>
        <v>54.665999999999997</v>
      </c>
      <c r="R600" s="51">
        <f t="shared" si="3167"/>
        <v>35.366</v>
      </c>
      <c r="S600" s="62">
        <f t="shared" ref="S600:T600" si="3168">(B599+B600)/2</f>
        <v>142.97</v>
      </c>
      <c r="T600" s="62">
        <f t="shared" si="3168"/>
        <v>103.71</v>
      </c>
      <c r="U600" s="62">
        <f t="shared" si="2884"/>
        <v>84.14500000000001</v>
      </c>
      <c r="V600" s="62">
        <f t="shared" ref="V600:W600" si="3169">(E599+E600)/2</f>
        <v>63.31</v>
      </c>
      <c r="W600" s="62">
        <f t="shared" si="3169"/>
        <v>43.760000000000005</v>
      </c>
      <c r="X600" s="62">
        <f t="shared" ref="X600:AB600" si="3170">(SUM(B597:B600))/4</f>
        <v>150.49250000000001</v>
      </c>
      <c r="Y600" s="62">
        <f t="shared" si="3170"/>
        <v>108.19999999999999</v>
      </c>
      <c r="Z600" s="62">
        <f t="shared" si="3170"/>
        <v>88.600000000000009</v>
      </c>
      <c r="AA600" s="62">
        <f t="shared" si="3170"/>
        <v>66.662499999999994</v>
      </c>
      <c r="AB600" s="62">
        <f t="shared" si="3170"/>
        <v>45.112499999999997</v>
      </c>
      <c r="AC600" s="51">
        <f t="shared" ref="AC600:AF600" si="3171">(B600+C600)/2</f>
        <v>119.28</v>
      </c>
      <c r="AD600" s="51">
        <f t="shared" si="3171"/>
        <v>91.284999999999997</v>
      </c>
      <c r="AE600" s="51">
        <f t="shared" si="3171"/>
        <v>71.349999999999994</v>
      </c>
      <c r="AF600" s="51">
        <f t="shared" si="3171"/>
        <v>52.02</v>
      </c>
      <c r="AG600" s="7"/>
      <c r="AH600" s="7"/>
      <c r="AI600" s="7"/>
      <c r="AJ600" s="7"/>
      <c r="AK600" s="51">
        <f t="shared" si="2093"/>
        <v>48.185000000000002</v>
      </c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8"/>
      <c r="BK600" s="8"/>
      <c r="BL600" s="8"/>
      <c r="BM600" s="8"/>
    </row>
    <row r="601" spans="1:65" ht="30" hidden="1" customHeight="1" x14ac:dyDescent="0.45">
      <c r="A601" s="53">
        <v>45086</v>
      </c>
      <c r="B601" s="56">
        <v>132.53</v>
      </c>
      <c r="C601" s="56">
        <v>92.67</v>
      </c>
      <c r="D601" s="56">
        <v>76.650000000000006</v>
      </c>
      <c r="E601" s="56">
        <v>56.6</v>
      </c>
      <c r="F601" s="56">
        <v>37.549999999999997</v>
      </c>
      <c r="G601" s="56">
        <v>132.21</v>
      </c>
      <c r="H601" s="51">
        <f t="shared" ref="H601:M601" si="3172">B601-B600</f>
        <v>-4.8199999999999932</v>
      </c>
      <c r="I601" s="51">
        <f t="shared" si="3172"/>
        <v>-8.539999999999992</v>
      </c>
      <c r="J601" s="51">
        <f t="shared" si="3172"/>
        <v>-4.7099999999999937</v>
      </c>
      <c r="K601" s="51">
        <f t="shared" si="3172"/>
        <v>-4.740000000000002</v>
      </c>
      <c r="L601" s="51">
        <f t="shared" si="3172"/>
        <v>-5.1500000000000057</v>
      </c>
      <c r="M601" s="42">
        <f t="shared" si="3172"/>
        <v>4.210000000000008</v>
      </c>
      <c r="N601" s="51">
        <f t="shared" ref="N601:R601" si="3173">N600</f>
        <v>128.93199999999999</v>
      </c>
      <c r="O601" s="51">
        <f t="shared" si="3173"/>
        <v>91.328000000000003</v>
      </c>
      <c r="P601" s="51">
        <f t="shared" si="3173"/>
        <v>72.634</v>
      </c>
      <c r="Q601" s="51">
        <f t="shared" si="3173"/>
        <v>54.665999999999997</v>
      </c>
      <c r="R601" s="51">
        <f t="shared" si="3173"/>
        <v>35.366</v>
      </c>
      <c r="S601" s="62">
        <f t="shared" ref="S601:T601" si="3174">(B600+B601)/2</f>
        <v>134.94</v>
      </c>
      <c r="T601" s="62">
        <f t="shared" si="3174"/>
        <v>96.94</v>
      </c>
      <c r="U601" s="62">
        <f t="shared" si="2884"/>
        <v>79.004999999999995</v>
      </c>
      <c r="V601" s="62">
        <f t="shared" ref="V601:W601" si="3175">(E600+E601)/2</f>
        <v>58.97</v>
      </c>
      <c r="W601" s="62">
        <f t="shared" si="3175"/>
        <v>40.125</v>
      </c>
      <c r="X601" s="62">
        <f t="shared" ref="X601:AB601" si="3176">(SUM(B598:B601))/4</f>
        <v>142.72749999999999</v>
      </c>
      <c r="Y601" s="62">
        <f t="shared" si="3176"/>
        <v>102.97749999999999</v>
      </c>
      <c r="Z601" s="62">
        <f t="shared" si="3176"/>
        <v>84.31</v>
      </c>
      <c r="AA601" s="62">
        <f t="shared" si="3176"/>
        <v>63.052499999999995</v>
      </c>
      <c r="AB601" s="62">
        <f t="shared" si="3176"/>
        <v>42.835000000000008</v>
      </c>
      <c r="AC601" s="51">
        <f t="shared" ref="AC601:AF601" si="3177">(B601+C601)/2</f>
        <v>112.6</v>
      </c>
      <c r="AD601" s="51">
        <f t="shared" si="3177"/>
        <v>84.66</v>
      </c>
      <c r="AE601" s="51">
        <f t="shared" si="3177"/>
        <v>66.625</v>
      </c>
      <c r="AF601" s="51">
        <f t="shared" si="3177"/>
        <v>47.075000000000003</v>
      </c>
      <c r="AG601" s="7"/>
      <c r="AH601" s="7"/>
      <c r="AI601" s="7"/>
      <c r="AJ601" s="7"/>
      <c r="AK601" s="51">
        <f t="shared" si="2093"/>
        <v>44.197499999999998</v>
      </c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8"/>
      <c r="BK601" s="8"/>
      <c r="BL601" s="8"/>
      <c r="BM601" s="8"/>
    </row>
    <row r="602" spans="1:65" ht="30" hidden="1" customHeight="1" x14ac:dyDescent="0.45">
      <c r="A602" s="53">
        <f t="shared" ref="A602:A612" si="3178">A601+7</f>
        <v>45093</v>
      </c>
      <c r="B602" s="56">
        <v>127.59</v>
      </c>
      <c r="C602" s="56">
        <v>88.45</v>
      </c>
      <c r="D602" s="56">
        <v>70.069999999999993</v>
      </c>
      <c r="E602" s="56">
        <v>52.4</v>
      </c>
      <c r="F602" s="56">
        <v>33.46</v>
      </c>
      <c r="G602" s="56">
        <v>124.65</v>
      </c>
      <c r="H602" s="51">
        <f t="shared" ref="H602:M602" si="3179">B602-B601</f>
        <v>-4.9399999999999977</v>
      </c>
      <c r="I602" s="51">
        <f t="shared" si="3179"/>
        <v>-4.2199999999999989</v>
      </c>
      <c r="J602" s="51">
        <f t="shared" si="3179"/>
        <v>-6.5800000000000125</v>
      </c>
      <c r="K602" s="51">
        <f t="shared" si="3179"/>
        <v>-4.2000000000000028</v>
      </c>
      <c r="L602" s="51">
        <f t="shared" si="3179"/>
        <v>-4.0899999999999963</v>
      </c>
      <c r="M602" s="42">
        <f t="shared" si="3179"/>
        <v>-7.5600000000000023</v>
      </c>
      <c r="N602" s="51">
        <f t="shared" ref="N602:R602" si="3180">N601</f>
        <v>128.93199999999999</v>
      </c>
      <c r="O602" s="51">
        <f t="shared" si="3180"/>
        <v>91.328000000000003</v>
      </c>
      <c r="P602" s="51">
        <f t="shared" si="3180"/>
        <v>72.634</v>
      </c>
      <c r="Q602" s="51">
        <f t="shared" si="3180"/>
        <v>54.665999999999997</v>
      </c>
      <c r="R602" s="51">
        <f t="shared" si="3180"/>
        <v>35.366</v>
      </c>
      <c r="S602" s="62">
        <f t="shared" ref="S602:T602" si="3181">(B601+B602)/2</f>
        <v>130.06</v>
      </c>
      <c r="T602" s="62">
        <f t="shared" si="3181"/>
        <v>90.56</v>
      </c>
      <c r="U602" s="62">
        <f t="shared" si="2884"/>
        <v>73.36</v>
      </c>
      <c r="V602" s="62">
        <f t="shared" ref="V602:W602" si="3182">(E601+E602)/2</f>
        <v>54.5</v>
      </c>
      <c r="W602" s="62">
        <f t="shared" si="3182"/>
        <v>35.504999999999995</v>
      </c>
      <c r="X602" s="62">
        <f t="shared" ref="X602:AB602" si="3183">(SUM(B599:B602))/4</f>
        <v>136.51500000000001</v>
      </c>
      <c r="Y602" s="62">
        <f t="shared" si="3183"/>
        <v>97.134999999999991</v>
      </c>
      <c r="Z602" s="62">
        <f t="shared" si="3183"/>
        <v>78.752499999999998</v>
      </c>
      <c r="AA602" s="62">
        <f t="shared" si="3183"/>
        <v>58.905000000000001</v>
      </c>
      <c r="AB602" s="62">
        <f t="shared" si="3183"/>
        <v>39.6325</v>
      </c>
      <c r="AC602" s="51">
        <f t="shared" ref="AC602:AF602" si="3184">(B602+C602)/2</f>
        <v>108.02000000000001</v>
      </c>
      <c r="AD602" s="51">
        <f t="shared" si="3184"/>
        <v>79.259999999999991</v>
      </c>
      <c r="AE602" s="51">
        <f t="shared" si="3184"/>
        <v>61.234999999999999</v>
      </c>
      <c r="AF602" s="51">
        <f t="shared" si="3184"/>
        <v>42.93</v>
      </c>
      <c r="AG602" s="7"/>
      <c r="AH602" s="7"/>
      <c r="AI602" s="7"/>
      <c r="AJ602" s="7"/>
      <c r="AK602" s="51">
        <f t="shared" si="2093"/>
        <v>39.652499999999996</v>
      </c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8"/>
      <c r="BK602" s="8"/>
      <c r="BL602" s="8"/>
      <c r="BM602" s="8"/>
    </row>
    <row r="603" spans="1:65" ht="30" hidden="1" customHeight="1" x14ac:dyDescent="0.45">
      <c r="A603" s="53">
        <f t="shared" si="3178"/>
        <v>45100</v>
      </c>
      <c r="B603" s="56">
        <v>124.02</v>
      </c>
      <c r="C603" s="56">
        <v>87.71</v>
      </c>
      <c r="D603" s="56">
        <v>67.67</v>
      </c>
      <c r="E603" s="56">
        <v>51.67</v>
      </c>
      <c r="F603" s="56">
        <v>32.24</v>
      </c>
      <c r="G603" s="56">
        <v>120.23</v>
      </c>
      <c r="H603" s="51">
        <f t="shared" ref="H603:M603" si="3185">B603-B602</f>
        <v>-3.5700000000000074</v>
      </c>
      <c r="I603" s="51">
        <f t="shared" si="3185"/>
        <v>-0.74000000000000909</v>
      </c>
      <c r="J603" s="51">
        <f t="shared" si="3185"/>
        <v>-2.3999999999999915</v>
      </c>
      <c r="K603" s="51">
        <f t="shared" si="3185"/>
        <v>-0.72999999999999687</v>
      </c>
      <c r="L603" s="51">
        <f t="shared" si="3185"/>
        <v>-1.2199999999999989</v>
      </c>
      <c r="M603" s="42">
        <f t="shared" si="3185"/>
        <v>-4.4200000000000017</v>
      </c>
      <c r="N603" s="51">
        <f t="shared" ref="N603:R603" si="3186">N602</f>
        <v>128.93199999999999</v>
      </c>
      <c r="O603" s="51">
        <f t="shared" si="3186"/>
        <v>91.328000000000003</v>
      </c>
      <c r="P603" s="51">
        <f t="shared" si="3186"/>
        <v>72.634</v>
      </c>
      <c r="Q603" s="51">
        <f t="shared" si="3186"/>
        <v>54.665999999999997</v>
      </c>
      <c r="R603" s="51">
        <f t="shared" si="3186"/>
        <v>35.366</v>
      </c>
      <c r="S603" s="62">
        <f t="shared" ref="S603:T603" si="3187">(B602+B603)/2</f>
        <v>125.80500000000001</v>
      </c>
      <c r="T603" s="62">
        <f t="shared" si="3187"/>
        <v>88.08</v>
      </c>
      <c r="U603" s="62">
        <f t="shared" si="2884"/>
        <v>68.87</v>
      </c>
      <c r="V603" s="62">
        <f t="shared" ref="V603:W603" si="3188">(E602+E603)/2</f>
        <v>52.034999999999997</v>
      </c>
      <c r="W603" s="62">
        <f t="shared" si="3188"/>
        <v>32.85</v>
      </c>
      <c r="X603" s="62">
        <f t="shared" ref="X603:AB603" si="3189">(SUM(B600:B603))/4</f>
        <v>130.3725</v>
      </c>
      <c r="Y603" s="62">
        <f t="shared" si="3189"/>
        <v>92.509999999999991</v>
      </c>
      <c r="Z603" s="62">
        <f t="shared" si="3189"/>
        <v>73.9375</v>
      </c>
      <c r="AA603" s="62">
        <f t="shared" si="3189"/>
        <v>55.502499999999998</v>
      </c>
      <c r="AB603" s="62">
        <f t="shared" si="3189"/>
        <v>36.487500000000004</v>
      </c>
      <c r="AC603" s="51">
        <f t="shared" ref="AC603:AF603" si="3190">(B603+C603)/2</f>
        <v>105.86499999999999</v>
      </c>
      <c r="AD603" s="51">
        <f t="shared" si="3190"/>
        <v>77.69</v>
      </c>
      <c r="AE603" s="51">
        <f t="shared" si="3190"/>
        <v>59.67</v>
      </c>
      <c r="AF603" s="51">
        <f t="shared" si="3190"/>
        <v>41.954999999999998</v>
      </c>
      <c r="AG603" s="7"/>
      <c r="AH603" s="7"/>
      <c r="AI603" s="7"/>
      <c r="AJ603" s="7"/>
      <c r="AK603" s="51">
        <f t="shared" si="2093"/>
        <v>37.092499999999994</v>
      </c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8"/>
      <c r="BK603" s="8"/>
      <c r="BL603" s="8"/>
      <c r="BM603" s="8"/>
    </row>
    <row r="604" spans="1:65" ht="30" hidden="1" customHeight="1" x14ac:dyDescent="0.45">
      <c r="A604" s="53">
        <f t="shared" si="3178"/>
        <v>45107</v>
      </c>
      <c r="B604" s="56">
        <v>123.17</v>
      </c>
      <c r="C604" s="56">
        <v>86.6</v>
      </c>
      <c r="D604" s="56">
        <v>67.42</v>
      </c>
      <c r="E604" s="56">
        <v>51.32</v>
      </c>
      <c r="F604" s="56">
        <v>30.88</v>
      </c>
      <c r="G604" s="56">
        <v>137.94</v>
      </c>
      <c r="H604" s="51">
        <f t="shared" ref="H604:M604" si="3191">B604-B603</f>
        <v>-0.84999999999999432</v>
      </c>
      <c r="I604" s="51">
        <f t="shared" si="3191"/>
        <v>-1.1099999999999994</v>
      </c>
      <c r="J604" s="51">
        <f t="shared" si="3191"/>
        <v>-0.25</v>
      </c>
      <c r="K604" s="51">
        <f t="shared" si="3191"/>
        <v>-0.35000000000000142</v>
      </c>
      <c r="L604" s="51">
        <f t="shared" si="3191"/>
        <v>-1.360000000000003</v>
      </c>
      <c r="M604" s="42">
        <f t="shared" si="3191"/>
        <v>17.709999999999994</v>
      </c>
      <c r="N604" s="51">
        <f t="shared" ref="N604:R604" si="3192">N603</f>
        <v>128.93199999999999</v>
      </c>
      <c r="O604" s="51">
        <f t="shared" si="3192"/>
        <v>91.328000000000003</v>
      </c>
      <c r="P604" s="51">
        <f t="shared" si="3192"/>
        <v>72.634</v>
      </c>
      <c r="Q604" s="51">
        <f t="shared" si="3192"/>
        <v>54.665999999999997</v>
      </c>
      <c r="R604" s="51">
        <f t="shared" si="3192"/>
        <v>35.366</v>
      </c>
      <c r="S604" s="62">
        <f t="shared" ref="S604:T604" si="3193">(B603+B604)/2</f>
        <v>123.595</v>
      </c>
      <c r="T604" s="62">
        <f t="shared" si="3193"/>
        <v>87.155000000000001</v>
      </c>
      <c r="U604" s="62">
        <f t="shared" si="2884"/>
        <v>67.545000000000002</v>
      </c>
      <c r="V604" s="62">
        <f t="shared" ref="V604:W604" si="3194">(E603+E604)/2</f>
        <v>51.495000000000005</v>
      </c>
      <c r="W604" s="62">
        <f t="shared" si="3194"/>
        <v>31.560000000000002</v>
      </c>
      <c r="X604" s="62">
        <f t="shared" ref="X604:AB604" si="3195">(SUM(B601:B604))/4</f>
        <v>126.8275</v>
      </c>
      <c r="Y604" s="62">
        <f t="shared" si="3195"/>
        <v>88.857499999999987</v>
      </c>
      <c r="Z604" s="62">
        <f t="shared" si="3195"/>
        <v>70.452500000000001</v>
      </c>
      <c r="AA604" s="62">
        <f t="shared" si="3195"/>
        <v>52.997500000000002</v>
      </c>
      <c r="AB604" s="62">
        <f t="shared" si="3195"/>
        <v>33.532499999999999</v>
      </c>
      <c r="AC604" s="51">
        <f t="shared" ref="AC604:AF604" si="3196">(B604+C604)/2</f>
        <v>104.88499999999999</v>
      </c>
      <c r="AD604" s="51">
        <f t="shared" si="3196"/>
        <v>77.009999999999991</v>
      </c>
      <c r="AE604" s="51">
        <f t="shared" si="3196"/>
        <v>59.370000000000005</v>
      </c>
      <c r="AF604" s="51">
        <f t="shared" si="3196"/>
        <v>41.1</v>
      </c>
      <c r="AG604" s="7"/>
      <c r="AH604" s="7"/>
      <c r="AI604" s="7"/>
      <c r="AJ604" s="7"/>
      <c r="AK604" s="51">
        <f t="shared" si="2093"/>
        <v>36.177500000000002</v>
      </c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8"/>
      <c r="BK604" s="8"/>
      <c r="BL604" s="8"/>
      <c r="BM604" s="8"/>
    </row>
    <row r="605" spans="1:65" ht="30" hidden="1" customHeight="1" x14ac:dyDescent="0.45">
      <c r="A605" s="53">
        <f t="shared" si="3178"/>
        <v>45114</v>
      </c>
      <c r="B605" s="56">
        <v>122.75</v>
      </c>
      <c r="C605" s="56">
        <v>86.56</v>
      </c>
      <c r="D605" s="56">
        <v>69.989999999999995</v>
      </c>
      <c r="E605" s="56">
        <v>52.88</v>
      </c>
      <c r="F605" s="56">
        <v>31.19</v>
      </c>
      <c r="G605" s="56">
        <v>140.18</v>
      </c>
      <c r="H605" s="51">
        <f t="shared" ref="H605:M605" si="3197">B605-B604</f>
        <v>-0.42000000000000171</v>
      </c>
      <c r="I605" s="51">
        <f t="shared" si="3197"/>
        <v>-3.9999999999992042E-2</v>
      </c>
      <c r="J605" s="51">
        <f t="shared" si="3197"/>
        <v>2.5699999999999932</v>
      </c>
      <c r="K605" s="51">
        <f t="shared" si="3197"/>
        <v>1.5600000000000023</v>
      </c>
      <c r="L605" s="51">
        <f t="shared" si="3197"/>
        <v>0.31000000000000227</v>
      </c>
      <c r="M605" s="42">
        <f t="shared" si="3197"/>
        <v>2.2400000000000091</v>
      </c>
      <c r="N605" s="51">
        <f t="shared" ref="N605:R605" si="3198">AVERAGE(B605:B608)</f>
        <v>119.6225</v>
      </c>
      <c r="O605" s="51">
        <f t="shared" si="3198"/>
        <v>86.877500000000012</v>
      </c>
      <c r="P605" s="51">
        <f t="shared" si="3198"/>
        <v>71.819999999999993</v>
      </c>
      <c r="Q605" s="51">
        <f t="shared" si="3198"/>
        <v>52.44</v>
      </c>
      <c r="R605" s="51">
        <f t="shared" si="3198"/>
        <v>31.567499999999999</v>
      </c>
      <c r="S605" s="62">
        <f t="shared" ref="S605:T605" si="3199">(B604+B605)/2</f>
        <v>122.96000000000001</v>
      </c>
      <c r="T605" s="62">
        <f t="shared" si="3199"/>
        <v>86.58</v>
      </c>
      <c r="U605" s="62">
        <f t="shared" si="2884"/>
        <v>68.704999999999998</v>
      </c>
      <c r="V605" s="62">
        <f t="shared" ref="V605:W605" si="3200">(E604+E605)/2</f>
        <v>52.1</v>
      </c>
      <c r="W605" s="62">
        <f t="shared" si="3200"/>
        <v>31.035</v>
      </c>
      <c r="X605" s="62">
        <f t="shared" ref="X605:AB605" si="3201">(SUM(B602:B605))/4</f>
        <v>124.38250000000001</v>
      </c>
      <c r="Y605" s="62">
        <f t="shared" si="3201"/>
        <v>87.33</v>
      </c>
      <c r="Z605" s="62">
        <f t="shared" si="3201"/>
        <v>68.787500000000009</v>
      </c>
      <c r="AA605" s="62">
        <f t="shared" si="3201"/>
        <v>52.067499999999995</v>
      </c>
      <c r="AB605" s="62">
        <f t="shared" si="3201"/>
        <v>31.942499999999999</v>
      </c>
      <c r="AC605" s="51">
        <f t="shared" ref="AC605:AF605" si="3202">(B605+C605)/2</f>
        <v>104.655</v>
      </c>
      <c r="AD605" s="51">
        <f t="shared" si="3202"/>
        <v>78.275000000000006</v>
      </c>
      <c r="AE605" s="51">
        <f t="shared" si="3202"/>
        <v>61.435000000000002</v>
      </c>
      <c r="AF605" s="51">
        <f t="shared" si="3202"/>
        <v>42.035000000000004</v>
      </c>
      <c r="AG605" s="7"/>
      <c r="AH605" s="7"/>
      <c r="AI605" s="7"/>
      <c r="AJ605" s="7"/>
      <c r="AK605" s="51">
        <f t="shared" si="2093"/>
        <v>36.217500000000001</v>
      </c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8"/>
      <c r="BK605" s="8"/>
      <c r="BL605" s="8"/>
      <c r="BM605" s="8"/>
    </row>
    <row r="606" spans="1:65" ht="30" hidden="1" customHeight="1" x14ac:dyDescent="0.45">
      <c r="A606" s="53">
        <f t="shared" si="3178"/>
        <v>45121</v>
      </c>
      <c r="B606" s="56">
        <v>119.79</v>
      </c>
      <c r="C606" s="56">
        <v>87.12</v>
      </c>
      <c r="D606" s="56">
        <v>71.900000000000006</v>
      </c>
      <c r="E606" s="56">
        <v>52.47</v>
      </c>
      <c r="F606" s="56">
        <v>31.71</v>
      </c>
      <c r="G606" s="56">
        <v>127.33</v>
      </c>
      <c r="H606" s="51">
        <f t="shared" ref="H606:M606" si="3203">B606-B605</f>
        <v>-2.9599999999999937</v>
      </c>
      <c r="I606" s="51">
        <f t="shared" si="3203"/>
        <v>0.56000000000000227</v>
      </c>
      <c r="J606" s="51">
        <f t="shared" si="3203"/>
        <v>1.9100000000000108</v>
      </c>
      <c r="K606" s="51">
        <f t="shared" si="3203"/>
        <v>-0.41000000000000369</v>
      </c>
      <c r="L606" s="51">
        <f t="shared" si="3203"/>
        <v>0.51999999999999957</v>
      </c>
      <c r="M606" s="42">
        <f t="shared" si="3203"/>
        <v>-12.850000000000009</v>
      </c>
      <c r="N606" s="51">
        <f t="shared" ref="N606:R606" si="3204">N605</f>
        <v>119.6225</v>
      </c>
      <c r="O606" s="51">
        <f t="shared" si="3204"/>
        <v>86.877500000000012</v>
      </c>
      <c r="P606" s="51">
        <f t="shared" si="3204"/>
        <v>71.819999999999993</v>
      </c>
      <c r="Q606" s="51">
        <f t="shared" si="3204"/>
        <v>52.44</v>
      </c>
      <c r="R606" s="51">
        <f t="shared" si="3204"/>
        <v>31.567499999999999</v>
      </c>
      <c r="S606" s="62">
        <f t="shared" ref="S606:T606" si="3205">(B605+B606)/2</f>
        <v>121.27000000000001</v>
      </c>
      <c r="T606" s="62">
        <f t="shared" si="3205"/>
        <v>86.84</v>
      </c>
      <c r="U606" s="62">
        <f t="shared" si="2884"/>
        <v>70.944999999999993</v>
      </c>
      <c r="V606" s="62">
        <f t="shared" ref="V606:W606" si="3206">(E605+E606)/2</f>
        <v>52.674999999999997</v>
      </c>
      <c r="W606" s="62">
        <f t="shared" si="3206"/>
        <v>31.450000000000003</v>
      </c>
      <c r="X606" s="62">
        <f t="shared" ref="X606:AB606" si="3207">(SUM(B603:B606))/4</f>
        <v>122.4325</v>
      </c>
      <c r="Y606" s="62">
        <f t="shared" si="3207"/>
        <v>86.997500000000002</v>
      </c>
      <c r="Z606" s="62">
        <f t="shared" si="3207"/>
        <v>69.245000000000005</v>
      </c>
      <c r="AA606" s="62">
        <f t="shared" si="3207"/>
        <v>52.085000000000001</v>
      </c>
      <c r="AB606" s="62">
        <f t="shared" si="3207"/>
        <v>31.505000000000003</v>
      </c>
      <c r="AC606" s="51">
        <f t="shared" ref="AC606:AF606" si="3208">(B606+C606)/2</f>
        <v>103.45500000000001</v>
      </c>
      <c r="AD606" s="51">
        <f t="shared" si="3208"/>
        <v>79.510000000000005</v>
      </c>
      <c r="AE606" s="51">
        <f t="shared" si="3208"/>
        <v>62.185000000000002</v>
      </c>
      <c r="AF606" s="51">
        <f t="shared" si="3208"/>
        <v>42.09</v>
      </c>
      <c r="AG606" s="7"/>
      <c r="AH606" s="7"/>
      <c r="AI606" s="7"/>
      <c r="AJ606" s="7"/>
      <c r="AK606" s="51">
        <f t="shared" si="2093"/>
        <v>36.712499999999999</v>
      </c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8"/>
      <c r="BK606" s="8"/>
      <c r="BL606" s="8"/>
      <c r="BM606" s="8"/>
    </row>
    <row r="607" spans="1:65" ht="30" hidden="1" customHeight="1" x14ac:dyDescent="0.45">
      <c r="A607" s="53">
        <f t="shared" si="3178"/>
        <v>45128</v>
      </c>
      <c r="B607" s="56">
        <v>118.55</v>
      </c>
      <c r="C607" s="56">
        <v>87.03</v>
      </c>
      <c r="D607" s="56">
        <v>72.7</v>
      </c>
      <c r="E607" s="56">
        <v>52.53</v>
      </c>
      <c r="F607" s="56">
        <v>31.99</v>
      </c>
      <c r="G607" s="56">
        <v>130.97999999999999</v>
      </c>
      <c r="H607" s="51">
        <f t="shared" ref="H607:M607" si="3209">B607-B606</f>
        <v>-1.2400000000000091</v>
      </c>
      <c r="I607" s="51">
        <f t="shared" si="3209"/>
        <v>-9.0000000000003411E-2</v>
      </c>
      <c r="J607" s="51">
        <f t="shared" si="3209"/>
        <v>0.79999999999999716</v>
      </c>
      <c r="K607" s="51">
        <f t="shared" si="3209"/>
        <v>6.0000000000002274E-2</v>
      </c>
      <c r="L607" s="51">
        <f t="shared" si="3209"/>
        <v>0.27999999999999758</v>
      </c>
      <c r="M607" s="42">
        <f t="shared" si="3209"/>
        <v>3.6499999999999915</v>
      </c>
      <c r="N607" s="51">
        <f t="shared" ref="N607:R607" si="3210">N606</f>
        <v>119.6225</v>
      </c>
      <c r="O607" s="51">
        <f t="shared" si="3210"/>
        <v>86.877500000000012</v>
      </c>
      <c r="P607" s="51">
        <f t="shared" si="3210"/>
        <v>71.819999999999993</v>
      </c>
      <c r="Q607" s="51">
        <f t="shared" si="3210"/>
        <v>52.44</v>
      </c>
      <c r="R607" s="51">
        <f t="shared" si="3210"/>
        <v>31.567499999999999</v>
      </c>
      <c r="S607" s="62">
        <f t="shared" ref="S607:T607" si="3211">(B606+B607)/2</f>
        <v>119.17</v>
      </c>
      <c r="T607" s="62">
        <f t="shared" si="3211"/>
        <v>87.075000000000003</v>
      </c>
      <c r="U607" s="62">
        <f t="shared" si="2884"/>
        <v>72.300000000000011</v>
      </c>
      <c r="V607" s="62">
        <f t="shared" ref="V607:W607" si="3212">(E606+E607)/2</f>
        <v>52.5</v>
      </c>
      <c r="W607" s="62">
        <f t="shared" si="3212"/>
        <v>31.85</v>
      </c>
      <c r="X607" s="62">
        <f t="shared" ref="X607:AB607" si="3213">(SUM(B604:B607))/4</f>
        <v>121.06500000000001</v>
      </c>
      <c r="Y607" s="62">
        <f t="shared" si="3213"/>
        <v>86.827499999999986</v>
      </c>
      <c r="Z607" s="62">
        <f t="shared" si="3213"/>
        <v>70.502499999999998</v>
      </c>
      <c r="AA607" s="62">
        <f t="shared" si="3213"/>
        <v>52.300000000000004</v>
      </c>
      <c r="AB607" s="62">
        <f t="shared" si="3213"/>
        <v>31.442499999999999</v>
      </c>
      <c r="AC607" s="51">
        <f t="shared" ref="AC607:AF607" si="3214">(B607+C607)/2</f>
        <v>102.78999999999999</v>
      </c>
      <c r="AD607" s="51">
        <f t="shared" si="3214"/>
        <v>79.865000000000009</v>
      </c>
      <c r="AE607" s="51">
        <f t="shared" si="3214"/>
        <v>62.615000000000002</v>
      </c>
      <c r="AF607" s="51">
        <f t="shared" si="3214"/>
        <v>42.26</v>
      </c>
      <c r="AG607" s="7"/>
      <c r="AH607" s="7"/>
      <c r="AI607" s="7"/>
      <c r="AJ607" s="7"/>
      <c r="AK607" s="51">
        <f t="shared" si="2093"/>
        <v>36.824999999999996</v>
      </c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8"/>
      <c r="BK607" s="8"/>
      <c r="BL607" s="8"/>
      <c r="BM607" s="8"/>
    </row>
    <row r="608" spans="1:65" ht="30" hidden="1" customHeight="1" x14ac:dyDescent="0.45">
      <c r="A608" s="53">
        <f t="shared" si="3178"/>
        <v>45135</v>
      </c>
      <c r="B608" s="56">
        <v>117.4</v>
      </c>
      <c r="C608" s="56">
        <v>86.8</v>
      </c>
      <c r="D608" s="56">
        <v>72.69</v>
      </c>
      <c r="E608" s="56">
        <v>51.88</v>
      </c>
      <c r="F608" s="56">
        <v>31.38</v>
      </c>
      <c r="G608" s="56">
        <v>140.33000000000001</v>
      </c>
      <c r="H608" s="51">
        <f t="shared" ref="H608:M608" si="3215">B608-B607</f>
        <v>-1.1499999999999915</v>
      </c>
      <c r="I608" s="51">
        <f t="shared" si="3215"/>
        <v>-0.23000000000000398</v>
      </c>
      <c r="J608" s="51">
        <f t="shared" si="3215"/>
        <v>-1.0000000000005116E-2</v>
      </c>
      <c r="K608" s="51">
        <f t="shared" si="3215"/>
        <v>-0.64999999999999858</v>
      </c>
      <c r="L608" s="51">
        <f t="shared" si="3215"/>
        <v>-0.60999999999999943</v>
      </c>
      <c r="M608" s="42">
        <f t="shared" si="3215"/>
        <v>9.3500000000000227</v>
      </c>
      <c r="N608" s="51">
        <f t="shared" ref="N608:R608" si="3216">N607</f>
        <v>119.6225</v>
      </c>
      <c r="O608" s="51">
        <f t="shared" si="3216"/>
        <v>86.877500000000012</v>
      </c>
      <c r="P608" s="51">
        <f t="shared" si="3216"/>
        <v>71.819999999999993</v>
      </c>
      <c r="Q608" s="51">
        <f t="shared" si="3216"/>
        <v>52.44</v>
      </c>
      <c r="R608" s="51">
        <f t="shared" si="3216"/>
        <v>31.567499999999999</v>
      </c>
      <c r="S608" s="62">
        <f t="shared" ref="S608:T608" si="3217">(B607+B608)/2</f>
        <v>117.97499999999999</v>
      </c>
      <c r="T608" s="62">
        <f t="shared" si="3217"/>
        <v>86.914999999999992</v>
      </c>
      <c r="U608" s="62">
        <f t="shared" si="2884"/>
        <v>72.694999999999993</v>
      </c>
      <c r="V608" s="62">
        <f t="shared" ref="V608:W608" si="3218">(E607+E608)/2</f>
        <v>52.204999999999998</v>
      </c>
      <c r="W608" s="62">
        <f t="shared" si="3218"/>
        <v>31.684999999999999</v>
      </c>
      <c r="X608" s="62">
        <f t="shared" ref="X608:AB608" si="3219">(SUM(B605:B608))/4</f>
        <v>119.6225</v>
      </c>
      <c r="Y608" s="62">
        <f t="shared" si="3219"/>
        <v>86.877500000000012</v>
      </c>
      <c r="Z608" s="62">
        <f t="shared" si="3219"/>
        <v>71.819999999999993</v>
      </c>
      <c r="AA608" s="62">
        <f t="shared" si="3219"/>
        <v>52.44</v>
      </c>
      <c r="AB608" s="62">
        <f t="shared" si="3219"/>
        <v>31.567499999999999</v>
      </c>
      <c r="AC608" s="51">
        <f t="shared" ref="AC608:AF608" si="3220">(B608+C608)/2</f>
        <v>102.1</v>
      </c>
      <c r="AD608" s="51">
        <f t="shared" si="3220"/>
        <v>79.745000000000005</v>
      </c>
      <c r="AE608" s="51">
        <f t="shared" si="3220"/>
        <v>62.284999999999997</v>
      </c>
      <c r="AF608" s="51">
        <f t="shared" si="3220"/>
        <v>41.63</v>
      </c>
      <c r="AG608" s="7"/>
      <c r="AH608" s="7"/>
      <c r="AI608" s="7"/>
      <c r="AJ608" s="7"/>
      <c r="AK608" s="51">
        <f t="shared" si="2093"/>
        <v>36.594999999999999</v>
      </c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8"/>
      <c r="BK608" s="8"/>
      <c r="BL608" s="8"/>
      <c r="BM608" s="8"/>
    </row>
    <row r="609" spans="1:65" ht="30" hidden="1" customHeight="1" x14ac:dyDescent="0.45">
      <c r="A609" s="53">
        <f t="shared" si="3178"/>
        <v>45142</v>
      </c>
      <c r="B609" s="56">
        <v>114.96</v>
      </c>
      <c r="C609" s="56">
        <v>86.09</v>
      </c>
      <c r="D609" s="56">
        <v>71.430000000000007</v>
      </c>
      <c r="E609" s="56">
        <v>51.53</v>
      </c>
      <c r="F609" s="56">
        <v>31.68</v>
      </c>
      <c r="G609" s="56">
        <v>139.06</v>
      </c>
      <c r="H609" s="51">
        <f t="shared" ref="H609:M609" si="3221">B609-B608</f>
        <v>-2.4400000000000119</v>
      </c>
      <c r="I609" s="51">
        <f t="shared" si="3221"/>
        <v>-0.70999999999999375</v>
      </c>
      <c r="J609" s="51">
        <f t="shared" si="3221"/>
        <v>-1.2599999999999909</v>
      </c>
      <c r="K609" s="51">
        <f t="shared" si="3221"/>
        <v>-0.35000000000000142</v>
      </c>
      <c r="L609" s="51">
        <f t="shared" si="3221"/>
        <v>0.30000000000000071</v>
      </c>
      <c r="M609" s="42">
        <f t="shared" si="3221"/>
        <v>-1.2700000000000102</v>
      </c>
      <c r="N609" s="51">
        <f t="shared" ref="N609:R609" si="3222">AVERAGE(B609:B613)</f>
        <v>114.33599999999998</v>
      </c>
      <c r="O609" s="51">
        <f t="shared" si="3222"/>
        <v>86.383999999999986</v>
      </c>
      <c r="P609" s="51">
        <f t="shared" si="3222"/>
        <v>70.715999999999994</v>
      </c>
      <c r="Q609" s="51">
        <f t="shared" si="3222"/>
        <v>50.809999999999995</v>
      </c>
      <c r="R609" s="51">
        <f t="shared" si="3222"/>
        <v>31.165999999999997</v>
      </c>
      <c r="S609" s="62">
        <f t="shared" ref="S609:T609" si="3223">(B608+B609)/2</f>
        <v>116.18</v>
      </c>
      <c r="T609" s="62">
        <f t="shared" si="3223"/>
        <v>86.444999999999993</v>
      </c>
      <c r="U609" s="62">
        <f t="shared" si="2884"/>
        <v>72.06</v>
      </c>
      <c r="V609" s="62">
        <f t="shared" ref="V609:W609" si="3224">(E608+E609)/2</f>
        <v>51.704999999999998</v>
      </c>
      <c r="W609" s="62">
        <f t="shared" si="3224"/>
        <v>31.53</v>
      </c>
      <c r="X609" s="62">
        <f t="shared" ref="X609:AB609" si="3225">(SUM(B606:B609))/4</f>
        <v>117.675</v>
      </c>
      <c r="Y609" s="62">
        <f t="shared" si="3225"/>
        <v>86.759999999999991</v>
      </c>
      <c r="Z609" s="62">
        <f t="shared" si="3225"/>
        <v>72.180000000000007</v>
      </c>
      <c r="AA609" s="62">
        <f t="shared" si="3225"/>
        <v>52.102499999999999</v>
      </c>
      <c r="AB609" s="62">
        <f t="shared" si="3225"/>
        <v>31.689999999999998</v>
      </c>
      <c r="AC609" s="51">
        <f t="shared" ref="AC609:AF609" si="3226">(B609+C609)/2</f>
        <v>100.52500000000001</v>
      </c>
      <c r="AD609" s="51">
        <f t="shared" si="3226"/>
        <v>78.760000000000005</v>
      </c>
      <c r="AE609" s="51">
        <f t="shared" si="3226"/>
        <v>61.480000000000004</v>
      </c>
      <c r="AF609" s="51">
        <f t="shared" si="3226"/>
        <v>41.605000000000004</v>
      </c>
      <c r="AG609" s="7"/>
      <c r="AH609" s="7"/>
      <c r="AI609" s="7"/>
      <c r="AJ609" s="7"/>
      <c r="AK609" s="51">
        <f t="shared" si="2093"/>
        <v>36.267499999999998</v>
      </c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8"/>
      <c r="BK609" s="8"/>
      <c r="BL609" s="8"/>
      <c r="BM609" s="8"/>
    </row>
    <row r="610" spans="1:65" ht="30" hidden="1" customHeight="1" x14ac:dyDescent="0.45">
      <c r="A610" s="53">
        <f t="shared" si="3178"/>
        <v>45149</v>
      </c>
      <c r="B610" s="56">
        <v>114.89</v>
      </c>
      <c r="C610" s="56">
        <v>87.02</v>
      </c>
      <c r="D610" s="56">
        <v>71.53</v>
      </c>
      <c r="E610" s="56">
        <v>51.09</v>
      </c>
      <c r="F610" s="56">
        <v>31.23</v>
      </c>
      <c r="G610" s="56">
        <v>145.77000000000001</v>
      </c>
      <c r="H610" s="51">
        <f t="shared" ref="H610:M610" si="3227">B610-B609</f>
        <v>-6.9999999999993179E-2</v>
      </c>
      <c r="I610" s="51">
        <f t="shared" si="3227"/>
        <v>0.92999999999999261</v>
      </c>
      <c r="J610" s="51">
        <f t="shared" si="3227"/>
        <v>9.9999999999994316E-2</v>
      </c>
      <c r="K610" s="51">
        <f t="shared" si="3227"/>
        <v>-0.43999999999999773</v>
      </c>
      <c r="L610" s="51">
        <f t="shared" si="3227"/>
        <v>-0.44999999999999929</v>
      </c>
      <c r="M610" s="42">
        <f t="shared" si="3227"/>
        <v>6.710000000000008</v>
      </c>
      <c r="N610" s="51">
        <f t="shared" ref="N610:R610" si="3228">N609</f>
        <v>114.33599999999998</v>
      </c>
      <c r="O610" s="51">
        <f t="shared" si="3228"/>
        <v>86.383999999999986</v>
      </c>
      <c r="P610" s="51">
        <f t="shared" si="3228"/>
        <v>70.715999999999994</v>
      </c>
      <c r="Q610" s="51">
        <f t="shared" si="3228"/>
        <v>50.809999999999995</v>
      </c>
      <c r="R610" s="51">
        <f t="shared" si="3228"/>
        <v>31.165999999999997</v>
      </c>
      <c r="S610" s="62">
        <f t="shared" ref="S610:T610" si="3229">(B609+B610)/2</f>
        <v>114.925</v>
      </c>
      <c r="T610" s="62">
        <f t="shared" si="3229"/>
        <v>86.555000000000007</v>
      </c>
      <c r="U610" s="62">
        <f t="shared" si="2884"/>
        <v>71.48</v>
      </c>
      <c r="V610" s="62">
        <f t="shared" ref="V610:W610" si="3230">(E609+E610)/2</f>
        <v>51.31</v>
      </c>
      <c r="W610" s="62">
        <f t="shared" si="3230"/>
        <v>31.454999999999998</v>
      </c>
      <c r="X610" s="62">
        <f t="shared" ref="X610:AB610" si="3231">(SUM(B607:B610))/4</f>
        <v>116.44999999999999</v>
      </c>
      <c r="Y610" s="62">
        <f t="shared" si="3231"/>
        <v>86.734999999999985</v>
      </c>
      <c r="Z610" s="62">
        <f t="shared" si="3231"/>
        <v>72.087500000000006</v>
      </c>
      <c r="AA610" s="62">
        <f t="shared" si="3231"/>
        <v>51.7575</v>
      </c>
      <c r="AB610" s="62">
        <f t="shared" si="3231"/>
        <v>31.57</v>
      </c>
      <c r="AC610" s="51">
        <f t="shared" ref="AC610:AF610" si="3232">(B610+C610)/2</f>
        <v>100.955</v>
      </c>
      <c r="AD610" s="51">
        <f t="shared" si="3232"/>
        <v>79.275000000000006</v>
      </c>
      <c r="AE610" s="51">
        <f t="shared" si="3232"/>
        <v>61.31</v>
      </c>
      <c r="AF610" s="51">
        <f t="shared" si="3232"/>
        <v>41.160000000000004</v>
      </c>
      <c r="AG610" s="7"/>
      <c r="AH610" s="7"/>
      <c r="AI610" s="7"/>
      <c r="AJ610" s="7"/>
      <c r="AK610" s="51">
        <f t="shared" si="2093"/>
        <v>36.032499999999999</v>
      </c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8"/>
      <c r="BK610" s="8"/>
      <c r="BL610" s="8"/>
      <c r="BM610" s="8"/>
    </row>
    <row r="611" spans="1:65" ht="30" hidden="1" customHeight="1" x14ac:dyDescent="0.45">
      <c r="A611" s="53">
        <f t="shared" si="3178"/>
        <v>45156</v>
      </c>
      <c r="B611" s="56">
        <v>114.61</v>
      </c>
      <c r="C611" s="56">
        <v>86.53</v>
      </c>
      <c r="D611" s="56">
        <v>70.08</v>
      </c>
      <c r="E611" s="56">
        <v>50.39</v>
      </c>
      <c r="F611" s="56">
        <v>30.98</v>
      </c>
      <c r="G611" s="56">
        <v>154.71</v>
      </c>
      <c r="H611" s="51">
        <f t="shared" ref="H611:M611" si="3233">B611-B610</f>
        <v>-0.28000000000000114</v>
      </c>
      <c r="I611" s="51">
        <f t="shared" si="3233"/>
        <v>-0.48999999999999488</v>
      </c>
      <c r="J611" s="51">
        <f t="shared" si="3233"/>
        <v>-1.4500000000000028</v>
      </c>
      <c r="K611" s="51">
        <f t="shared" si="3233"/>
        <v>-0.70000000000000284</v>
      </c>
      <c r="L611" s="51">
        <f t="shared" si="3233"/>
        <v>-0.25</v>
      </c>
      <c r="M611" s="42">
        <f t="shared" si="3233"/>
        <v>8.9399999999999977</v>
      </c>
      <c r="N611" s="51">
        <f t="shared" ref="N611:R611" si="3234">N610</f>
        <v>114.33599999999998</v>
      </c>
      <c r="O611" s="51">
        <f t="shared" si="3234"/>
        <v>86.383999999999986</v>
      </c>
      <c r="P611" s="51">
        <f t="shared" si="3234"/>
        <v>70.715999999999994</v>
      </c>
      <c r="Q611" s="51">
        <f t="shared" si="3234"/>
        <v>50.809999999999995</v>
      </c>
      <c r="R611" s="51">
        <f t="shared" si="3234"/>
        <v>31.165999999999997</v>
      </c>
      <c r="S611" s="62">
        <f t="shared" ref="S611:T611" si="3235">(B610+B611)/2</f>
        <v>114.75</v>
      </c>
      <c r="T611" s="62">
        <f t="shared" si="3235"/>
        <v>86.775000000000006</v>
      </c>
      <c r="U611" s="62">
        <f t="shared" si="2884"/>
        <v>70.805000000000007</v>
      </c>
      <c r="V611" s="62">
        <f t="shared" ref="V611:W611" si="3236">(E610+E611)/2</f>
        <v>50.74</v>
      </c>
      <c r="W611" s="62">
        <f t="shared" si="3236"/>
        <v>31.105</v>
      </c>
      <c r="X611" s="62">
        <f t="shared" ref="X611:AB611" si="3237">(SUM(B608:B611))/4</f>
        <v>115.465</v>
      </c>
      <c r="Y611" s="62">
        <f t="shared" si="3237"/>
        <v>86.609999999999985</v>
      </c>
      <c r="Z611" s="62">
        <f t="shared" si="3237"/>
        <v>71.432500000000005</v>
      </c>
      <c r="AA611" s="62">
        <f t="shared" si="3237"/>
        <v>51.222499999999997</v>
      </c>
      <c r="AB611" s="62">
        <f t="shared" si="3237"/>
        <v>31.317500000000003</v>
      </c>
      <c r="AC611" s="51">
        <f t="shared" ref="AC611:AF611" si="3238">(B611+C611)/2</f>
        <v>100.57</v>
      </c>
      <c r="AD611" s="51">
        <f t="shared" si="3238"/>
        <v>78.305000000000007</v>
      </c>
      <c r="AE611" s="51">
        <f t="shared" si="3238"/>
        <v>60.234999999999999</v>
      </c>
      <c r="AF611" s="51">
        <f t="shared" si="3238"/>
        <v>40.685000000000002</v>
      </c>
      <c r="AG611" s="7"/>
      <c r="AH611" s="7"/>
      <c r="AI611" s="7"/>
      <c r="AJ611" s="7"/>
      <c r="AK611" s="51">
        <f t="shared" si="2093"/>
        <v>35.572499999999998</v>
      </c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8"/>
      <c r="BK611" s="8"/>
      <c r="BL611" s="8"/>
      <c r="BM611" s="8"/>
    </row>
    <row r="612" spans="1:65" ht="30" hidden="1" customHeight="1" x14ac:dyDescent="0.45">
      <c r="A612" s="53">
        <f t="shared" si="3178"/>
        <v>45163</v>
      </c>
      <c r="B612" s="56">
        <v>113.8</v>
      </c>
      <c r="C612" s="56">
        <v>86.03</v>
      </c>
      <c r="D612" s="56">
        <v>70.02</v>
      </c>
      <c r="E612" s="56">
        <v>50.38</v>
      </c>
      <c r="F612" s="56">
        <v>30.65</v>
      </c>
      <c r="G612" s="56">
        <v>158.11000000000001</v>
      </c>
      <c r="H612" s="51">
        <f t="shared" ref="H612:M612" si="3239">B612-B611</f>
        <v>-0.81000000000000227</v>
      </c>
      <c r="I612" s="51">
        <f t="shared" si="3239"/>
        <v>-0.5</v>
      </c>
      <c r="J612" s="51">
        <f t="shared" si="3239"/>
        <v>-6.0000000000002274E-2</v>
      </c>
      <c r="K612" s="51">
        <f t="shared" si="3239"/>
        <v>-9.9999999999980105E-3</v>
      </c>
      <c r="L612" s="51">
        <f t="shared" si="3239"/>
        <v>-0.33000000000000185</v>
      </c>
      <c r="M612" s="42">
        <f t="shared" si="3239"/>
        <v>3.4000000000000057</v>
      </c>
      <c r="N612" s="51">
        <f t="shared" ref="N612:R612" si="3240">N611</f>
        <v>114.33599999999998</v>
      </c>
      <c r="O612" s="51">
        <f t="shared" si="3240"/>
        <v>86.383999999999986</v>
      </c>
      <c r="P612" s="51">
        <f t="shared" si="3240"/>
        <v>70.715999999999994</v>
      </c>
      <c r="Q612" s="51">
        <f t="shared" si="3240"/>
        <v>50.809999999999995</v>
      </c>
      <c r="R612" s="51">
        <f t="shared" si="3240"/>
        <v>31.165999999999997</v>
      </c>
      <c r="S612" s="62">
        <f t="shared" ref="S612:T612" si="3241">(B611+B612)/2</f>
        <v>114.205</v>
      </c>
      <c r="T612" s="62">
        <f t="shared" si="3241"/>
        <v>86.28</v>
      </c>
      <c r="U612" s="62">
        <f t="shared" si="2884"/>
        <v>70.05</v>
      </c>
      <c r="V612" s="62">
        <f t="shared" ref="V612:W612" si="3242">(E611+E612)/2</f>
        <v>50.385000000000005</v>
      </c>
      <c r="W612" s="62">
        <f t="shared" si="3242"/>
        <v>30.814999999999998</v>
      </c>
      <c r="X612" s="62">
        <f t="shared" ref="X612:AB612" si="3243">(SUM(B609:B612))/4</f>
        <v>114.565</v>
      </c>
      <c r="Y612" s="62">
        <f t="shared" si="3243"/>
        <v>86.41749999999999</v>
      </c>
      <c r="Z612" s="62">
        <f t="shared" si="3243"/>
        <v>70.765000000000001</v>
      </c>
      <c r="AA612" s="62">
        <f t="shared" si="3243"/>
        <v>50.847499999999997</v>
      </c>
      <c r="AB612" s="62">
        <f t="shared" si="3243"/>
        <v>31.134999999999998</v>
      </c>
      <c r="AC612" s="51">
        <f t="shared" ref="AC612:AF612" si="3244">(B612+C612)/2</f>
        <v>99.914999999999992</v>
      </c>
      <c r="AD612" s="51">
        <f t="shared" si="3244"/>
        <v>78.025000000000006</v>
      </c>
      <c r="AE612" s="51">
        <f t="shared" si="3244"/>
        <v>60.2</v>
      </c>
      <c r="AF612" s="51">
        <f t="shared" si="3244"/>
        <v>40.515000000000001</v>
      </c>
      <c r="AG612" s="7"/>
      <c r="AH612" s="7"/>
      <c r="AI612" s="7"/>
      <c r="AJ612" s="7"/>
      <c r="AK612" s="51">
        <f t="shared" si="2093"/>
        <v>35.25</v>
      </c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8"/>
      <c r="BK612" s="8"/>
      <c r="BL612" s="8"/>
      <c r="BM612" s="8"/>
    </row>
    <row r="613" spans="1:65" ht="30" hidden="1" customHeight="1" x14ac:dyDescent="0.45">
      <c r="A613" s="53">
        <v>45169</v>
      </c>
      <c r="B613" s="56">
        <v>113.42</v>
      </c>
      <c r="C613" s="56">
        <v>86.25</v>
      </c>
      <c r="D613" s="56">
        <v>70.52</v>
      </c>
      <c r="E613" s="56">
        <v>50.66</v>
      </c>
      <c r="F613" s="56">
        <v>31.29</v>
      </c>
      <c r="G613" s="56">
        <v>156.18</v>
      </c>
      <c r="H613" s="51">
        <f t="shared" ref="H613:M613" si="3245">B613-B612</f>
        <v>-0.37999999999999545</v>
      </c>
      <c r="I613" s="51">
        <f t="shared" si="3245"/>
        <v>0.21999999999999886</v>
      </c>
      <c r="J613" s="51">
        <f t="shared" si="3245"/>
        <v>0.5</v>
      </c>
      <c r="K613" s="51">
        <f t="shared" si="3245"/>
        <v>0.27999999999999403</v>
      </c>
      <c r="L613" s="51">
        <f t="shared" si="3245"/>
        <v>0.64000000000000057</v>
      </c>
      <c r="M613" s="42">
        <f t="shared" si="3245"/>
        <v>-1.9300000000000068</v>
      </c>
      <c r="N613" s="51">
        <f t="shared" ref="N613:R613" si="3246">N612</f>
        <v>114.33599999999998</v>
      </c>
      <c r="O613" s="51">
        <f t="shared" si="3246"/>
        <v>86.383999999999986</v>
      </c>
      <c r="P613" s="51">
        <f t="shared" si="3246"/>
        <v>70.715999999999994</v>
      </c>
      <c r="Q613" s="51">
        <f t="shared" si="3246"/>
        <v>50.809999999999995</v>
      </c>
      <c r="R613" s="51">
        <f t="shared" si="3246"/>
        <v>31.165999999999997</v>
      </c>
      <c r="S613" s="62">
        <f t="shared" ref="S613:T613" si="3247">(B612+B613)/2</f>
        <v>113.61</v>
      </c>
      <c r="T613" s="62">
        <f t="shared" si="3247"/>
        <v>86.14</v>
      </c>
      <c r="U613" s="62">
        <f t="shared" si="2884"/>
        <v>70.27</v>
      </c>
      <c r="V613" s="62">
        <f t="shared" ref="V613:W613" si="3248">(E612+E613)/2</f>
        <v>50.519999999999996</v>
      </c>
      <c r="W613" s="62">
        <f t="shared" si="3248"/>
        <v>30.97</v>
      </c>
      <c r="X613" s="62">
        <f t="shared" ref="X613:AB613" si="3249">(SUM(B610:B613))/4</f>
        <v>114.18</v>
      </c>
      <c r="Y613" s="62">
        <f t="shared" si="3249"/>
        <v>86.45750000000001</v>
      </c>
      <c r="Z613" s="62">
        <f t="shared" si="3249"/>
        <v>70.537499999999994</v>
      </c>
      <c r="AA613" s="62">
        <f t="shared" si="3249"/>
        <v>50.63</v>
      </c>
      <c r="AB613" s="62">
        <f t="shared" si="3249"/>
        <v>31.037500000000001</v>
      </c>
      <c r="AC613" s="51">
        <f t="shared" ref="AC613:AF613" si="3250">(B613+C613)/2</f>
        <v>99.835000000000008</v>
      </c>
      <c r="AD613" s="51">
        <f t="shared" si="3250"/>
        <v>78.384999999999991</v>
      </c>
      <c r="AE613" s="51">
        <f t="shared" si="3250"/>
        <v>60.589999999999996</v>
      </c>
      <c r="AF613" s="51">
        <f t="shared" si="3250"/>
        <v>40.974999999999994</v>
      </c>
      <c r="AG613" s="7"/>
      <c r="AH613" s="7"/>
      <c r="AI613" s="7"/>
      <c r="AJ613" s="7"/>
      <c r="AK613" s="51">
        <f t="shared" si="2093"/>
        <v>35.394999999999996</v>
      </c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8"/>
      <c r="BK613" s="8"/>
      <c r="BL613" s="8"/>
      <c r="BM613" s="8"/>
    </row>
    <row r="614" spans="1:65" ht="30" hidden="1" customHeight="1" x14ac:dyDescent="0.45">
      <c r="A614" s="53">
        <v>45177</v>
      </c>
      <c r="B614" s="56">
        <v>113.59</v>
      </c>
      <c r="C614" s="56">
        <v>87.31</v>
      </c>
      <c r="D614" s="56">
        <v>71.37</v>
      </c>
      <c r="E614" s="56">
        <v>51.03</v>
      </c>
      <c r="F614" s="56">
        <v>31.44</v>
      </c>
      <c r="G614" s="56">
        <v>159.55000000000001</v>
      </c>
      <c r="H614" s="51">
        <f t="shared" ref="H614:M614" si="3251">B614-B613</f>
        <v>0.17000000000000171</v>
      </c>
      <c r="I614" s="51">
        <f t="shared" si="3251"/>
        <v>1.0600000000000023</v>
      </c>
      <c r="J614" s="51">
        <f t="shared" si="3251"/>
        <v>0.85000000000000853</v>
      </c>
      <c r="K614" s="51">
        <f t="shared" si="3251"/>
        <v>0.37000000000000455</v>
      </c>
      <c r="L614" s="51">
        <f t="shared" si="3251"/>
        <v>0.15000000000000213</v>
      </c>
      <c r="M614" s="42">
        <f t="shared" si="3251"/>
        <v>3.3700000000000045</v>
      </c>
      <c r="N614" s="51">
        <f t="shared" ref="N614:R614" si="3252">AVERAGE(B614:B617)</f>
        <v>117.2675</v>
      </c>
      <c r="O614" s="51">
        <f t="shared" si="3252"/>
        <v>89.06750000000001</v>
      </c>
      <c r="P614" s="51">
        <f t="shared" si="3252"/>
        <v>74.070000000000007</v>
      </c>
      <c r="Q614" s="51">
        <f t="shared" si="3252"/>
        <v>53.284999999999997</v>
      </c>
      <c r="R614" s="51">
        <f t="shared" si="3252"/>
        <v>32.977499999999999</v>
      </c>
      <c r="S614" s="62">
        <f t="shared" ref="S614:T614" si="3253">(B613+B614)/2</f>
        <v>113.505</v>
      </c>
      <c r="T614" s="62">
        <f t="shared" si="3253"/>
        <v>86.78</v>
      </c>
      <c r="U614" s="62">
        <f t="shared" si="2884"/>
        <v>70.944999999999993</v>
      </c>
      <c r="V614" s="62">
        <f t="shared" ref="V614:W614" si="3254">(E613+E614)/2</f>
        <v>50.844999999999999</v>
      </c>
      <c r="W614" s="62">
        <f t="shared" si="3254"/>
        <v>31.365000000000002</v>
      </c>
      <c r="X614" s="62">
        <f t="shared" ref="X614:AB614" si="3255">(SUM(B611:B614))/4</f>
        <v>113.85499999999999</v>
      </c>
      <c r="Y614" s="62">
        <f t="shared" si="3255"/>
        <v>86.53</v>
      </c>
      <c r="Z614" s="62">
        <f t="shared" si="3255"/>
        <v>70.497500000000002</v>
      </c>
      <c r="AA614" s="62">
        <f t="shared" si="3255"/>
        <v>50.615000000000002</v>
      </c>
      <c r="AB614" s="62">
        <f t="shared" si="3255"/>
        <v>31.089999999999996</v>
      </c>
      <c r="AC614" s="51">
        <f t="shared" ref="AC614:AF614" si="3256">(B614+C614)/2</f>
        <v>100.45</v>
      </c>
      <c r="AD614" s="51">
        <f t="shared" si="3256"/>
        <v>79.34</v>
      </c>
      <c r="AE614" s="51">
        <f t="shared" si="3256"/>
        <v>61.2</v>
      </c>
      <c r="AF614" s="51">
        <f t="shared" si="3256"/>
        <v>41.234999999999999</v>
      </c>
      <c r="AG614" s="7"/>
      <c r="AH614" s="7"/>
      <c r="AI614" s="7"/>
      <c r="AJ614" s="7"/>
      <c r="AK614" s="51">
        <f t="shared" si="2093"/>
        <v>35.755000000000003</v>
      </c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8"/>
      <c r="BK614" s="8"/>
      <c r="BL614" s="8"/>
      <c r="BM614" s="8"/>
    </row>
    <row r="615" spans="1:65" ht="30" hidden="1" customHeight="1" x14ac:dyDescent="0.45">
      <c r="A615" s="63">
        <f t="shared" ref="A615:A661" si="3257">A614+7</f>
        <v>45184</v>
      </c>
      <c r="B615" s="56">
        <v>115.79</v>
      </c>
      <c r="C615" s="56">
        <v>87.79</v>
      </c>
      <c r="D615" s="56">
        <v>72.489999999999995</v>
      </c>
      <c r="E615" s="56">
        <v>52.23</v>
      </c>
      <c r="F615" s="56">
        <v>32.25</v>
      </c>
      <c r="G615" s="56">
        <v>159.79</v>
      </c>
      <c r="H615" s="51">
        <f t="shared" ref="H615:M615" si="3258">B615-B614</f>
        <v>2.2000000000000028</v>
      </c>
      <c r="I615" s="51">
        <f t="shared" si="3258"/>
        <v>0.48000000000000398</v>
      </c>
      <c r="J615" s="51">
        <f t="shared" si="3258"/>
        <v>1.1199999999999903</v>
      </c>
      <c r="K615" s="51">
        <f t="shared" si="3258"/>
        <v>1.1999999999999957</v>
      </c>
      <c r="L615" s="51">
        <f t="shared" si="3258"/>
        <v>0.80999999999999872</v>
      </c>
      <c r="M615" s="42">
        <f t="shared" si="3258"/>
        <v>0.23999999999998067</v>
      </c>
      <c r="N615" s="51">
        <f t="shared" ref="N615:R615" si="3259">N614</f>
        <v>117.2675</v>
      </c>
      <c r="O615" s="51">
        <f t="shared" si="3259"/>
        <v>89.06750000000001</v>
      </c>
      <c r="P615" s="51">
        <f t="shared" si="3259"/>
        <v>74.070000000000007</v>
      </c>
      <c r="Q615" s="51">
        <f t="shared" si="3259"/>
        <v>53.284999999999997</v>
      </c>
      <c r="R615" s="51">
        <f t="shared" si="3259"/>
        <v>32.977499999999999</v>
      </c>
      <c r="S615" s="62">
        <f t="shared" ref="S615:T615" si="3260">(B614+B615)/2</f>
        <v>114.69</v>
      </c>
      <c r="T615" s="62">
        <f t="shared" si="3260"/>
        <v>87.550000000000011</v>
      </c>
      <c r="U615" s="62">
        <f t="shared" si="2884"/>
        <v>71.930000000000007</v>
      </c>
      <c r="V615" s="62">
        <f t="shared" ref="V615:W615" si="3261">(E614+E615)/2</f>
        <v>51.629999999999995</v>
      </c>
      <c r="W615" s="62">
        <f t="shared" si="3261"/>
        <v>31.844999999999999</v>
      </c>
      <c r="X615" s="62">
        <f t="shared" ref="X615:AB615" si="3262">(SUM(B612:B615))/4</f>
        <v>114.15</v>
      </c>
      <c r="Y615" s="62">
        <f t="shared" si="3262"/>
        <v>86.845000000000013</v>
      </c>
      <c r="Z615" s="62">
        <f t="shared" si="3262"/>
        <v>71.099999999999994</v>
      </c>
      <c r="AA615" s="62">
        <f t="shared" si="3262"/>
        <v>51.074999999999996</v>
      </c>
      <c r="AB615" s="62">
        <f t="shared" si="3262"/>
        <v>31.407499999999999</v>
      </c>
      <c r="AC615" s="51">
        <f t="shared" ref="AC615:AF615" si="3263">(B615+C615)/2</f>
        <v>101.79</v>
      </c>
      <c r="AD615" s="51">
        <f t="shared" si="3263"/>
        <v>80.14</v>
      </c>
      <c r="AE615" s="51">
        <f t="shared" si="3263"/>
        <v>62.36</v>
      </c>
      <c r="AF615" s="51">
        <f t="shared" si="3263"/>
        <v>42.239999999999995</v>
      </c>
      <c r="AG615" s="7"/>
      <c r="AH615" s="7"/>
      <c r="AI615" s="7"/>
      <c r="AJ615" s="7"/>
      <c r="AK615" s="51">
        <f t="shared" si="2093"/>
        <v>36.387499999999996</v>
      </c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8"/>
      <c r="BK615" s="8"/>
      <c r="BL615" s="8"/>
      <c r="BM615" s="8"/>
    </row>
    <row r="616" spans="1:65" ht="30" hidden="1" customHeight="1" x14ac:dyDescent="0.45">
      <c r="A616" s="63">
        <f t="shared" si="3257"/>
        <v>45191</v>
      </c>
      <c r="B616" s="56">
        <v>119.17</v>
      </c>
      <c r="C616" s="56">
        <v>89.56</v>
      </c>
      <c r="D616" s="56">
        <v>75.400000000000006</v>
      </c>
      <c r="E616" s="56">
        <v>54.06</v>
      </c>
      <c r="F616" s="56">
        <v>33.369999999999997</v>
      </c>
      <c r="G616" s="56">
        <v>163.21</v>
      </c>
      <c r="H616" s="51">
        <f t="shared" ref="H616:M616" si="3264">B616-B615</f>
        <v>3.3799999999999955</v>
      </c>
      <c r="I616" s="51">
        <f t="shared" si="3264"/>
        <v>1.769999999999996</v>
      </c>
      <c r="J616" s="51">
        <f t="shared" si="3264"/>
        <v>2.9100000000000108</v>
      </c>
      <c r="K616" s="51">
        <f t="shared" si="3264"/>
        <v>1.8300000000000054</v>
      </c>
      <c r="L616" s="51">
        <f t="shared" si="3264"/>
        <v>1.1199999999999974</v>
      </c>
      <c r="M616" s="42">
        <f t="shared" si="3264"/>
        <v>3.4200000000000159</v>
      </c>
      <c r="N616" s="51">
        <f t="shared" ref="N616:R616" si="3265">N615</f>
        <v>117.2675</v>
      </c>
      <c r="O616" s="51">
        <f t="shared" si="3265"/>
        <v>89.06750000000001</v>
      </c>
      <c r="P616" s="51">
        <f t="shared" si="3265"/>
        <v>74.070000000000007</v>
      </c>
      <c r="Q616" s="51">
        <f t="shared" si="3265"/>
        <v>53.284999999999997</v>
      </c>
      <c r="R616" s="51">
        <f t="shared" si="3265"/>
        <v>32.977499999999999</v>
      </c>
      <c r="S616" s="62">
        <f t="shared" ref="S616:T616" si="3266">(B615+B616)/2</f>
        <v>117.48</v>
      </c>
      <c r="T616" s="62">
        <f t="shared" si="3266"/>
        <v>88.675000000000011</v>
      </c>
      <c r="U616" s="62">
        <f t="shared" si="2884"/>
        <v>73.944999999999993</v>
      </c>
      <c r="V616" s="62">
        <f t="shared" ref="V616:W616" si="3267">(E615+E616)/2</f>
        <v>53.144999999999996</v>
      </c>
      <c r="W616" s="62">
        <f t="shared" si="3267"/>
        <v>32.81</v>
      </c>
      <c r="X616" s="62">
        <f t="shared" ref="X616:AB616" si="3268">(SUM(B613:B616))/4</f>
        <v>115.49250000000001</v>
      </c>
      <c r="Y616" s="62">
        <f t="shared" si="3268"/>
        <v>87.727500000000006</v>
      </c>
      <c r="Z616" s="62">
        <f t="shared" si="3268"/>
        <v>72.444999999999993</v>
      </c>
      <c r="AA616" s="62">
        <f t="shared" si="3268"/>
        <v>51.994999999999997</v>
      </c>
      <c r="AB616" s="62">
        <f t="shared" si="3268"/>
        <v>32.087499999999999</v>
      </c>
      <c r="AC616" s="51">
        <f t="shared" ref="AC616:AF616" si="3269">(B616+C616)/2</f>
        <v>104.36500000000001</v>
      </c>
      <c r="AD616" s="51">
        <f t="shared" si="3269"/>
        <v>82.48</v>
      </c>
      <c r="AE616" s="51">
        <f t="shared" si="3269"/>
        <v>64.73</v>
      </c>
      <c r="AF616" s="51">
        <f t="shared" si="3269"/>
        <v>43.715000000000003</v>
      </c>
      <c r="AG616" s="7"/>
      <c r="AH616" s="7"/>
      <c r="AI616" s="7"/>
      <c r="AJ616" s="7"/>
      <c r="AK616" s="51">
        <f t="shared" si="2093"/>
        <v>37.627499999999998</v>
      </c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8"/>
      <c r="BK616" s="8"/>
      <c r="BL616" s="8"/>
      <c r="BM616" s="8"/>
    </row>
    <row r="617" spans="1:65" ht="30" hidden="1" customHeight="1" x14ac:dyDescent="0.45">
      <c r="A617" s="63">
        <f t="shared" si="3257"/>
        <v>45198</v>
      </c>
      <c r="B617" s="56">
        <v>120.52</v>
      </c>
      <c r="C617" s="56">
        <v>91.61</v>
      </c>
      <c r="D617" s="56">
        <v>77.02</v>
      </c>
      <c r="E617" s="56">
        <v>55.82</v>
      </c>
      <c r="F617" s="56">
        <v>34.85</v>
      </c>
      <c r="G617" s="56">
        <v>157.91</v>
      </c>
      <c r="H617" s="51">
        <f t="shared" ref="H617:M617" si="3270">B617-B616</f>
        <v>1.3499999999999943</v>
      </c>
      <c r="I617" s="51">
        <f t="shared" si="3270"/>
        <v>2.0499999999999972</v>
      </c>
      <c r="J617" s="51">
        <f t="shared" si="3270"/>
        <v>1.6199999999999903</v>
      </c>
      <c r="K617" s="51">
        <f t="shared" si="3270"/>
        <v>1.759999999999998</v>
      </c>
      <c r="L617" s="51">
        <f t="shared" si="3270"/>
        <v>1.480000000000004</v>
      </c>
      <c r="M617" s="42">
        <f t="shared" si="3270"/>
        <v>-5.3000000000000114</v>
      </c>
      <c r="N617" s="51">
        <f t="shared" ref="N617:R617" si="3271">N616</f>
        <v>117.2675</v>
      </c>
      <c r="O617" s="51">
        <f t="shared" si="3271"/>
        <v>89.06750000000001</v>
      </c>
      <c r="P617" s="51">
        <f t="shared" si="3271"/>
        <v>74.070000000000007</v>
      </c>
      <c r="Q617" s="51">
        <f t="shared" si="3271"/>
        <v>53.284999999999997</v>
      </c>
      <c r="R617" s="51">
        <f t="shared" si="3271"/>
        <v>32.977499999999999</v>
      </c>
      <c r="S617" s="62">
        <f t="shared" ref="S617:T617" si="3272">(B616+B617)/2</f>
        <v>119.845</v>
      </c>
      <c r="T617" s="62">
        <f t="shared" si="3272"/>
        <v>90.585000000000008</v>
      </c>
      <c r="U617" s="62">
        <f t="shared" si="2884"/>
        <v>76.210000000000008</v>
      </c>
      <c r="V617" s="62">
        <f t="shared" ref="V617:W617" si="3273">(E616+E617)/2</f>
        <v>54.94</v>
      </c>
      <c r="W617" s="62">
        <f t="shared" si="3273"/>
        <v>34.11</v>
      </c>
      <c r="X617" s="62">
        <f t="shared" ref="X617:AB617" si="3274">(SUM(B614:B617))/4</f>
        <v>117.2675</v>
      </c>
      <c r="Y617" s="62">
        <f t="shared" si="3274"/>
        <v>89.06750000000001</v>
      </c>
      <c r="Z617" s="62">
        <f t="shared" si="3274"/>
        <v>74.070000000000007</v>
      </c>
      <c r="AA617" s="62">
        <f t="shared" si="3274"/>
        <v>53.284999999999997</v>
      </c>
      <c r="AB617" s="62">
        <f t="shared" si="3274"/>
        <v>32.977499999999999</v>
      </c>
      <c r="AC617" s="51">
        <f t="shared" ref="AC617:AF617" si="3275">(B617+C617)/2</f>
        <v>106.065</v>
      </c>
      <c r="AD617" s="51">
        <f t="shared" si="3275"/>
        <v>84.314999999999998</v>
      </c>
      <c r="AE617" s="51">
        <f t="shared" si="3275"/>
        <v>66.42</v>
      </c>
      <c r="AF617" s="51">
        <f t="shared" si="3275"/>
        <v>45.335000000000001</v>
      </c>
      <c r="AG617" s="7"/>
      <c r="AH617" s="7"/>
      <c r="AI617" s="7"/>
      <c r="AJ617" s="7"/>
      <c r="AK617" s="51">
        <f t="shared" si="2093"/>
        <v>39.174999999999997</v>
      </c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8"/>
      <c r="BK617" s="8"/>
      <c r="BL617" s="8"/>
      <c r="BM617" s="8"/>
    </row>
    <row r="618" spans="1:65" ht="30" hidden="1" customHeight="1" x14ac:dyDescent="0.45">
      <c r="A618" s="63">
        <f t="shared" si="3257"/>
        <v>45205</v>
      </c>
      <c r="B618" s="56">
        <v>121.23</v>
      </c>
      <c r="C618" s="56">
        <v>93.28</v>
      </c>
      <c r="D618" s="56">
        <v>78.95</v>
      </c>
      <c r="E618" s="56">
        <v>57.64</v>
      </c>
      <c r="F618" s="56">
        <v>36.72</v>
      </c>
      <c r="G618" s="56">
        <v>141.57</v>
      </c>
      <c r="H618" s="51">
        <f t="shared" ref="H618:M618" si="3276">B618-B617</f>
        <v>0.71000000000000796</v>
      </c>
      <c r="I618" s="51">
        <f t="shared" si="3276"/>
        <v>1.6700000000000017</v>
      </c>
      <c r="J618" s="51">
        <f t="shared" si="3276"/>
        <v>1.9300000000000068</v>
      </c>
      <c r="K618" s="51">
        <f t="shared" si="3276"/>
        <v>1.8200000000000003</v>
      </c>
      <c r="L618" s="51">
        <f t="shared" si="3276"/>
        <v>1.8699999999999974</v>
      </c>
      <c r="M618" s="42">
        <f t="shared" si="3276"/>
        <v>-16.340000000000003</v>
      </c>
      <c r="N618" s="51">
        <f t="shared" ref="N618:R618" si="3277">AVERAGE(B618:B621)</f>
        <v>121.7025</v>
      </c>
      <c r="O618" s="51">
        <f t="shared" si="3277"/>
        <v>95.522499999999994</v>
      </c>
      <c r="P618" s="51">
        <f t="shared" si="3277"/>
        <v>80.905000000000001</v>
      </c>
      <c r="Q618" s="51">
        <f t="shared" si="3277"/>
        <v>60.07</v>
      </c>
      <c r="R618" s="51">
        <f t="shared" si="3277"/>
        <v>38.844999999999999</v>
      </c>
      <c r="S618" s="62">
        <f t="shared" ref="S618:T618" si="3278">(B617+B618)/2</f>
        <v>120.875</v>
      </c>
      <c r="T618" s="62">
        <f t="shared" si="3278"/>
        <v>92.444999999999993</v>
      </c>
      <c r="U618" s="62">
        <f t="shared" si="2884"/>
        <v>77.984999999999999</v>
      </c>
      <c r="V618" s="62">
        <f t="shared" ref="V618:W618" si="3279">(E617+E618)/2</f>
        <v>56.730000000000004</v>
      </c>
      <c r="W618" s="62">
        <f t="shared" si="3279"/>
        <v>35.784999999999997</v>
      </c>
      <c r="X618" s="62">
        <f t="shared" ref="X618:AB618" si="3280">(SUM(B615:B618))/4</f>
        <v>119.17750000000001</v>
      </c>
      <c r="Y618" s="62">
        <f t="shared" si="3280"/>
        <v>90.56</v>
      </c>
      <c r="Z618" s="62">
        <f t="shared" si="3280"/>
        <v>75.964999999999989</v>
      </c>
      <c r="AA618" s="62">
        <f t="shared" si="3280"/>
        <v>54.9375</v>
      </c>
      <c r="AB618" s="62">
        <f t="shared" si="3280"/>
        <v>34.297499999999999</v>
      </c>
      <c r="AC618" s="51">
        <f t="shared" ref="AC618:AF618" si="3281">(B618+C618)/2</f>
        <v>107.255</v>
      </c>
      <c r="AD618" s="51">
        <f t="shared" si="3281"/>
        <v>86.115000000000009</v>
      </c>
      <c r="AE618" s="51">
        <f t="shared" si="3281"/>
        <v>68.295000000000002</v>
      </c>
      <c r="AF618" s="51">
        <f t="shared" si="3281"/>
        <v>47.18</v>
      </c>
      <c r="AG618" s="7"/>
      <c r="AH618" s="7"/>
      <c r="AI618" s="7"/>
      <c r="AJ618" s="7"/>
      <c r="AK618" s="51">
        <f t="shared" si="2093"/>
        <v>40.907499999999999</v>
      </c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8"/>
      <c r="BK618" s="8"/>
      <c r="BL618" s="8"/>
      <c r="BM618" s="8"/>
    </row>
    <row r="619" spans="1:65" ht="30" hidden="1" customHeight="1" x14ac:dyDescent="0.45">
      <c r="A619" s="63">
        <f t="shared" si="3257"/>
        <v>45212</v>
      </c>
      <c r="B619" s="56">
        <v>121.83</v>
      </c>
      <c r="C619" s="56">
        <v>95.35</v>
      </c>
      <c r="D619" s="56">
        <v>80.39</v>
      </c>
      <c r="E619" s="56">
        <v>60.25</v>
      </c>
      <c r="F619" s="56">
        <v>38.58</v>
      </c>
      <c r="G619" s="56">
        <v>136.9</v>
      </c>
      <c r="H619" s="51">
        <f t="shared" ref="H619:M619" si="3282">B619-B618</f>
        <v>0.59999999999999432</v>
      </c>
      <c r="I619" s="51">
        <f t="shared" si="3282"/>
        <v>2.0699999999999932</v>
      </c>
      <c r="J619" s="51">
        <f t="shared" si="3282"/>
        <v>1.4399999999999977</v>
      </c>
      <c r="K619" s="51">
        <f t="shared" si="3282"/>
        <v>2.6099999999999994</v>
      </c>
      <c r="L619" s="51">
        <f t="shared" si="3282"/>
        <v>1.8599999999999994</v>
      </c>
      <c r="M619" s="42">
        <f t="shared" si="3282"/>
        <v>-4.6699999999999875</v>
      </c>
      <c r="N619" s="51">
        <f t="shared" ref="N619:R619" si="3283">N618</f>
        <v>121.7025</v>
      </c>
      <c r="O619" s="51">
        <f t="shared" si="3283"/>
        <v>95.522499999999994</v>
      </c>
      <c r="P619" s="51">
        <f t="shared" si="3283"/>
        <v>80.905000000000001</v>
      </c>
      <c r="Q619" s="51">
        <f t="shared" si="3283"/>
        <v>60.07</v>
      </c>
      <c r="R619" s="51">
        <f t="shared" si="3283"/>
        <v>38.844999999999999</v>
      </c>
      <c r="S619" s="62">
        <f t="shared" ref="S619:T619" si="3284">(B618+B619)/2</f>
        <v>121.53</v>
      </c>
      <c r="T619" s="62">
        <f t="shared" si="3284"/>
        <v>94.314999999999998</v>
      </c>
      <c r="U619" s="62">
        <f t="shared" si="2884"/>
        <v>79.67</v>
      </c>
      <c r="V619" s="62">
        <f t="shared" ref="V619:W619" si="3285">(E618+E619)/2</f>
        <v>58.945</v>
      </c>
      <c r="W619" s="62">
        <f t="shared" si="3285"/>
        <v>37.65</v>
      </c>
      <c r="X619" s="62">
        <f t="shared" ref="X619:AB619" si="3286">(SUM(B616:B619))/4</f>
        <v>120.6875</v>
      </c>
      <c r="Y619" s="62">
        <f t="shared" si="3286"/>
        <v>92.450000000000017</v>
      </c>
      <c r="Z619" s="62">
        <f t="shared" si="3286"/>
        <v>77.94</v>
      </c>
      <c r="AA619" s="62">
        <f t="shared" si="3286"/>
        <v>56.942499999999995</v>
      </c>
      <c r="AB619" s="62">
        <f t="shared" si="3286"/>
        <v>35.879999999999995</v>
      </c>
      <c r="AC619" s="51">
        <f t="shared" ref="AC619:AF619" si="3287">(B619+C619)/2</f>
        <v>108.59</v>
      </c>
      <c r="AD619" s="51">
        <f t="shared" si="3287"/>
        <v>87.87</v>
      </c>
      <c r="AE619" s="51">
        <f t="shared" si="3287"/>
        <v>70.319999999999993</v>
      </c>
      <c r="AF619" s="51">
        <f t="shared" si="3287"/>
        <v>49.414999999999999</v>
      </c>
      <c r="AG619" s="7"/>
      <c r="AH619" s="7"/>
      <c r="AI619" s="7"/>
      <c r="AJ619" s="7"/>
      <c r="AK619" s="51">
        <f t="shared" si="2093"/>
        <v>42.947499999999998</v>
      </c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8"/>
      <c r="BK619" s="8"/>
      <c r="BL619" s="8"/>
      <c r="BM619" s="8"/>
    </row>
    <row r="620" spans="1:65" ht="30" hidden="1" customHeight="1" x14ac:dyDescent="0.45">
      <c r="A620" s="63">
        <f t="shared" si="3257"/>
        <v>45219</v>
      </c>
      <c r="B620" s="56">
        <v>122.02</v>
      </c>
      <c r="C620" s="56">
        <v>96.96</v>
      </c>
      <c r="D620" s="56">
        <v>82.64</v>
      </c>
      <c r="E620" s="56">
        <v>61.7</v>
      </c>
      <c r="F620" s="56">
        <v>40.159999999999997</v>
      </c>
      <c r="G620" s="56">
        <v>136.94999999999999</v>
      </c>
      <c r="H620" s="51">
        <f t="shared" ref="H620:M620" si="3288">B620-B619</f>
        <v>0.18999999999999773</v>
      </c>
      <c r="I620" s="51">
        <f t="shared" si="3288"/>
        <v>1.6099999999999994</v>
      </c>
      <c r="J620" s="51">
        <f t="shared" si="3288"/>
        <v>2.25</v>
      </c>
      <c r="K620" s="51">
        <f t="shared" si="3288"/>
        <v>1.4500000000000028</v>
      </c>
      <c r="L620" s="51">
        <f t="shared" si="3288"/>
        <v>1.5799999999999983</v>
      </c>
      <c r="M620" s="42">
        <f t="shared" si="3288"/>
        <v>4.9999999999982947E-2</v>
      </c>
      <c r="N620" s="51">
        <f t="shared" ref="N620:R620" si="3289">N619</f>
        <v>121.7025</v>
      </c>
      <c r="O620" s="51">
        <f t="shared" si="3289"/>
        <v>95.522499999999994</v>
      </c>
      <c r="P620" s="51">
        <f t="shared" si="3289"/>
        <v>80.905000000000001</v>
      </c>
      <c r="Q620" s="51">
        <f t="shared" si="3289"/>
        <v>60.07</v>
      </c>
      <c r="R620" s="51">
        <f t="shared" si="3289"/>
        <v>38.844999999999999</v>
      </c>
      <c r="S620" s="62">
        <f t="shared" ref="S620:T620" si="3290">(B619+B620)/2</f>
        <v>121.925</v>
      </c>
      <c r="T620" s="62">
        <f t="shared" si="3290"/>
        <v>96.155000000000001</v>
      </c>
      <c r="U620" s="62">
        <f t="shared" si="2884"/>
        <v>81.515000000000001</v>
      </c>
      <c r="V620" s="62">
        <f t="shared" ref="V620:W620" si="3291">(E619+E620)/2</f>
        <v>60.975000000000001</v>
      </c>
      <c r="W620" s="62">
        <f t="shared" si="3291"/>
        <v>39.369999999999997</v>
      </c>
      <c r="X620" s="62">
        <f t="shared" ref="X620:AB620" si="3292">(SUM(B617:B620))/4</f>
        <v>121.39999999999999</v>
      </c>
      <c r="Y620" s="62">
        <f t="shared" si="3292"/>
        <v>94.3</v>
      </c>
      <c r="Z620" s="62">
        <f t="shared" si="3292"/>
        <v>79.75</v>
      </c>
      <c r="AA620" s="62">
        <f t="shared" si="3292"/>
        <v>58.852500000000006</v>
      </c>
      <c r="AB620" s="62">
        <f t="shared" si="3292"/>
        <v>37.577500000000001</v>
      </c>
      <c r="AC620" s="51">
        <f t="shared" ref="AC620:AF620" si="3293">(B620+C620)/2</f>
        <v>109.49</v>
      </c>
      <c r="AD620" s="51">
        <f t="shared" si="3293"/>
        <v>89.8</v>
      </c>
      <c r="AE620" s="51">
        <f t="shared" si="3293"/>
        <v>72.17</v>
      </c>
      <c r="AF620" s="51">
        <f t="shared" si="3293"/>
        <v>50.93</v>
      </c>
      <c r="AG620" s="7"/>
      <c r="AH620" s="7"/>
      <c r="AI620" s="7"/>
      <c r="AJ620" s="7"/>
      <c r="AK620" s="51">
        <f t="shared" si="2093"/>
        <v>44.822499999999998</v>
      </c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8"/>
      <c r="BK620" s="8"/>
      <c r="BL620" s="8"/>
      <c r="BM620" s="8"/>
    </row>
    <row r="621" spans="1:65" ht="30" hidden="1" customHeight="1" x14ac:dyDescent="0.45">
      <c r="A621" s="63">
        <f t="shared" si="3257"/>
        <v>45226</v>
      </c>
      <c r="B621" s="56">
        <v>121.73</v>
      </c>
      <c r="C621" s="56">
        <v>96.5</v>
      </c>
      <c r="D621" s="56">
        <v>81.64</v>
      </c>
      <c r="E621" s="56">
        <v>60.69</v>
      </c>
      <c r="F621" s="56">
        <v>39.92</v>
      </c>
      <c r="G621" s="56">
        <v>126.25</v>
      </c>
      <c r="H621" s="51">
        <f t="shared" ref="H621:M621" si="3294">B621-B620</f>
        <v>-0.28999999999999204</v>
      </c>
      <c r="I621" s="51">
        <f t="shared" si="3294"/>
        <v>-0.45999999999999375</v>
      </c>
      <c r="J621" s="51">
        <f t="shared" si="3294"/>
        <v>-1</v>
      </c>
      <c r="K621" s="51">
        <f t="shared" si="3294"/>
        <v>-1.0100000000000051</v>
      </c>
      <c r="L621" s="51">
        <f t="shared" si="3294"/>
        <v>-0.23999999999999488</v>
      </c>
      <c r="M621" s="42">
        <f t="shared" si="3294"/>
        <v>-10.699999999999989</v>
      </c>
      <c r="N621" s="51">
        <f t="shared" ref="N621:R621" si="3295">N620</f>
        <v>121.7025</v>
      </c>
      <c r="O621" s="51">
        <f t="shared" si="3295"/>
        <v>95.522499999999994</v>
      </c>
      <c r="P621" s="51">
        <f t="shared" si="3295"/>
        <v>80.905000000000001</v>
      </c>
      <c r="Q621" s="51">
        <f t="shared" si="3295"/>
        <v>60.07</v>
      </c>
      <c r="R621" s="51">
        <f t="shared" si="3295"/>
        <v>38.844999999999999</v>
      </c>
      <c r="S621" s="62">
        <f t="shared" ref="S621:T621" si="3296">(B620+B621)/2</f>
        <v>121.875</v>
      </c>
      <c r="T621" s="62">
        <f t="shared" si="3296"/>
        <v>96.72999999999999</v>
      </c>
      <c r="U621" s="62">
        <f t="shared" si="2884"/>
        <v>82.14</v>
      </c>
      <c r="V621" s="62">
        <f t="shared" ref="V621:W621" si="3297">(E620+E621)/2</f>
        <v>61.195</v>
      </c>
      <c r="W621" s="62">
        <f t="shared" si="3297"/>
        <v>40.04</v>
      </c>
      <c r="X621" s="62">
        <f t="shared" ref="X621:AB621" si="3298">(SUM(B618:B621))/4</f>
        <v>121.7025</v>
      </c>
      <c r="Y621" s="62">
        <f t="shared" si="3298"/>
        <v>95.522499999999994</v>
      </c>
      <c r="Z621" s="62">
        <f t="shared" si="3298"/>
        <v>80.905000000000001</v>
      </c>
      <c r="AA621" s="62">
        <f t="shared" si="3298"/>
        <v>60.07</v>
      </c>
      <c r="AB621" s="62">
        <f t="shared" si="3298"/>
        <v>38.844999999999999</v>
      </c>
      <c r="AC621" s="51">
        <f t="shared" ref="AC621:AF621" si="3299">(B621+C621)/2</f>
        <v>109.11500000000001</v>
      </c>
      <c r="AD621" s="51">
        <f t="shared" si="3299"/>
        <v>89.07</v>
      </c>
      <c r="AE621" s="51">
        <f t="shared" si="3299"/>
        <v>71.164999999999992</v>
      </c>
      <c r="AF621" s="51">
        <f t="shared" si="3299"/>
        <v>50.305</v>
      </c>
      <c r="AG621" s="7"/>
      <c r="AH621" s="7"/>
      <c r="AI621" s="7"/>
      <c r="AJ621" s="7"/>
      <c r="AK621" s="51">
        <f t="shared" si="2093"/>
        <v>45.267499999999998</v>
      </c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8"/>
      <c r="BK621" s="8"/>
      <c r="BL621" s="8"/>
      <c r="BM621" s="8"/>
    </row>
    <row r="622" spans="1:65" ht="30" hidden="1" customHeight="1" x14ac:dyDescent="0.45">
      <c r="A622" s="63">
        <f t="shared" si="3257"/>
        <v>45233</v>
      </c>
      <c r="B622" s="56">
        <v>119.41</v>
      </c>
      <c r="C622" s="56">
        <v>93.43</v>
      </c>
      <c r="D622" s="56">
        <v>80.33</v>
      </c>
      <c r="E622" s="56">
        <v>58.46</v>
      </c>
      <c r="F622" s="56">
        <v>38.82</v>
      </c>
      <c r="G622" s="56">
        <v>120.53</v>
      </c>
      <c r="H622" s="51">
        <f t="shared" ref="H622:M622" si="3300">B622-B621</f>
        <v>-2.3200000000000074</v>
      </c>
      <c r="I622" s="51">
        <f t="shared" si="3300"/>
        <v>-3.0699999999999932</v>
      </c>
      <c r="J622" s="51">
        <f t="shared" si="3300"/>
        <v>-1.3100000000000023</v>
      </c>
      <c r="K622" s="51">
        <f t="shared" si="3300"/>
        <v>-2.2299999999999969</v>
      </c>
      <c r="L622" s="51">
        <f t="shared" si="3300"/>
        <v>-1.1000000000000014</v>
      </c>
      <c r="M622" s="42">
        <f t="shared" si="3300"/>
        <v>-5.7199999999999989</v>
      </c>
      <c r="N622" s="51">
        <f t="shared" ref="N622:R622" si="3301">AVERAGE(B622:B625)</f>
        <v>118.74499999999999</v>
      </c>
      <c r="O622" s="51">
        <f t="shared" si="3301"/>
        <v>92.887500000000003</v>
      </c>
      <c r="P622" s="51">
        <f t="shared" si="3301"/>
        <v>79.704999999999998</v>
      </c>
      <c r="Q622" s="51">
        <f t="shared" si="3301"/>
        <v>58.344999999999999</v>
      </c>
      <c r="R622" s="51">
        <f t="shared" si="3301"/>
        <v>38.427500000000002</v>
      </c>
      <c r="S622" s="62">
        <f t="shared" ref="S622:T622" si="3302">(B621+B622)/2</f>
        <v>120.57</v>
      </c>
      <c r="T622" s="62">
        <f t="shared" si="3302"/>
        <v>94.965000000000003</v>
      </c>
      <c r="U622" s="62">
        <f t="shared" si="2884"/>
        <v>80.984999999999999</v>
      </c>
      <c r="V622" s="62">
        <f t="shared" ref="V622:W622" si="3303">(E621+E622)/2</f>
        <v>59.575000000000003</v>
      </c>
      <c r="W622" s="62">
        <f t="shared" si="3303"/>
        <v>39.370000000000005</v>
      </c>
      <c r="X622" s="62">
        <f t="shared" ref="X622:AB622" si="3304">(SUM(B619:B622))/4</f>
        <v>121.2475</v>
      </c>
      <c r="Y622" s="62">
        <f t="shared" si="3304"/>
        <v>95.56</v>
      </c>
      <c r="Z622" s="62">
        <f t="shared" si="3304"/>
        <v>81.25</v>
      </c>
      <c r="AA622" s="62">
        <f t="shared" si="3304"/>
        <v>60.274999999999999</v>
      </c>
      <c r="AB622" s="62">
        <f t="shared" si="3304"/>
        <v>39.369999999999997</v>
      </c>
      <c r="AC622" s="51">
        <f t="shared" ref="AC622:AF622" si="3305">(B622+C622)/2</f>
        <v>106.42</v>
      </c>
      <c r="AD622" s="51">
        <f t="shared" si="3305"/>
        <v>86.88</v>
      </c>
      <c r="AE622" s="51">
        <f t="shared" si="3305"/>
        <v>69.394999999999996</v>
      </c>
      <c r="AF622" s="51">
        <f t="shared" si="3305"/>
        <v>48.64</v>
      </c>
      <c r="AG622" s="7"/>
      <c r="AH622" s="7"/>
      <c r="AI622" s="7"/>
      <c r="AJ622" s="7"/>
      <c r="AK622" s="51">
        <f t="shared" si="2093"/>
        <v>44.122500000000002</v>
      </c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8"/>
      <c r="BK622" s="8"/>
      <c r="BL622" s="8"/>
      <c r="BM622" s="8"/>
    </row>
    <row r="623" spans="1:65" ht="30" hidden="1" customHeight="1" x14ac:dyDescent="0.45">
      <c r="A623" s="63">
        <f t="shared" si="3257"/>
        <v>45240</v>
      </c>
      <c r="B623" s="56">
        <v>119.24</v>
      </c>
      <c r="C623" s="56">
        <v>92.25</v>
      </c>
      <c r="D623" s="56">
        <v>79.739999999999995</v>
      </c>
      <c r="E623" s="56">
        <v>57.78</v>
      </c>
      <c r="F623" s="56">
        <v>38.520000000000003</v>
      </c>
      <c r="G623" s="56">
        <v>121.6</v>
      </c>
      <c r="H623" s="51">
        <f t="shared" ref="H623:M623" si="3306">B623-B622</f>
        <v>-0.17000000000000171</v>
      </c>
      <c r="I623" s="51">
        <f t="shared" si="3306"/>
        <v>-1.1800000000000068</v>
      </c>
      <c r="J623" s="51">
        <f t="shared" si="3306"/>
        <v>-0.59000000000000341</v>
      </c>
      <c r="K623" s="51">
        <f t="shared" si="3306"/>
        <v>-0.67999999999999972</v>
      </c>
      <c r="L623" s="51">
        <f t="shared" si="3306"/>
        <v>-0.29999999999999716</v>
      </c>
      <c r="M623" s="42">
        <f t="shared" si="3306"/>
        <v>1.0699999999999932</v>
      </c>
      <c r="N623" s="51">
        <f t="shared" ref="N623:R623" si="3307">N622</f>
        <v>118.74499999999999</v>
      </c>
      <c r="O623" s="51">
        <f t="shared" si="3307"/>
        <v>92.887500000000003</v>
      </c>
      <c r="P623" s="51">
        <f t="shared" si="3307"/>
        <v>79.704999999999998</v>
      </c>
      <c r="Q623" s="51">
        <f t="shared" si="3307"/>
        <v>58.344999999999999</v>
      </c>
      <c r="R623" s="51">
        <f t="shared" si="3307"/>
        <v>38.427500000000002</v>
      </c>
      <c r="S623" s="62">
        <f t="shared" ref="S623:T623" si="3308">(B622+B623)/2</f>
        <v>119.32499999999999</v>
      </c>
      <c r="T623" s="62">
        <f t="shared" si="3308"/>
        <v>92.84</v>
      </c>
      <c r="U623" s="62">
        <f t="shared" si="2884"/>
        <v>80.034999999999997</v>
      </c>
      <c r="V623" s="62">
        <f t="shared" ref="V623:W623" si="3309">(E622+E623)/2</f>
        <v>58.120000000000005</v>
      </c>
      <c r="W623" s="62">
        <f t="shared" si="3309"/>
        <v>38.67</v>
      </c>
      <c r="X623" s="62">
        <f t="shared" ref="X623:AB623" si="3310">(SUM(B620:B623))/4</f>
        <v>120.6</v>
      </c>
      <c r="Y623" s="62">
        <f t="shared" si="3310"/>
        <v>94.784999999999997</v>
      </c>
      <c r="Z623" s="62">
        <f t="shared" si="3310"/>
        <v>81.087500000000006</v>
      </c>
      <c r="AA623" s="62">
        <f t="shared" si="3310"/>
        <v>59.657499999999999</v>
      </c>
      <c r="AB623" s="62">
        <f t="shared" si="3310"/>
        <v>39.355000000000004</v>
      </c>
      <c r="AC623" s="51">
        <f t="shared" ref="AC623:AF623" si="3311">(B623+C623)/2</f>
        <v>105.745</v>
      </c>
      <c r="AD623" s="51">
        <f t="shared" si="3311"/>
        <v>85.995000000000005</v>
      </c>
      <c r="AE623" s="51">
        <f t="shared" si="3311"/>
        <v>68.759999999999991</v>
      </c>
      <c r="AF623" s="51">
        <f t="shared" si="3311"/>
        <v>48.150000000000006</v>
      </c>
      <c r="AG623" s="7"/>
      <c r="AH623" s="7"/>
      <c r="AI623" s="7"/>
      <c r="AJ623" s="7"/>
      <c r="AK623" s="51">
        <f t="shared" si="2093"/>
        <v>43.045000000000002</v>
      </c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8"/>
      <c r="BK623" s="8"/>
      <c r="BL623" s="8"/>
      <c r="BM623" s="8"/>
    </row>
    <row r="624" spans="1:65" ht="30" hidden="1" customHeight="1" x14ac:dyDescent="0.45">
      <c r="A624" s="63">
        <f t="shared" si="3257"/>
        <v>45247</v>
      </c>
      <c r="B624" s="56">
        <v>118.39</v>
      </c>
      <c r="C624" s="56">
        <v>92.79</v>
      </c>
      <c r="D624" s="56">
        <v>78.959999999999994</v>
      </c>
      <c r="E624" s="56">
        <v>58.2</v>
      </c>
      <c r="F624" s="56">
        <v>38.43</v>
      </c>
      <c r="G624" s="56">
        <v>125</v>
      </c>
      <c r="H624" s="51">
        <f t="shared" ref="H624:M624" si="3312">B624-B623</f>
        <v>-0.84999999999999432</v>
      </c>
      <c r="I624" s="51">
        <f t="shared" si="3312"/>
        <v>0.54000000000000625</v>
      </c>
      <c r="J624" s="51">
        <f t="shared" si="3312"/>
        <v>-0.78000000000000114</v>
      </c>
      <c r="K624" s="51">
        <f t="shared" si="3312"/>
        <v>0.42000000000000171</v>
      </c>
      <c r="L624" s="51">
        <f t="shared" si="3312"/>
        <v>-9.0000000000003411E-2</v>
      </c>
      <c r="M624" s="42">
        <f t="shared" si="3312"/>
        <v>3.4000000000000057</v>
      </c>
      <c r="N624" s="51">
        <f t="shared" ref="N624:R624" si="3313">N623</f>
        <v>118.74499999999999</v>
      </c>
      <c r="O624" s="51">
        <f t="shared" si="3313"/>
        <v>92.887500000000003</v>
      </c>
      <c r="P624" s="51">
        <f t="shared" si="3313"/>
        <v>79.704999999999998</v>
      </c>
      <c r="Q624" s="51">
        <f t="shared" si="3313"/>
        <v>58.344999999999999</v>
      </c>
      <c r="R624" s="51">
        <f t="shared" si="3313"/>
        <v>38.427500000000002</v>
      </c>
      <c r="S624" s="62">
        <f t="shared" ref="S624:T624" si="3314">(B623+B624)/2</f>
        <v>118.815</v>
      </c>
      <c r="T624" s="62">
        <f t="shared" si="3314"/>
        <v>92.52000000000001</v>
      </c>
      <c r="U624" s="62">
        <f t="shared" si="2884"/>
        <v>79.349999999999994</v>
      </c>
      <c r="V624" s="62">
        <f t="shared" ref="V624:W624" si="3315">(E623+E624)/2</f>
        <v>57.99</v>
      </c>
      <c r="W624" s="62">
        <f t="shared" si="3315"/>
        <v>38.475000000000001</v>
      </c>
      <c r="X624" s="62">
        <f t="shared" ref="X624:AB624" si="3316">(SUM(B621:B624))/4</f>
        <v>119.6925</v>
      </c>
      <c r="Y624" s="62">
        <f t="shared" si="3316"/>
        <v>93.742500000000007</v>
      </c>
      <c r="Z624" s="62">
        <f t="shared" si="3316"/>
        <v>80.16749999999999</v>
      </c>
      <c r="AA624" s="62">
        <f t="shared" si="3316"/>
        <v>58.782499999999999</v>
      </c>
      <c r="AB624" s="62">
        <f t="shared" si="3316"/>
        <v>38.922500000000007</v>
      </c>
      <c r="AC624" s="51">
        <f t="shared" ref="AC624:AF624" si="3317">(B624+C624)/2</f>
        <v>105.59</v>
      </c>
      <c r="AD624" s="51">
        <f t="shared" si="3317"/>
        <v>85.875</v>
      </c>
      <c r="AE624" s="51">
        <f t="shared" si="3317"/>
        <v>68.58</v>
      </c>
      <c r="AF624" s="51">
        <f t="shared" si="3317"/>
        <v>48.314999999999998</v>
      </c>
      <c r="AG624" s="7"/>
      <c r="AH624" s="7"/>
      <c r="AI624" s="7"/>
      <c r="AJ624" s="7"/>
      <c r="AK624" s="51">
        <f t="shared" si="2093"/>
        <v>42.8825</v>
      </c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8"/>
      <c r="BK624" s="8"/>
      <c r="BL624" s="8"/>
      <c r="BM624" s="8"/>
    </row>
    <row r="625" spans="1:65" ht="30" hidden="1" customHeight="1" x14ac:dyDescent="0.45">
      <c r="A625" s="63">
        <f t="shared" si="3257"/>
        <v>45254</v>
      </c>
      <c r="B625" s="56">
        <v>117.94</v>
      </c>
      <c r="C625" s="56">
        <v>93.08</v>
      </c>
      <c r="D625" s="56">
        <v>79.790000000000006</v>
      </c>
      <c r="E625" s="56">
        <v>58.94</v>
      </c>
      <c r="F625" s="56">
        <v>37.94</v>
      </c>
      <c r="G625" s="56">
        <v>121.49</v>
      </c>
      <c r="H625" s="51">
        <f t="shared" ref="H625:M625" si="3318">B625-B624</f>
        <v>-0.45000000000000284</v>
      </c>
      <c r="I625" s="51">
        <f t="shared" si="3318"/>
        <v>0.28999999999999204</v>
      </c>
      <c r="J625" s="51">
        <f t="shared" si="3318"/>
        <v>0.83000000000001251</v>
      </c>
      <c r="K625" s="51">
        <f t="shared" si="3318"/>
        <v>0.73999999999999488</v>
      </c>
      <c r="L625" s="51">
        <f t="shared" si="3318"/>
        <v>-0.49000000000000199</v>
      </c>
      <c r="M625" s="42">
        <f t="shared" si="3318"/>
        <v>-3.5100000000000051</v>
      </c>
      <c r="N625" s="51">
        <f t="shared" ref="N625:R625" si="3319">N624</f>
        <v>118.74499999999999</v>
      </c>
      <c r="O625" s="51">
        <f t="shared" si="3319"/>
        <v>92.887500000000003</v>
      </c>
      <c r="P625" s="51">
        <f t="shared" si="3319"/>
        <v>79.704999999999998</v>
      </c>
      <c r="Q625" s="51">
        <f t="shared" si="3319"/>
        <v>58.344999999999999</v>
      </c>
      <c r="R625" s="51">
        <f t="shared" si="3319"/>
        <v>38.427500000000002</v>
      </c>
      <c r="S625" s="62">
        <f t="shared" ref="S625:T625" si="3320">(B624+B625)/2</f>
        <v>118.16499999999999</v>
      </c>
      <c r="T625" s="62">
        <f t="shared" si="3320"/>
        <v>92.935000000000002</v>
      </c>
      <c r="U625" s="62">
        <f t="shared" si="2884"/>
        <v>79.375</v>
      </c>
      <c r="V625" s="62">
        <f t="shared" ref="V625:W625" si="3321">(E624+E625)/2</f>
        <v>58.57</v>
      </c>
      <c r="W625" s="62">
        <f t="shared" si="3321"/>
        <v>38.185000000000002</v>
      </c>
      <c r="X625" s="62">
        <f t="shared" ref="X625:AB625" si="3322">(SUM(B622:B625))/4</f>
        <v>118.74499999999999</v>
      </c>
      <c r="Y625" s="62">
        <f t="shared" si="3322"/>
        <v>92.887500000000003</v>
      </c>
      <c r="Z625" s="62">
        <f t="shared" si="3322"/>
        <v>79.704999999999998</v>
      </c>
      <c r="AA625" s="62">
        <f t="shared" si="3322"/>
        <v>58.344999999999999</v>
      </c>
      <c r="AB625" s="62">
        <f t="shared" si="3322"/>
        <v>38.427500000000002</v>
      </c>
      <c r="AC625" s="51">
        <f t="shared" ref="AC625:AF625" si="3323">(B625+C625)/2</f>
        <v>105.50999999999999</v>
      </c>
      <c r="AD625" s="51">
        <f t="shared" si="3323"/>
        <v>86.435000000000002</v>
      </c>
      <c r="AE625" s="51">
        <f t="shared" si="3323"/>
        <v>69.365000000000009</v>
      </c>
      <c r="AF625" s="51">
        <f t="shared" si="3323"/>
        <v>48.44</v>
      </c>
      <c r="AG625" s="7"/>
      <c r="AH625" s="7"/>
      <c r="AI625" s="7"/>
      <c r="AJ625" s="7"/>
      <c r="AK625" s="51">
        <f t="shared" si="2093"/>
        <v>43.027499999999996</v>
      </c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8"/>
      <c r="BK625" s="8"/>
      <c r="BL625" s="8"/>
      <c r="BM625" s="8"/>
    </row>
    <row r="626" spans="1:65" ht="30" hidden="1" customHeight="1" x14ac:dyDescent="0.45">
      <c r="A626" s="63">
        <f t="shared" si="3257"/>
        <v>45261</v>
      </c>
      <c r="B626" s="56">
        <v>117.45</v>
      </c>
      <c r="C626" s="56">
        <v>92.51</v>
      </c>
      <c r="D626" s="56">
        <v>79.88</v>
      </c>
      <c r="E626" s="56">
        <v>58.45</v>
      </c>
      <c r="F626" s="56">
        <v>37.89</v>
      </c>
      <c r="G626" s="56">
        <v>129.72999999999999</v>
      </c>
      <c r="H626" s="51">
        <f t="shared" ref="H626:M626" si="3324">B626-B625</f>
        <v>-0.48999999999999488</v>
      </c>
      <c r="I626" s="51">
        <f t="shared" si="3324"/>
        <v>-0.56999999999999318</v>
      </c>
      <c r="J626" s="51">
        <f t="shared" si="3324"/>
        <v>8.99999999999892E-2</v>
      </c>
      <c r="K626" s="51">
        <f t="shared" si="3324"/>
        <v>-0.48999999999999488</v>
      </c>
      <c r="L626" s="51">
        <f t="shared" si="3324"/>
        <v>-4.9999999999997158E-2</v>
      </c>
      <c r="M626" s="42">
        <f t="shared" si="3324"/>
        <v>8.2399999999999949</v>
      </c>
      <c r="N626" s="51">
        <f t="shared" ref="N626:R626" si="3325">AVERAGE(B626:B630)</f>
        <v>118.47999999999999</v>
      </c>
      <c r="O626" s="51">
        <f t="shared" si="3325"/>
        <v>92.897999999999996</v>
      </c>
      <c r="P626" s="51">
        <f t="shared" si="3325"/>
        <v>79.644000000000005</v>
      </c>
      <c r="Q626" s="51">
        <f t="shared" si="3325"/>
        <v>58.281999999999996</v>
      </c>
      <c r="R626" s="51">
        <f t="shared" si="3325"/>
        <v>37.996000000000002</v>
      </c>
      <c r="S626" s="62">
        <f t="shared" ref="S626:T626" si="3326">(B625+B626)/2</f>
        <v>117.69499999999999</v>
      </c>
      <c r="T626" s="62">
        <f t="shared" si="3326"/>
        <v>92.795000000000002</v>
      </c>
      <c r="U626" s="62">
        <f t="shared" si="2884"/>
        <v>79.835000000000008</v>
      </c>
      <c r="V626" s="62">
        <f t="shared" ref="V626:W626" si="3327">(E625+E626)/2</f>
        <v>58.695</v>
      </c>
      <c r="W626" s="62">
        <f t="shared" si="3327"/>
        <v>37.914999999999999</v>
      </c>
      <c r="X626" s="62">
        <f t="shared" ref="X626:AB626" si="3328">(SUM(B623:B626))/4</f>
        <v>118.255</v>
      </c>
      <c r="Y626" s="62">
        <f t="shared" si="3328"/>
        <v>92.657499999999999</v>
      </c>
      <c r="Z626" s="62">
        <f t="shared" si="3328"/>
        <v>79.592500000000001</v>
      </c>
      <c r="AA626" s="62">
        <f t="shared" si="3328"/>
        <v>58.342500000000001</v>
      </c>
      <c r="AB626" s="62">
        <f t="shared" si="3328"/>
        <v>38.195</v>
      </c>
      <c r="AC626" s="51">
        <f t="shared" ref="AC626:AF626" si="3329">(B626+C626)/2</f>
        <v>104.98</v>
      </c>
      <c r="AD626" s="51">
        <f t="shared" si="3329"/>
        <v>86.194999999999993</v>
      </c>
      <c r="AE626" s="51">
        <f t="shared" si="3329"/>
        <v>69.164999999999992</v>
      </c>
      <c r="AF626" s="51">
        <f t="shared" si="3329"/>
        <v>48.17</v>
      </c>
      <c r="AG626" s="7"/>
      <c r="AH626" s="7"/>
      <c r="AI626" s="7"/>
      <c r="AJ626" s="7"/>
      <c r="AK626" s="51">
        <f t="shared" si="2093"/>
        <v>42.954999999999998</v>
      </c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8"/>
      <c r="BK626" s="8"/>
      <c r="BL626" s="8"/>
      <c r="BM626" s="8"/>
    </row>
    <row r="627" spans="1:65" ht="30" hidden="1" customHeight="1" x14ac:dyDescent="0.45">
      <c r="A627" s="64">
        <f t="shared" si="3257"/>
        <v>45268</v>
      </c>
      <c r="B627" s="56">
        <v>117.82</v>
      </c>
      <c r="C627" s="56">
        <v>92.78</v>
      </c>
      <c r="D627" s="56">
        <v>79.78</v>
      </c>
      <c r="E627" s="56">
        <v>58.4</v>
      </c>
      <c r="F627" s="56">
        <v>38.42</v>
      </c>
      <c r="G627" s="56">
        <v>149.36000000000001</v>
      </c>
      <c r="H627" s="51">
        <f t="shared" ref="H627:M627" si="3330">B627-B626</f>
        <v>0.36999999999999034</v>
      </c>
      <c r="I627" s="51">
        <f t="shared" si="3330"/>
        <v>0.26999999999999602</v>
      </c>
      <c r="J627" s="51">
        <f t="shared" si="3330"/>
        <v>-9.9999999999994316E-2</v>
      </c>
      <c r="K627" s="51">
        <f t="shared" si="3330"/>
        <v>-5.0000000000004263E-2</v>
      </c>
      <c r="L627" s="51">
        <f t="shared" si="3330"/>
        <v>0.53000000000000114</v>
      </c>
      <c r="M627" s="42">
        <f t="shared" si="3330"/>
        <v>19.630000000000024</v>
      </c>
      <c r="N627" s="51">
        <f t="shared" ref="N627:R627" si="3331">N626</f>
        <v>118.47999999999999</v>
      </c>
      <c r="O627" s="51">
        <f t="shared" si="3331"/>
        <v>92.897999999999996</v>
      </c>
      <c r="P627" s="51">
        <f t="shared" si="3331"/>
        <v>79.644000000000005</v>
      </c>
      <c r="Q627" s="51">
        <f t="shared" si="3331"/>
        <v>58.281999999999996</v>
      </c>
      <c r="R627" s="51">
        <f t="shared" si="3331"/>
        <v>37.996000000000002</v>
      </c>
      <c r="S627" s="62">
        <f t="shared" ref="S627:T627" si="3332">(B626+B627)/2</f>
        <v>117.63499999999999</v>
      </c>
      <c r="T627" s="62">
        <f t="shared" si="3332"/>
        <v>92.64500000000001</v>
      </c>
      <c r="U627" s="62">
        <f t="shared" si="2884"/>
        <v>79.83</v>
      </c>
      <c r="V627" s="62">
        <f t="shared" ref="V627:W627" si="3333">(E626+E627)/2</f>
        <v>58.424999999999997</v>
      </c>
      <c r="W627" s="62">
        <f t="shared" si="3333"/>
        <v>38.155000000000001</v>
      </c>
      <c r="X627" s="62">
        <f t="shared" ref="X627:AB627" si="3334">(SUM(B624:B627))/4</f>
        <v>117.89999999999999</v>
      </c>
      <c r="Y627" s="62">
        <f t="shared" si="3334"/>
        <v>92.789999999999992</v>
      </c>
      <c r="Z627" s="62">
        <f t="shared" si="3334"/>
        <v>79.602499999999992</v>
      </c>
      <c r="AA627" s="62">
        <f t="shared" si="3334"/>
        <v>58.497500000000002</v>
      </c>
      <c r="AB627" s="62">
        <f t="shared" si="3334"/>
        <v>38.17</v>
      </c>
      <c r="AC627" s="51">
        <f t="shared" ref="AC627:AF627" si="3335">(B627+C627)/2</f>
        <v>105.3</v>
      </c>
      <c r="AD627" s="51">
        <f t="shared" si="3335"/>
        <v>86.28</v>
      </c>
      <c r="AE627" s="51">
        <f t="shared" si="3335"/>
        <v>69.09</v>
      </c>
      <c r="AF627" s="51">
        <f t="shared" si="3335"/>
        <v>48.41</v>
      </c>
      <c r="AG627" s="7"/>
      <c r="AH627" s="7"/>
      <c r="AI627" s="7"/>
      <c r="AJ627" s="7"/>
      <c r="AK627" s="51">
        <f t="shared" si="2093"/>
        <v>42.94</v>
      </c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8"/>
      <c r="BK627" s="8"/>
      <c r="BL627" s="8"/>
      <c r="BM627" s="8"/>
    </row>
    <row r="628" spans="1:65" ht="30" hidden="1" customHeight="1" x14ac:dyDescent="0.45">
      <c r="A628" s="64">
        <f t="shared" si="3257"/>
        <v>45275</v>
      </c>
      <c r="B628" s="56">
        <v>117.84</v>
      </c>
      <c r="C628" s="56">
        <v>93.16</v>
      </c>
      <c r="D628" s="56">
        <v>79.38</v>
      </c>
      <c r="E628" s="56">
        <v>58.05</v>
      </c>
      <c r="F628" s="56">
        <v>37.96</v>
      </c>
      <c r="G628" s="56">
        <v>157.01</v>
      </c>
      <c r="H628" s="51">
        <f t="shared" ref="H628:M628" si="3336">B628-B627</f>
        <v>2.0000000000010232E-2</v>
      </c>
      <c r="I628" s="51">
        <f t="shared" si="3336"/>
        <v>0.37999999999999545</v>
      </c>
      <c r="J628" s="51">
        <f t="shared" si="3336"/>
        <v>-0.40000000000000568</v>
      </c>
      <c r="K628" s="51">
        <f t="shared" si="3336"/>
        <v>-0.35000000000000142</v>
      </c>
      <c r="L628" s="51">
        <f t="shared" si="3336"/>
        <v>-0.46000000000000085</v>
      </c>
      <c r="M628" s="42">
        <f t="shared" si="3336"/>
        <v>7.6499999999999773</v>
      </c>
      <c r="N628" s="51">
        <f t="shared" ref="N628:R628" si="3337">N627</f>
        <v>118.47999999999999</v>
      </c>
      <c r="O628" s="51">
        <f t="shared" si="3337"/>
        <v>92.897999999999996</v>
      </c>
      <c r="P628" s="51">
        <f t="shared" si="3337"/>
        <v>79.644000000000005</v>
      </c>
      <c r="Q628" s="51">
        <f t="shared" si="3337"/>
        <v>58.281999999999996</v>
      </c>
      <c r="R628" s="51">
        <f t="shared" si="3337"/>
        <v>37.996000000000002</v>
      </c>
      <c r="S628" s="62">
        <f t="shared" ref="S628:T628" si="3338">(B627+B628)/2</f>
        <v>117.83</v>
      </c>
      <c r="T628" s="62">
        <f t="shared" si="3338"/>
        <v>92.97</v>
      </c>
      <c r="U628" s="62">
        <f t="shared" si="2884"/>
        <v>79.58</v>
      </c>
      <c r="V628" s="62">
        <f t="shared" ref="V628:W628" si="3339">(E627+E628)/2</f>
        <v>58.224999999999994</v>
      </c>
      <c r="W628" s="62">
        <f t="shared" si="3339"/>
        <v>38.19</v>
      </c>
      <c r="X628" s="62">
        <f t="shared" ref="X628:AB628" si="3340">(SUM(B625:B628))/4</f>
        <v>117.76249999999999</v>
      </c>
      <c r="Y628" s="62">
        <f t="shared" si="3340"/>
        <v>92.882499999999993</v>
      </c>
      <c r="Z628" s="62">
        <f t="shared" si="3340"/>
        <v>79.70750000000001</v>
      </c>
      <c r="AA628" s="62">
        <f t="shared" si="3340"/>
        <v>58.459999999999994</v>
      </c>
      <c r="AB628" s="62">
        <f t="shared" si="3340"/>
        <v>38.052500000000002</v>
      </c>
      <c r="AC628" s="51">
        <f t="shared" ref="AC628:AF628" si="3341">(B628+C628)/2</f>
        <v>105.5</v>
      </c>
      <c r="AD628" s="51">
        <f t="shared" si="3341"/>
        <v>86.27</v>
      </c>
      <c r="AE628" s="51">
        <f t="shared" si="3341"/>
        <v>68.715000000000003</v>
      </c>
      <c r="AF628" s="51">
        <f t="shared" si="3341"/>
        <v>48.004999999999995</v>
      </c>
      <c r="AG628" s="7"/>
      <c r="AH628" s="7"/>
      <c r="AI628" s="7"/>
      <c r="AJ628" s="7"/>
      <c r="AK628" s="51">
        <f t="shared" si="2093"/>
        <v>42.857499999999995</v>
      </c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8"/>
      <c r="BK628" s="8"/>
      <c r="BL628" s="8"/>
      <c r="BM628" s="8"/>
    </row>
    <row r="629" spans="1:65" ht="30" hidden="1" customHeight="1" x14ac:dyDescent="0.45">
      <c r="A629" s="64">
        <f t="shared" si="3257"/>
        <v>45282</v>
      </c>
      <c r="B629" s="56">
        <v>119.62</v>
      </c>
      <c r="C629" s="56">
        <v>93.03</v>
      </c>
      <c r="D629" s="56">
        <v>79.83</v>
      </c>
      <c r="E629" s="56">
        <v>58.5</v>
      </c>
      <c r="F629" s="56">
        <v>38.01</v>
      </c>
      <c r="G629" s="56">
        <v>149.13</v>
      </c>
      <c r="H629" s="51">
        <f t="shared" ref="H629:M629" si="3342">B629-B628</f>
        <v>1.7800000000000011</v>
      </c>
      <c r="I629" s="51">
        <f t="shared" si="3342"/>
        <v>-0.12999999999999545</v>
      </c>
      <c r="J629" s="51">
        <f t="shared" si="3342"/>
        <v>0.45000000000000284</v>
      </c>
      <c r="K629" s="51">
        <f t="shared" si="3342"/>
        <v>0.45000000000000284</v>
      </c>
      <c r="L629" s="51">
        <f t="shared" si="3342"/>
        <v>4.9999999999997158E-2</v>
      </c>
      <c r="M629" s="42">
        <f t="shared" si="3342"/>
        <v>-7.8799999999999955</v>
      </c>
      <c r="N629" s="51">
        <f t="shared" ref="N629:R629" si="3343">N628</f>
        <v>118.47999999999999</v>
      </c>
      <c r="O629" s="51">
        <f t="shared" si="3343"/>
        <v>92.897999999999996</v>
      </c>
      <c r="P629" s="51">
        <f t="shared" si="3343"/>
        <v>79.644000000000005</v>
      </c>
      <c r="Q629" s="51">
        <f t="shared" si="3343"/>
        <v>58.281999999999996</v>
      </c>
      <c r="R629" s="51">
        <f t="shared" si="3343"/>
        <v>37.996000000000002</v>
      </c>
      <c r="S629" s="62">
        <f t="shared" ref="S629:T629" si="3344">(B628+B629)/2</f>
        <v>118.73</v>
      </c>
      <c r="T629" s="62">
        <f t="shared" si="3344"/>
        <v>93.094999999999999</v>
      </c>
      <c r="U629" s="62">
        <f t="shared" si="2884"/>
        <v>79.60499999999999</v>
      </c>
      <c r="V629" s="62">
        <f t="shared" ref="V629:W629" si="3345">(E628+E629)/2</f>
        <v>58.274999999999999</v>
      </c>
      <c r="W629" s="62">
        <f t="shared" si="3345"/>
        <v>37.984999999999999</v>
      </c>
      <c r="X629" s="62">
        <f t="shared" ref="X629:AB629" si="3346">(SUM(B626:B629))/4</f>
        <v>118.1825</v>
      </c>
      <c r="Y629" s="62">
        <f t="shared" si="3346"/>
        <v>92.87</v>
      </c>
      <c r="Z629" s="62">
        <f t="shared" si="3346"/>
        <v>79.717500000000001</v>
      </c>
      <c r="AA629" s="62">
        <f t="shared" si="3346"/>
        <v>58.349999999999994</v>
      </c>
      <c r="AB629" s="62">
        <f t="shared" si="3346"/>
        <v>38.07</v>
      </c>
      <c r="AC629" s="51">
        <f t="shared" ref="AC629:AF629" si="3347">(B629+C629)/2</f>
        <v>106.325</v>
      </c>
      <c r="AD629" s="51">
        <f t="shared" si="3347"/>
        <v>86.43</v>
      </c>
      <c r="AE629" s="51">
        <f t="shared" si="3347"/>
        <v>69.164999999999992</v>
      </c>
      <c r="AF629" s="51">
        <f t="shared" si="3347"/>
        <v>48.254999999999995</v>
      </c>
      <c r="AG629" s="7"/>
      <c r="AH629" s="7"/>
      <c r="AI629" s="7"/>
      <c r="AJ629" s="7"/>
      <c r="AK629" s="51">
        <f t="shared" si="2093"/>
        <v>42.779999999999994</v>
      </c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8"/>
      <c r="BK629" s="8"/>
      <c r="BL629" s="8"/>
      <c r="BM629" s="8"/>
    </row>
    <row r="630" spans="1:65" ht="30" hidden="1" customHeight="1" x14ac:dyDescent="0.45">
      <c r="A630" s="64">
        <f t="shared" si="3257"/>
        <v>45289</v>
      </c>
      <c r="B630" s="56">
        <v>119.67</v>
      </c>
      <c r="C630" s="56">
        <v>93.01</v>
      </c>
      <c r="D630" s="56">
        <v>79.349999999999994</v>
      </c>
      <c r="E630" s="56">
        <v>58.01</v>
      </c>
      <c r="F630" s="56">
        <v>37.700000000000003</v>
      </c>
      <c r="G630" s="56">
        <v>148.96</v>
      </c>
      <c r="H630" s="51">
        <f t="shared" ref="H630:M630" si="3348">B630-B629</f>
        <v>4.9999999999997158E-2</v>
      </c>
      <c r="I630" s="51">
        <f t="shared" si="3348"/>
        <v>-1.9999999999996021E-2</v>
      </c>
      <c r="J630" s="51">
        <f t="shared" si="3348"/>
        <v>-0.48000000000000398</v>
      </c>
      <c r="K630" s="51">
        <f t="shared" si="3348"/>
        <v>-0.49000000000000199</v>
      </c>
      <c r="L630" s="51">
        <f t="shared" si="3348"/>
        <v>-0.30999999999999517</v>
      </c>
      <c r="M630" s="42">
        <f t="shared" si="3348"/>
        <v>-0.16999999999998749</v>
      </c>
      <c r="N630" s="51">
        <f t="shared" ref="N630:R630" si="3349">N629</f>
        <v>118.47999999999999</v>
      </c>
      <c r="O630" s="51">
        <f t="shared" si="3349"/>
        <v>92.897999999999996</v>
      </c>
      <c r="P630" s="51">
        <f t="shared" si="3349"/>
        <v>79.644000000000005</v>
      </c>
      <c r="Q630" s="51">
        <f t="shared" si="3349"/>
        <v>58.281999999999996</v>
      </c>
      <c r="R630" s="51">
        <f t="shared" si="3349"/>
        <v>37.996000000000002</v>
      </c>
      <c r="S630" s="62">
        <f t="shared" ref="S630:T630" si="3350">(B629+B630)/2</f>
        <v>119.64500000000001</v>
      </c>
      <c r="T630" s="62">
        <f t="shared" si="3350"/>
        <v>93.02000000000001</v>
      </c>
      <c r="U630" s="62">
        <f t="shared" si="2884"/>
        <v>79.59</v>
      </c>
      <c r="V630" s="62">
        <f t="shared" ref="V630:W630" si="3351">(E629+E630)/2</f>
        <v>58.254999999999995</v>
      </c>
      <c r="W630" s="62">
        <f t="shared" si="3351"/>
        <v>37.855000000000004</v>
      </c>
      <c r="X630" s="62">
        <f t="shared" ref="X630:AB630" si="3352">(SUM(B627:B630))/4</f>
        <v>118.7375</v>
      </c>
      <c r="Y630" s="62">
        <f t="shared" si="3352"/>
        <v>92.995000000000005</v>
      </c>
      <c r="Z630" s="62">
        <f t="shared" si="3352"/>
        <v>79.585000000000008</v>
      </c>
      <c r="AA630" s="62">
        <f t="shared" si="3352"/>
        <v>58.239999999999995</v>
      </c>
      <c r="AB630" s="62">
        <f t="shared" si="3352"/>
        <v>38.022499999999994</v>
      </c>
      <c r="AC630" s="51">
        <f t="shared" ref="AC630:AF630" si="3353">(B630+C630)/2</f>
        <v>106.34</v>
      </c>
      <c r="AD630" s="51">
        <f t="shared" si="3353"/>
        <v>86.18</v>
      </c>
      <c r="AE630" s="51">
        <f t="shared" si="3353"/>
        <v>68.679999999999993</v>
      </c>
      <c r="AF630" s="51">
        <f t="shared" si="3353"/>
        <v>47.855000000000004</v>
      </c>
      <c r="AG630" s="7"/>
      <c r="AH630" s="7"/>
      <c r="AI630" s="40"/>
      <c r="AJ630" s="7"/>
      <c r="AK630" s="51">
        <f t="shared" si="2093"/>
        <v>42.704999999999998</v>
      </c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8"/>
      <c r="BK630" s="8"/>
      <c r="BL630" s="8"/>
      <c r="BM630" s="8"/>
    </row>
    <row r="631" spans="1:65" ht="30" hidden="1" customHeight="1" x14ac:dyDescent="0.45">
      <c r="A631" s="55">
        <f t="shared" si="3257"/>
        <v>45296</v>
      </c>
      <c r="B631" s="56">
        <v>120.21</v>
      </c>
      <c r="C631" s="56">
        <v>93.08</v>
      </c>
      <c r="D631" s="56">
        <v>79.349999999999994</v>
      </c>
      <c r="E631" s="56">
        <v>57.82</v>
      </c>
      <c r="F631" s="56">
        <v>37.24</v>
      </c>
      <c r="G631" s="56">
        <v>131.99</v>
      </c>
      <c r="H631" s="51">
        <f t="shared" ref="H631:M631" si="3354">B631-B630</f>
        <v>0.53999999999999204</v>
      </c>
      <c r="I631" s="51">
        <f t="shared" si="3354"/>
        <v>6.9999999999993179E-2</v>
      </c>
      <c r="J631" s="51">
        <f t="shared" si="3354"/>
        <v>0</v>
      </c>
      <c r="K631" s="51">
        <f t="shared" si="3354"/>
        <v>-0.18999999999999773</v>
      </c>
      <c r="L631" s="51">
        <f t="shared" si="3354"/>
        <v>-0.46000000000000085</v>
      </c>
      <c r="M631" s="42">
        <f t="shared" si="3354"/>
        <v>-16.97</v>
      </c>
      <c r="N631" s="51">
        <f t="shared" ref="N631:R631" si="3355">AVERAGE(B631:B634)</f>
        <v>119.91249999999999</v>
      </c>
      <c r="O631" s="51">
        <f t="shared" si="3355"/>
        <v>92.97</v>
      </c>
      <c r="P631" s="51">
        <f t="shared" si="3355"/>
        <v>79.394999999999996</v>
      </c>
      <c r="Q631" s="51">
        <f t="shared" si="3355"/>
        <v>57.54</v>
      </c>
      <c r="R631" s="51">
        <f t="shared" si="3355"/>
        <v>37.265000000000001</v>
      </c>
      <c r="S631" s="51">
        <f t="shared" ref="S631:T631" si="3356">(B630+B631)/2</f>
        <v>119.94</v>
      </c>
      <c r="T631" s="51">
        <f t="shared" si="3356"/>
        <v>93.045000000000002</v>
      </c>
      <c r="U631" s="51">
        <f t="shared" si="2884"/>
        <v>79.349999999999994</v>
      </c>
      <c r="V631" s="51">
        <f t="shared" ref="V631:W631" si="3357">(E630+E631)/2</f>
        <v>57.914999999999999</v>
      </c>
      <c r="W631" s="51">
        <f t="shared" si="3357"/>
        <v>37.47</v>
      </c>
      <c r="X631" s="51">
        <f t="shared" ref="X631:AB631" si="3358">(SUM(B628:B631))/4</f>
        <v>119.33499999999999</v>
      </c>
      <c r="Y631" s="51">
        <f t="shared" si="3358"/>
        <v>93.07</v>
      </c>
      <c r="Z631" s="51">
        <f t="shared" si="3358"/>
        <v>79.477499999999992</v>
      </c>
      <c r="AA631" s="51">
        <f t="shared" si="3358"/>
        <v>58.094999999999999</v>
      </c>
      <c r="AB631" s="51">
        <f t="shared" si="3358"/>
        <v>37.727499999999999</v>
      </c>
      <c r="AC631" s="51">
        <f t="shared" ref="AC631:AF631" si="3359">(B631+C631)/2</f>
        <v>106.645</v>
      </c>
      <c r="AD631" s="51">
        <f t="shared" si="3359"/>
        <v>86.215000000000003</v>
      </c>
      <c r="AE631" s="51">
        <f t="shared" si="3359"/>
        <v>68.584999999999994</v>
      </c>
      <c r="AF631" s="51">
        <f t="shared" si="3359"/>
        <v>47.53</v>
      </c>
      <c r="AG631" s="51">
        <f t="shared" ref="AG631:AG744" si="3360">((C631+D631)/2)-8.7</f>
        <v>77.515000000000001</v>
      </c>
      <c r="AH631" s="51">
        <f t="shared" ref="AH631:AH744" si="3361">D631-7</f>
        <v>72.349999999999994</v>
      </c>
      <c r="AI631" s="51">
        <f t="shared" ref="AI631:AI660" si="3362">P631+0.5</f>
        <v>79.894999999999996</v>
      </c>
      <c r="AJ631" s="51">
        <f t="shared" ref="AJ631:AJ695" si="3363">(Z631*4800/5000)+1.5</f>
        <v>77.798399999999987</v>
      </c>
      <c r="AK631" s="51">
        <f t="shared" si="2093"/>
        <v>42.342499999999994</v>
      </c>
      <c r="AL631" s="51">
        <f t="shared" ref="AL631:AL744" si="3364">((V631+W631)/2)*0.94</f>
        <v>44.830949999999994</v>
      </c>
      <c r="AM631" s="51"/>
      <c r="AN631" s="51">
        <f t="shared" ref="AN631:AN652" si="3365">(V631*4100/4200)-1-3.5</f>
        <v>52.036071428571425</v>
      </c>
      <c r="AO631" s="51">
        <f t="shared" ref="AO631:AO744" si="3366">(V631*4100/4200)-1</f>
        <v>55.536071428571425</v>
      </c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8"/>
      <c r="BK631" s="8"/>
      <c r="BL631" s="8"/>
      <c r="BM631" s="8"/>
    </row>
    <row r="632" spans="1:65" ht="30" hidden="1" customHeight="1" x14ac:dyDescent="0.45">
      <c r="A632" s="55">
        <f t="shared" si="3257"/>
        <v>45303</v>
      </c>
      <c r="B632" s="56">
        <v>120.05</v>
      </c>
      <c r="C632" s="56">
        <v>93.03</v>
      </c>
      <c r="D632" s="56">
        <v>79.48</v>
      </c>
      <c r="E632" s="56">
        <v>57.71</v>
      </c>
      <c r="F632" s="56">
        <v>37.11</v>
      </c>
      <c r="G632" s="56">
        <v>132.06</v>
      </c>
      <c r="H632" s="51">
        <f t="shared" ref="H632:M632" si="3367">B632-B631</f>
        <v>-0.15999999999999659</v>
      </c>
      <c r="I632" s="51">
        <f t="shared" si="3367"/>
        <v>-4.9999999999997158E-2</v>
      </c>
      <c r="J632" s="51">
        <f t="shared" si="3367"/>
        <v>0.13000000000000966</v>
      </c>
      <c r="K632" s="51">
        <f t="shared" si="3367"/>
        <v>-0.10999999999999943</v>
      </c>
      <c r="L632" s="51">
        <f t="shared" si="3367"/>
        <v>-0.13000000000000256</v>
      </c>
      <c r="M632" s="42">
        <f t="shared" si="3367"/>
        <v>6.9999999999993179E-2</v>
      </c>
      <c r="N632" s="51">
        <f t="shared" ref="N632:R632" si="3368">N631</f>
        <v>119.91249999999999</v>
      </c>
      <c r="O632" s="51">
        <f t="shared" si="3368"/>
        <v>92.97</v>
      </c>
      <c r="P632" s="51">
        <f t="shared" si="3368"/>
        <v>79.394999999999996</v>
      </c>
      <c r="Q632" s="51">
        <f t="shared" si="3368"/>
        <v>57.54</v>
      </c>
      <c r="R632" s="51">
        <f t="shared" si="3368"/>
        <v>37.265000000000001</v>
      </c>
      <c r="S632" s="51">
        <f t="shared" ref="S632:T632" si="3369">(B631+B632)/2</f>
        <v>120.13</v>
      </c>
      <c r="T632" s="51">
        <f t="shared" si="3369"/>
        <v>93.055000000000007</v>
      </c>
      <c r="U632" s="51">
        <f t="shared" si="2884"/>
        <v>79.414999999999992</v>
      </c>
      <c r="V632" s="51">
        <f t="shared" ref="V632:W632" si="3370">(E631+E632)/2</f>
        <v>57.765000000000001</v>
      </c>
      <c r="W632" s="51">
        <f t="shared" si="3370"/>
        <v>37.174999999999997</v>
      </c>
      <c r="X632" s="51">
        <f t="shared" ref="X632:AB632" si="3371">(SUM(B629:B632))/4</f>
        <v>119.8875</v>
      </c>
      <c r="Y632" s="51">
        <f t="shared" si="3371"/>
        <v>93.037499999999994</v>
      </c>
      <c r="Z632" s="51">
        <f t="shared" si="3371"/>
        <v>79.502499999999998</v>
      </c>
      <c r="AA632" s="51">
        <f t="shared" si="3371"/>
        <v>58.01</v>
      </c>
      <c r="AB632" s="51">
        <f t="shared" si="3371"/>
        <v>37.515000000000001</v>
      </c>
      <c r="AC632" s="51">
        <f t="shared" ref="AC632:AF632" si="3372">(B632+C632)/2</f>
        <v>106.53999999999999</v>
      </c>
      <c r="AD632" s="51">
        <f t="shared" si="3372"/>
        <v>86.254999999999995</v>
      </c>
      <c r="AE632" s="51">
        <f t="shared" si="3372"/>
        <v>68.594999999999999</v>
      </c>
      <c r="AF632" s="51">
        <f t="shared" si="3372"/>
        <v>47.41</v>
      </c>
      <c r="AG632" s="51">
        <f t="shared" si="3360"/>
        <v>77.554999999999993</v>
      </c>
      <c r="AH632" s="51">
        <f t="shared" si="3361"/>
        <v>72.48</v>
      </c>
      <c r="AI632" s="51">
        <f t="shared" si="3362"/>
        <v>79.894999999999996</v>
      </c>
      <c r="AJ632" s="51">
        <f t="shared" si="3363"/>
        <v>77.822400000000002</v>
      </c>
      <c r="AK632" s="51">
        <f t="shared" si="2093"/>
        <v>42.12</v>
      </c>
      <c r="AL632" s="51">
        <f t="shared" si="3364"/>
        <v>44.621799999999993</v>
      </c>
      <c r="AM632" s="51"/>
      <c r="AN632" s="51">
        <f t="shared" si="3365"/>
        <v>51.88964285714286</v>
      </c>
      <c r="AO632" s="51">
        <f t="shared" si="3366"/>
        <v>55.38964285714286</v>
      </c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8"/>
      <c r="BK632" s="8"/>
      <c r="BL632" s="8"/>
      <c r="BM632" s="8"/>
    </row>
    <row r="633" spans="1:65" ht="30" hidden="1" customHeight="1" x14ac:dyDescent="0.45">
      <c r="A633" s="55">
        <f t="shared" si="3257"/>
        <v>45310</v>
      </c>
      <c r="B633" s="56">
        <v>120.08</v>
      </c>
      <c r="C633" s="56">
        <v>92.93</v>
      </c>
      <c r="D633" s="56">
        <v>79.42</v>
      </c>
      <c r="E633" s="56">
        <v>57.56</v>
      </c>
      <c r="F633" s="56">
        <v>37.4</v>
      </c>
      <c r="G633" s="56">
        <v>126.77</v>
      </c>
      <c r="H633" s="51">
        <f t="shared" ref="H633:M633" si="3373">B633-B632</f>
        <v>3.0000000000001137E-2</v>
      </c>
      <c r="I633" s="51">
        <f t="shared" si="3373"/>
        <v>-9.9999999999994316E-2</v>
      </c>
      <c r="J633" s="51">
        <f t="shared" si="3373"/>
        <v>-6.0000000000002274E-2</v>
      </c>
      <c r="K633" s="51">
        <f t="shared" si="3373"/>
        <v>-0.14999999999999858</v>
      </c>
      <c r="L633" s="51">
        <f t="shared" si="3373"/>
        <v>0.28999999999999915</v>
      </c>
      <c r="M633" s="42">
        <f t="shared" si="3373"/>
        <v>-5.2900000000000063</v>
      </c>
      <c r="N633" s="51">
        <f t="shared" ref="N633:R633" si="3374">N632</f>
        <v>119.91249999999999</v>
      </c>
      <c r="O633" s="51">
        <f t="shared" si="3374"/>
        <v>92.97</v>
      </c>
      <c r="P633" s="51">
        <f t="shared" si="3374"/>
        <v>79.394999999999996</v>
      </c>
      <c r="Q633" s="51">
        <f t="shared" si="3374"/>
        <v>57.54</v>
      </c>
      <c r="R633" s="51">
        <f t="shared" si="3374"/>
        <v>37.265000000000001</v>
      </c>
      <c r="S633" s="51">
        <f t="shared" ref="S633:T633" si="3375">(B632+B633)/2</f>
        <v>120.065</v>
      </c>
      <c r="T633" s="51">
        <f t="shared" si="3375"/>
        <v>92.98</v>
      </c>
      <c r="U633" s="51">
        <f t="shared" si="2884"/>
        <v>79.45</v>
      </c>
      <c r="V633" s="51">
        <f t="shared" ref="V633:W633" si="3376">(E632+E633)/2</f>
        <v>57.635000000000005</v>
      </c>
      <c r="W633" s="51">
        <f t="shared" si="3376"/>
        <v>37.254999999999995</v>
      </c>
      <c r="X633" s="51">
        <f t="shared" ref="X633:AB633" si="3377">(SUM(B630:B633))/4</f>
        <v>120.0025</v>
      </c>
      <c r="Y633" s="51">
        <f t="shared" si="3377"/>
        <v>93.012500000000003</v>
      </c>
      <c r="Z633" s="51">
        <f t="shared" si="3377"/>
        <v>79.400000000000006</v>
      </c>
      <c r="AA633" s="51">
        <f t="shared" si="3377"/>
        <v>57.774999999999999</v>
      </c>
      <c r="AB633" s="51">
        <f t="shared" si="3377"/>
        <v>37.362499999999997</v>
      </c>
      <c r="AC633" s="51">
        <f t="shared" ref="AC633:AF633" si="3378">(B633+C633)/2</f>
        <v>106.505</v>
      </c>
      <c r="AD633" s="51">
        <f t="shared" si="3378"/>
        <v>86.175000000000011</v>
      </c>
      <c r="AE633" s="51">
        <f t="shared" si="3378"/>
        <v>68.490000000000009</v>
      </c>
      <c r="AF633" s="51">
        <f t="shared" si="3378"/>
        <v>47.480000000000004</v>
      </c>
      <c r="AG633" s="51">
        <f t="shared" si="3360"/>
        <v>77.475000000000009</v>
      </c>
      <c r="AH633" s="51">
        <f t="shared" si="3361"/>
        <v>72.42</v>
      </c>
      <c r="AI633" s="51">
        <f t="shared" si="3362"/>
        <v>79.894999999999996</v>
      </c>
      <c r="AJ633" s="51">
        <f t="shared" si="3363"/>
        <v>77.724000000000004</v>
      </c>
      <c r="AK633" s="51">
        <f t="shared" si="2093"/>
        <v>42.094999999999999</v>
      </c>
      <c r="AL633" s="51">
        <f t="shared" si="3364"/>
        <v>44.598299999999995</v>
      </c>
      <c r="AM633" s="51"/>
      <c r="AN633" s="51">
        <f t="shared" si="3365"/>
        <v>51.762738095238099</v>
      </c>
      <c r="AO633" s="51">
        <f t="shared" si="3366"/>
        <v>55.262738095238099</v>
      </c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8"/>
      <c r="BK633" s="8"/>
      <c r="BL633" s="8"/>
      <c r="BM633" s="8"/>
    </row>
    <row r="634" spans="1:65" ht="30" hidden="1" customHeight="1" x14ac:dyDescent="0.45">
      <c r="A634" s="55">
        <f t="shared" si="3257"/>
        <v>45317</v>
      </c>
      <c r="B634" s="56">
        <v>119.31</v>
      </c>
      <c r="C634" s="56">
        <v>92.84</v>
      </c>
      <c r="D634" s="56">
        <v>79.33</v>
      </c>
      <c r="E634" s="56">
        <v>57.07</v>
      </c>
      <c r="F634" s="56">
        <v>37.31</v>
      </c>
      <c r="G634" s="56">
        <v>122.09</v>
      </c>
      <c r="H634" s="51">
        <f t="shared" ref="H634:M634" si="3379">B634-B633</f>
        <v>-0.76999999999999602</v>
      </c>
      <c r="I634" s="51">
        <f t="shared" si="3379"/>
        <v>-9.0000000000003411E-2</v>
      </c>
      <c r="J634" s="51">
        <f t="shared" si="3379"/>
        <v>-9.0000000000003411E-2</v>
      </c>
      <c r="K634" s="51">
        <f t="shared" si="3379"/>
        <v>-0.49000000000000199</v>
      </c>
      <c r="L634" s="51">
        <f t="shared" si="3379"/>
        <v>-8.9999999999996305E-2</v>
      </c>
      <c r="M634" s="42">
        <f t="shared" si="3379"/>
        <v>-4.6799999999999926</v>
      </c>
      <c r="N634" s="51">
        <f t="shared" ref="N634:R634" si="3380">N633</f>
        <v>119.91249999999999</v>
      </c>
      <c r="O634" s="51">
        <f t="shared" si="3380"/>
        <v>92.97</v>
      </c>
      <c r="P634" s="51">
        <f t="shared" si="3380"/>
        <v>79.394999999999996</v>
      </c>
      <c r="Q634" s="51">
        <f t="shared" si="3380"/>
        <v>57.54</v>
      </c>
      <c r="R634" s="51">
        <f t="shared" si="3380"/>
        <v>37.265000000000001</v>
      </c>
      <c r="S634" s="51">
        <f t="shared" ref="S634:T634" si="3381">(B633+B634)/2</f>
        <v>119.69499999999999</v>
      </c>
      <c r="T634" s="51">
        <f t="shared" si="3381"/>
        <v>92.885000000000005</v>
      </c>
      <c r="U634" s="51">
        <f t="shared" si="2884"/>
        <v>79.375</v>
      </c>
      <c r="V634" s="51">
        <f t="shared" ref="V634:W634" si="3382">(E633+E634)/2</f>
        <v>57.314999999999998</v>
      </c>
      <c r="W634" s="51">
        <f t="shared" si="3382"/>
        <v>37.355000000000004</v>
      </c>
      <c r="X634" s="51">
        <f t="shared" ref="X634:AB634" si="3383">(SUM(B631:B634))/4</f>
        <v>119.91249999999999</v>
      </c>
      <c r="Y634" s="51">
        <f t="shared" si="3383"/>
        <v>92.97</v>
      </c>
      <c r="Z634" s="51">
        <f t="shared" si="3383"/>
        <v>79.394999999999996</v>
      </c>
      <c r="AA634" s="51">
        <f t="shared" si="3383"/>
        <v>57.54</v>
      </c>
      <c r="AB634" s="51">
        <f t="shared" si="3383"/>
        <v>37.265000000000001</v>
      </c>
      <c r="AC634" s="51">
        <f t="shared" ref="AC634:AF634" si="3384">(B634+C634)/2</f>
        <v>106.075</v>
      </c>
      <c r="AD634" s="51">
        <f t="shared" si="3384"/>
        <v>86.085000000000008</v>
      </c>
      <c r="AE634" s="51">
        <f t="shared" si="3384"/>
        <v>68.2</v>
      </c>
      <c r="AF634" s="51">
        <f t="shared" si="3384"/>
        <v>47.19</v>
      </c>
      <c r="AG634" s="51">
        <f t="shared" si="3360"/>
        <v>77.385000000000005</v>
      </c>
      <c r="AH634" s="51">
        <f t="shared" si="3361"/>
        <v>72.33</v>
      </c>
      <c r="AI634" s="51">
        <f t="shared" si="3362"/>
        <v>79.894999999999996</v>
      </c>
      <c r="AJ634" s="51">
        <f t="shared" si="3363"/>
        <v>77.719200000000001</v>
      </c>
      <c r="AK634" s="51">
        <f t="shared" si="2093"/>
        <v>41.984999999999999</v>
      </c>
      <c r="AL634" s="51">
        <f t="shared" si="3364"/>
        <v>44.494900000000001</v>
      </c>
      <c r="AM634" s="51"/>
      <c r="AN634" s="51">
        <f t="shared" si="3365"/>
        <v>51.450357142857143</v>
      </c>
      <c r="AO634" s="51">
        <f t="shared" si="3366"/>
        <v>54.950357142857143</v>
      </c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8"/>
      <c r="BK634" s="8"/>
      <c r="BL634" s="8"/>
      <c r="BM634" s="8"/>
    </row>
    <row r="635" spans="1:65" ht="30" hidden="1" customHeight="1" x14ac:dyDescent="0.45">
      <c r="A635" s="55">
        <f t="shared" si="3257"/>
        <v>45324</v>
      </c>
      <c r="B635" s="56">
        <v>118.56</v>
      </c>
      <c r="C635" s="56">
        <v>92.41</v>
      </c>
      <c r="D635" s="56">
        <v>79.14</v>
      </c>
      <c r="E635" s="56">
        <v>57.01</v>
      </c>
      <c r="F635" s="56">
        <v>37.06</v>
      </c>
      <c r="G635" s="56">
        <v>116.08</v>
      </c>
      <c r="H635" s="51">
        <f t="shared" ref="H635:M635" si="3385">B635-B634</f>
        <v>-0.75</v>
      </c>
      <c r="I635" s="51">
        <f t="shared" si="3385"/>
        <v>-0.43000000000000682</v>
      </c>
      <c r="J635" s="51">
        <f t="shared" si="3385"/>
        <v>-0.18999999999999773</v>
      </c>
      <c r="K635" s="51">
        <f t="shared" si="3385"/>
        <v>-6.0000000000002274E-2</v>
      </c>
      <c r="L635" s="51">
        <f t="shared" si="3385"/>
        <v>-0.25</v>
      </c>
      <c r="M635" s="42">
        <f t="shared" si="3385"/>
        <v>-6.0100000000000051</v>
      </c>
      <c r="N635" s="51">
        <f t="shared" ref="N635:R635" si="3386">AVERAGE(B635:B638)</f>
        <v>118.215</v>
      </c>
      <c r="O635" s="51">
        <f t="shared" si="3386"/>
        <v>93.282499999999999</v>
      </c>
      <c r="P635" s="51">
        <f t="shared" si="3386"/>
        <v>78.945000000000007</v>
      </c>
      <c r="Q635" s="51">
        <f t="shared" si="3386"/>
        <v>56.952499999999993</v>
      </c>
      <c r="R635" s="51">
        <f t="shared" si="3386"/>
        <v>36.797499999999999</v>
      </c>
      <c r="S635" s="51">
        <f t="shared" ref="S635:T635" si="3387">(B634+B635)/2</f>
        <v>118.935</v>
      </c>
      <c r="T635" s="51">
        <f t="shared" si="3387"/>
        <v>92.625</v>
      </c>
      <c r="U635" s="51">
        <f t="shared" si="2884"/>
        <v>79.234999999999999</v>
      </c>
      <c r="V635" s="51">
        <f t="shared" ref="V635:W635" si="3388">(E634+E635)/2</f>
        <v>57.04</v>
      </c>
      <c r="W635" s="51">
        <f t="shared" si="3388"/>
        <v>37.185000000000002</v>
      </c>
      <c r="X635" s="51">
        <f t="shared" ref="X635:AB635" si="3389">(SUM(B632:B635))/4</f>
        <v>119.5</v>
      </c>
      <c r="Y635" s="51">
        <f t="shared" si="3389"/>
        <v>92.802500000000009</v>
      </c>
      <c r="Z635" s="51">
        <f t="shared" si="3389"/>
        <v>79.342500000000001</v>
      </c>
      <c r="AA635" s="51">
        <f t="shared" si="3389"/>
        <v>57.337499999999999</v>
      </c>
      <c r="AB635" s="51">
        <f t="shared" si="3389"/>
        <v>37.22</v>
      </c>
      <c r="AC635" s="51">
        <f t="shared" ref="AC635:AF635" si="3390">(B635+C635)/2</f>
        <v>105.485</v>
      </c>
      <c r="AD635" s="51">
        <f t="shared" si="3390"/>
        <v>85.775000000000006</v>
      </c>
      <c r="AE635" s="51">
        <f t="shared" si="3390"/>
        <v>68.075000000000003</v>
      </c>
      <c r="AF635" s="51">
        <f t="shared" si="3390"/>
        <v>47.034999999999997</v>
      </c>
      <c r="AG635" s="51">
        <f t="shared" si="3360"/>
        <v>77.075000000000003</v>
      </c>
      <c r="AH635" s="51">
        <f t="shared" si="3361"/>
        <v>72.14</v>
      </c>
      <c r="AI635" s="51">
        <f t="shared" si="3362"/>
        <v>79.445000000000007</v>
      </c>
      <c r="AJ635" s="51">
        <f t="shared" si="3363"/>
        <v>77.668800000000005</v>
      </c>
      <c r="AK635" s="51">
        <f t="shared" si="2093"/>
        <v>41.762499999999996</v>
      </c>
      <c r="AL635" s="51">
        <f t="shared" si="3364"/>
        <v>44.285749999999993</v>
      </c>
      <c r="AM635" s="51"/>
      <c r="AN635" s="51">
        <f t="shared" si="3365"/>
        <v>51.181904761904761</v>
      </c>
      <c r="AO635" s="51">
        <f t="shared" si="3366"/>
        <v>54.681904761904761</v>
      </c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8"/>
      <c r="BK635" s="8"/>
      <c r="BL635" s="8"/>
      <c r="BM635" s="8"/>
    </row>
    <row r="636" spans="1:65" ht="30" hidden="1" customHeight="1" x14ac:dyDescent="0.45">
      <c r="A636" s="55">
        <f t="shared" si="3257"/>
        <v>45331</v>
      </c>
      <c r="B636" s="56">
        <v>118.01</v>
      </c>
      <c r="C636" s="56">
        <v>93.09</v>
      </c>
      <c r="D636" s="56">
        <v>78.540000000000006</v>
      </c>
      <c r="E636" s="56">
        <v>56.53</v>
      </c>
      <c r="F636" s="56">
        <v>36.619999999999997</v>
      </c>
      <c r="G636" s="56">
        <v>120.06</v>
      </c>
      <c r="H636" s="51">
        <f t="shared" ref="H636:M636" si="3391">B636-B635</f>
        <v>-0.54999999999999716</v>
      </c>
      <c r="I636" s="51">
        <f t="shared" si="3391"/>
        <v>0.68000000000000682</v>
      </c>
      <c r="J636" s="51">
        <f t="shared" si="3391"/>
        <v>-0.59999999999999432</v>
      </c>
      <c r="K636" s="51">
        <f t="shared" si="3391"/>
        <v>-0.47999999999999687</v>
      </c>
      <c r="L636" s="51">
        <f t="shared" si="3391"/>
        <v>-0.44000000000000483</v>
      </c>
      <c r="M636" s="42">
        <f t="shared" si="3391"/>
        <v>3.980000000000004</v>
      </c>
      <c r="N636" s="51">
        <f t="shared" ref="N636:R636" si="3392">N635</f>
        <v>118.215</v>
      </c>
      <c r="O636" s="51">
        <f t="shared" si="3392"/>
        <v>93.282499999999999</v>
      </c>
      <c r="P636" s="51">
        <f t="shared" si="3392"/>
        <v>78.945000000000007</v>
      </c>
      <c r="Q636" s="51">
        <f t="shared" si="3392"/>
        <v>56.952499999999993</v>
      </c>
      <c r="R636" s="51">
        <f t="shared" si="3392"/>
        <v>36.797499999999999</v>
      </c>
      <c r="S636" s="51">
        <f t="shared" ref="S636:T636" si="3393">(B635+B636)/2</f>
        <v>118.285</v>
      </c>
      <c r="T636" s="51">
        <f t="shared" si="3393"/>
        <v>92.75</v>
      </c>
      <c r="U636" s="51">
        <f t="shared" si="2884"/>
        <v>78.84</v>
      </c>
      <c r="V636" s="51">
        <f t="shared" ref="V636:W636" si="3394">(E635+E636)/2</f>
        <v>56.769999999999996</v>
      </c>
      <c r="W636" s="51">
        <f t="shared" si="3394"/>
        <v>36.840000000000003</v>
      </c>
      <c r="X636" s="51">
        <f t="shared" ref="X636:AB636" si="3395">(SUM(B633:B636))/4</f>
        <v>118.99</v>
      </c>
      <c r="Y636" s="51">
        <f t="shared" si="3395"/>
        <v>92.817499999999995</v>
      </c>
      <c r="Z636" s="51">
        <f t="shared" si="3395"/>
        <v>79.107500000000002</v>
      </c>
      <c r="AA636" s="51">
        <f t="shared" si="3395"/>
        <v>57.042499999999997</v>
      </c>
      <c r="AB636" s="51">
        <f t="shared" si="3395"/>
        <v>37.097500000000004</v>
      </c>
      <c r="AC636" s="51">
        <f t="shared" ref="AC636:AF636" si="3396">(B636+C636)/2</f>
        <v>105.55000000000001</v>
      </c>
      <c r="AD636" s="51">
        <f t="shared" si="3396"/>
        <v>85.814999999999998</v>
      </c>
      <c r="AE636" s="51">
        <f t="shared" si="3396"/>
        <v>67.534999999999997</v>
      </c>
      <c r="AF636" s="51">
        <f t="shared" si="3396"/>
        <v>46.575000000000003</v>
      </c>
      <c r="AG636" s="51">
        <f t="shared" si="3360"/>
        <v>77.114999999999995</v>
      </c>
      <c r="AH636" s="51">
        <f t="shared" si="3361"/>
        <v>71.540000000000006</v>
      </c>
      <c r="AI636" s="51">
        <f t="shared" si="3362"/>
        <v>79.445000000000007</v>
      </c>
      <c r="AJ636" s="51">
        <f t="shared" si="3363"/>
        <v>77.443200000000004</v>
      </c>
      <c r="AK636" s="51">
        <f t="shared" si="2093"/>
        <v>41.454999999999998</v>
      </c>
      <c r="AL636" s="51">
        <f t="shared" si="3364"/>
        <v>43.996699999999997</v>
      </c>
      <c r="AM636" s="51"/>
      <c r="AN636" s="51">
        <f t="shared" si="3365"/>
        <v>50.918333333333329</v>
      </c>
      <c r="AO636" s="51">
        <f t="shared" si="3366"/>
        <v>54.418333333333329</v>
      </c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8"/>
      <c r="BK636" s="8"/>
      <c r="BL636" s="8"/>
      <c r="BM636" s="8"/>
    </row>
    <row r="637" spans="1:65" ht="30" hidden="1" customHeight="1" x14ac:dyDescent="0.45">
      <c r="A637" s="55">
        <f t="shared" si="3257"/>
        <v>45338</v>
      </c>
      <c r="B637" s="56">
        <v>117.88</v>
      </c>
      <c r="C637" s="56">
        <v>93.37</v>
      </c>
      <c r="D637" s="56">
        <v>78.67</v>
      </c>
      <c r="E637" s="56">
        <v>56.86</v>
      </c>
      <c r="F637" s="56">
        <v>36.590000000000003</v>
      </c>
      <c r="G637" s="56">
        <v>120.94</v>
      </c>
      <c r="H637" s="51">
        <f t="shared" ref="H637:M637" si="3397">B637-B636</f>
        <v>-0.13000000000000966</v>
      </c>
      <c r="I637" s="51">
        <f t="shared" si="3397"/>
        <v>0.28000000000000114</v>
      </c>
      <c r="J637" s="51">
        <f t="shared" si="3397"/>
        <v>0.12999999999999545</v>
      </c>
      <c r="K637" s="51">
        <f t="shared" si="3397"/>
        <v>0.32999999999999829</v>
      </c>
      <c r="L637" s="51">
        <f t="shared" si="3397"/>
        <v>-2.9999999999994031E-2</v>
      </c>
      <c r="M637" s="42">
        <f t="shared" si="3397"/>
        <v>0.87999999999999545</v>
      </c>
      <c r="N637" s="51">
        <f t="shared" ref="N637:R637" si="3398">N636</f>
        <v>118.215</v>
      </c>
      <c r="O637" s="51">
        <f t="shared" si="3398"/>
        <v>93.282499999999999</v>
      </c>
      <c r="P637" s="51">
        <f t="shared" si="3398"/>
        <v>78.945000000000007</v>
      </c>
      <c r="Q637" s="51">
        <f t="shared" si="3398"/>
        <v>56.952499999999993</v>
      </c>
      <c r="R637" s="51">
        <f t="shared" si="3398"/>
        <v>36.797499999999999</v>
      </c>
      <c r="S637" s="51">
        <f t="shared" ref="S637:T637" si="3399">(B636+B637)/2</f>
        <v>117.94499999999999</v>
      </c>
      <c r="T637" s="51">
        <f t="shared" si="3399"/>
        <v>93.23</v>
      </c>
      <c r="U637" s="51">
        <f t="shared" si="2884"/>
        <v>78.605000000000004</v>
      </c>
      <c r="V637" s="51">
        <f t="shared" ref="V637:W637" si="3400">(E636+E637)/2</f>
        <v>56.695</v>
      </c>
      <c r="W637" s="51">
        <f t="shared" si="3400"/>
        <v>36.605000000000004</v>
      </c>
      <c r="X637" s="51">
        <f t="shared" ref="X637:AB637" si="3401">(SUM(B634:B637))/4</f>
        <v>118.44</v>
      </c>
      <c r="Y637" s="51">
        <f t="shared" si="3401"/>
        <v>92.927500000000009</v>
      </c>
      <c r="Z637" s="51">
        <f t="shared" si="3401"/>
        <v>78.92</v>
      </c>
      <c r="AA637" s="51">
        <f t="shared" si="3401"/>
        <v>56.867500000000007</v>
      </c>
      <c r="AB637" s="51">
        <f t="shared" si="3401"/>
        <v>36.895000000000003</v>
      </c>
      <c r="AC637" s="51">
        <f t="shared" ref="AC637:AF637" si="3402">(B637+C637)/2</f>
        <v>105.625</v>
      </c>
      <c r="AD637" s="51">
        <f t="shared" si="3402"/>
        <v>86.02000000000001</v>
      </c>
      <c r="AE637" s="51">
        <f t="shared" si="3402"/>
        <v>67.765000000000001</v>
      </c>
      <c r="AF637" s="51">
        <f t="shared" si="3402"/>
        <v>46.725000000000001</v>
      </c>
      <c r="AG637" s="51">
        <f t="shared" si="3360"/>
        <v>77.320000000000007</v>
      </c>
      <c r="AH637" s="51">
        <f t="shared" si="3361"/>
        <v>71.67</v>
      </c>
      <c r="AI637" s="51">
        <f t="shared" si="3362"/>
        <v>79.445000000000007</v>
      </c>
      <c r="AJ637" s="51">
        <f t="shared" si="3363"/>
        <v>77.263199999999998</v>
      </c>
      <c r="AK637" s="51">
        <f t="shared" si="2093"/>
        <v>41.300000000000004</v>
      </c>
      <c r="AL637" s="51">
        <f t="shared" si="3364"/>
        <v>43.851000000000006</v>
      </c>
      <c r="AM637" s="51"/>
      <c r="AN637" s="51">
        <f t="shared" si="3365"/>
        <v>50.84511904761905</v>
      </c>
      <c r="AO637" s="51">
        <f t="shared" si="3366"/>
        <v>54.34511904761905</v>
      </c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8"/>
      <c r="BK637" s="8"/>
      <c r="BL637" s="8"/>
      <c r="BM637" s="8"/>
    </row>
    <row r="638" spans="1:65" ht="30" hidden="1" customHeight="1" x14ac:dyDescent="0.45">
      <c r="A638" s="55">
        <f t="shared" si="3257"/>
        <v>45345</v>
      </c>
      <c r="B638" s="56">
        <v>118.41</v>
      </c>
      <c r="C638" s="56">
        <v>94.26</v>
      </c>
      <c r="D638" s="56">
        <v>79.430000000000007</v>
      </c>
      <c r="E638" s="56">
        <v>57.41</v>
      </c>
      <c r="F638" s="56">
        <v>36.92</v>
      </c>
      <c r="G638" s="56">
        <v>122.29</v>
      </c>
      <c r="H638" s="51">
        <f t="shared" ref="H638:M638" si="3403">B638-B637</f>
        <v>0.53000000000000114</v>
      </c>
      <c r="I638" s="51">
        <f t="shared" si="3403"/>
        <v>0.89000000000000057</v>
      </c>
      <c r="J638" s="51">
        <f t="shared" si="3403"/>
        <v>0.76000000000000512</v>
      </c>
      <c r="K638" s="51">
        <f t="shared" si="3403"/>
        <v>0.54999999999999716</v>
      </c>
      <c r="L638" s="51">
        <f t="shared" si="3403"/>
        <v>0.32999999999999829</v>
      </c>
      <c r="M638" s="42">
        <f t="shared" si="3403"/>
        <v>1.3500000000000085</v>
      </c>
      <c r="N638" s="51">
        <f t="shared" ref="N638:R638" si="3404">N637</f>
        <v>118.215</v>
      </c>
      <c r="O638" s="51">
        <f t="shared" si="3404"/>
        <v>93.282499999999999</v>
      </c>
      <c r="P638" s="51">
        <f t="shared" si="3404"/>
        <v>78.945000000000007</v>
      </c>
      <c r="Q638" s="51">
        <f t="shared" si="3404"/>
        <v>56.952499999999993</v>
      </c>
      <c r="R638" s="51">
        <f t="shared" si="3404"/>
        <v>36.797499999999999</v>
      </c>
      <c r="S638" s="51">
        <f t="shared" ref="S638:T638" si="3405">(B637+B638)/2</f>
        <v>118.145</v>
      </c>
      <c r="T638" s="51">
        <f t="shared" si="3405"/>
        <v>93.814999999999998</v>
      </c>
      <c r="U638" s="51">
        <f t="shared" si="2884"/>
        <v>79.050000000000011</v>
      </c>
      <c r="V638" s="51">
        <f t="shared" ref="V638:W638" si="3406">(E637+E638)/2</f>
        <v>57.134999999999998</v>
      </c>
      <c r="W638" s="51">
        <f t="shared" si="3406"/>
        <v>36.755000000000003</v>
      </c>
      <c r="X638" s="51">
        <f t="shared" ref="X638:AB638" si="3407">(SUM(B635:B638))/4</f>
        <v>118.215</v>
      </c>
      <c r="Y638" s="51">
        <f t="shared" si="3407"/>
        <v>93.282499999999999</v>
      </c>
      <c r="Z638" s="51">
        <f t="shared" si="3407"/>
        <v>78.945000000000007</v>
      </c>
      <c r="AA638" s="51">
        <f t="shared" si="3407"/>
        <v>56.952499999999993</v>
      </c>
      <c r="AB638" s="51">
        <f t="shared" si="3407"/>
        <v>36.797499999999999</v>
      </c>
      <c r="AC638" s="51">
        <f t="shared" ref="AC638:AF638" si="3408">(B638+C638)/2</f>
        <v>106.33500000000001</v>
      </c>
      <c r="AD638" s="51">
        <f t="shared" si="3408"/>
        <v>86.844999999999999</v>
      </c>
      <c r="AE638" s="51">
        <f t="shared" si="3408"/>
        <v>68.42</v>
      </c>
      <c r="AF638" s="51">
        <f t="shared" si="3408"/>
        <v>47.164999999999999</v>
      </c>
      <c r="AG638" s="51">
        <f t="shared" si="3360"/>
        <v>78.144999999999996</v>
      </c>
      <c r="AH638" s="51">
        <f t="shared" si="3361"/>
        <v>72.430000000000007</v>
      </c>
      <c r="AI638" s="51">
        <f t="shared" si="3362"/>
        <v>79.445000000000007</v>
      </c>
      <c r="AJ638" s="51">
        <f t="shared" si="3363"/>
        <v>77.287200000000013</v>
      </c>
      <c r="AK638" s="51">
        <f t="shared" si="2093"/>
        <v>41.594999999999999</v>
      </c>
      <c r="AL638" s="51">
        <f t="shared" si="3364"/>
        <v>44.128299999999996</v>
      </c>
      <c r="AM638" s="51"/>
      <c r="AN638" s="51">
        <f t="shared" si="3365"/>
        <v>51.274642857142858</v>
      </c>
      <c r="AO638" s="51">
        <f t="shared" si="3366"/>
        <v>54.774642857142858</v>
      </c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8"/>
      <c r="BK638" s="8"/>
      <c r="BL638" s="8"/>
      <c r="BM638" s="8"/>
    </row>
    <row r="639" spans="1:65" ht="30" hidden="1" customHeight="1" x14ac:dyDescent="0.45">
      <c r="A639" s="55">
        <f t="shared" si="3257"/>
        <v>45352</v>
      </c>
      <c r="B639" s="56">
        <v>120.12</v>
      </c>
      <c r="C639" s="56">
        <v>95.14</v>
      </c>
      <c r="D639" s="56">
        <v>79.73</v>
      </c>
      <c r="E639" s="56">
        <v>58.01</v>
      </c>
      <c r="F639" s="56">
        <v>37.229999999999997</v>
      </c>
      <c r="G639" s="56">
        <v>126.01</v>
      </c>
      <c r="H639" s="51">
        <f t="shared" ref="H639:M639" si="3409">B639-B638</f>
        <v>1.710000000000008</v>
      </c>
      <c r="I639" s="51">
        <f t="shared" si="3409"/>
        <v>0.87999999999999545</v>
      </c>
      <c r="J639" s="51">
        <f t="shared" si="3409"/>
        <v>0.29999999999999716</v>
      </c>
      <c r="K639" s="51">
        <f t="shared" si="3409"/>
        <v>0.60000000000000142</v>
      </c>
      <c r="L639" s="51">
        <f t="shared" si="3409"/>
        <v>0.30999999999999517</v>
      </c>
      <c r="M639" s="42">
        <f t="shared" si="3409"/>
        <v>3.7199999999999989</v>
      </c>
      <c r="N639" s="51">
        <f t="shared" ref="N639:R639" si="3410">AVERAGE(B639:B643)</f>
        <v>121.68600000000001</v>
      </c>
      <c r="O639" s="51">
        <f t="shared" si="3410"/>
        <v>95.364000000000004</v>
      </c>
      <c r="P639" s="51">
        <f t="shared" si="3410"/>
        <v>78.221999999999994</v>
      </c>
      <c r="Q639" s="51">
        <f t="shared" si="3410"/>
        <v>57.196000000000005</v>
      </c>
      <c r="R639" s="51">
        <f t="shared" si="3410"/>
        <v>36.534000000000006</v>
      </c>
      <c r="S639" s="51">
        <f t="shared" ref="S639:T639" si="3411">(B638+B639)/2</f>
        <v>119.265</v>
      </c>
      <c r="T639" s="51">
        <f t="shared" si="3411"/>
        <v>94.7</v>
      </c>
      <c r="U639" s="51">
        <f t="shared" si="2884"/>
        <v>79.580000000000013</v>
      </c>
      <c r="V639" s="51">
        <f t="shared" ref="V639:W639" si="3412">(E638+E639)/2</f>
        <v>57.709999999999994</v>
      </c>
      <c r="W639" s="51">
        <f t="shared" si="3412"/>
        <v>37.075000000000003</v>
      </c>
      <c r="X639" s="51">
        <f t="shared" ref="X639:AB639" si="3413">(SUM(B636:B639))/4</f>
        <v>118.60499999999999</v>
      </c>
      <c r="Y639" s="51">
        <f t="shared" si="3413"/>
        <v>93.965000000000003</v>
      </c>
      <c r="Z639" s="51">
        <f t="shared" si="3413"/>
        <v>79.092500000000001</v>
      </c>
      <c r="AA639" s="51">
        <f t="shared" si="3413"/>
        <v>57.202500000000001</v>
      </c>
      <c r="AB639" s="51">
        <f t="shared" si="3413"/>
        <v>36.840000000000003</v>
      </c>
      <c r="AC639" s="51">
        <f t="shared" ref="AC639:AF639" si="3414">(B639+C639)/2</f>
        <v>107.63</v>
      </c>
      <c r="AD639" s="51">
        <f t="shared" si="3414"/>
        <v>87.435000000000002</v>
      </c>
      <c r="AE639" s="51">
        <f t="shared" si="3414"/>
        <v>68.87</v>
      </c>
      <c r="AF639" s="51">
        <f t="shared" si="3414"/>
        <v>47.62</v>
      </c>
      <c r="AG639" s="51">
        <f t="shared" si="3360"/>
        <v>78.734999999999999</v>
      </c>
      <c r="AH639" s="51">
        <f t="shared" si="3361"/>
        <v>72.73</v>
      </c>
      <c r="AI639" s="51">
        <f t="shared" si="3362"/>
        <v>78.721999999999994</v>
      </c>
      <c r="AJ639" s="51">
        <f t="shared" si="3363"/>
        <v>77.428799999999995</v>
      </c>
      <c r="AK639" s="51">
        <f t="shared" si="2093"/>
        <v>42.042499999999997</v>
      </c>
      <c r="AL639" s="51">
        <f t="shared" si="3364"/>
        <v>44.548949999999998</v>
      </c>
      <c r="AM639" s="51"/>
      <c r="AN639" s="51">
        <f t="shared" si="3365"/>
        <v>51.835952380952371</v>
      </c>
      <c r="AO639" s="51">
        <f t="shared" si="3366"/>
        <v>55.335952380952371</v>
      </c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8"/>
      <c r="BK639" s="8"/>
      <c r="BL639" s="8"/>
      <c r="BM639" s="8"/>
    </row>
    <row r="640" spans="1:65" ht="30" hidden="1" customHeight="1" x14ac:dyDescent="0.45">
      <c r="A640" s="55">
        <f t="shared" si="3257"/>
        <v>45359</v>
      </c>
      <c r="B640" s="56">
        <v>121.55</v>
      </c>
      <c r="C640" s="56">
        <v>96.17</v>
      </c>
      <c r="D640" s="56">
        <v>79.98</v>
      </c>
      <c r="E640" s="56">
        <v>58.17</v>
      </c>
      <c r="F640" s="56">
        <v>37.369999999999997</v>
      </c>
      <c r="G640" s="56">
        <v>135.69</v>
      </c>
      <c r="H640" s="51">
        <f t="shared" ref="H640:M640" si="3415">B640-B639</f>
        <v>1.4299999999999926</v>
      </c>
      <c r="I640" s="51">
        <f t="shared" si="3415"/>
        <v>1.0300000000000011</v>
      </c>
      <c r="J640" s="51">
        <f t="shared" si="3415"/>
        <v>0.25</v>
      </c>
      <c r="K640" s="51">
        <f t="shared" si="3415"/>
        <v>0.16000000000000369</v>
      </c>
      <c r="L640" s="51">
        <f t="shared" si="3415"/>
        <v>0.14000000000000057</v>
      </c>
      <c r="M640" s="42">
        <f t="shared" si="3415"/>
        <v>9.6799999999999926</v>
      </c>
      <c r="N640" s="51">
        <f t="shared" ref="N640:R640" si="3416">N639</f>
        <v>121.68600000000001</v>
      </c>
      <c r="O640" s="51">
        <f t="shared" si="3416"/>
        <v>95.364000000000004</v>
      </c>
      <c r="P640" s="51">
        <f t="shared" si="3416"/>
        <v>78.221999999999994</v>
      </c>
      <c r="Q640" s="51">
        <f t="shared" si="3416"/>
        <v>57.196000000000005</v>
      </c>
      <c r="R640" s="51">
        <f t="shared" si="3416"/>
        <v>36.534000000000006</v>
      </c>
      <c r="S640" s="51">
        <f t="shared" ref="S640:T640" si="3417">(B639+B640)/2</f>
        <v>120.83500000000001</v>
      </c>
      <c r="T640" s="51">
        <f t="shared" si="3417"/>
        <v>95.655000000000001</v>
      </c>
      <c r="U640" s="51">
        <f t="shared" si="2884"/>
        <v>79.855000000000004</v>
      </c>
      <c r="V640" s="51">
        <f t="shared" ref="V640:W640" si="3418">(E639+E640)/2</f>
        <v>58.09</v>
      </c>
      <c r="W640" s="51">
        <f t="shared" si="3418"/>
        <v>37.299999999999997</v>
      </c>
      <c r="X640" s="51">
        <f t="shared" ref="X640:AB640" si="3419">(SUM(B637:B640))/4</f>
        <v>119.49</v>
      </c>
      <c r="Y640" s="51">
        <f t="shared" si="3419"/>
        <v>94.734999999999999</v>
      </c>
      <c r="Z640" s="51">
        <f t="shared" si="3419"/>
        <v>79.452500000000015</v>
      </c>
      <c r="AA640" s="51">
        <f t="shared" si="3419"/>
        <v>57.612499999999997</v>
      </c>
      <c r="AB640" s="51">
        <f t="shared" si="3419"/>
        <v>37.027500000000003</v>
      </c>
      <c r="AC640" s="51">
        <f t="shared" ref="AC640:AF640" si="3420">(B640+C640)/2</f>
        <v>108.86</v>
      </c>
      <c r="AD640" s="51">
        <f t="shared" si="3420"/>
        <v>88.075000000000003</v>
      </c>
      <c r="AE640" s="51">
        <f t="shared" si="3420"/>
        <v>69.075000000000003</v>
      </c>
      <c r="AF640" s="51">
        <f t="shared" si="3420"/>
        <v>47.769999999999996</v>
      </c>
      <c r="AG640" s="51">
        <f t="shared" si="3360"/>
        <v>79.375</v>
      </c>
      <c r="AH640" s="51">
        <f t="shared" si="3361"/>
        <v>72.98</v>
      </c>
      <c r="AI640" s="51">
        <f t="shared" si="3362"/>
        <v>78.721999999999994</v>
      </c>
      <c r="AJ640" s="51">
        <f t="shared" si="3363"/>
        <v>77.774400000000014</v>
      </c>
      <c r="AK640" s="51">
        <f t="shared" si="2093"/>
        <v>42.344999999999999</v>
      </c>
      <c r="AL640" s="51">
        <f t="shared" si="3364"/>
        <v>44.833300000000001</v>
      </c>
      <c r="AM640" s="51"/>
      <c r="AN640" s="51">
        <f t="shared" si="3365"/>
        <v>52.206904761904759</v>
      </c>
      <c r="AO640" s="51">
        <f t="shared" si="3366"/>
        <v>55.706904761904759</v>
      </c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8"/>
      <c r="BK640" s="8"/>
      <c r="BL640" s="8"/>
      <c r="BM640" s="8"/>
    </row>
    <row r="641" spans="1:65" ht="30" hidden="1" customHeight="1" x14ac:dyDescent="0.45">
      <c r="A641" s="55">
        <f t="shared" si="3257"/>
        <v>45366</v>
      </c>
      <c r="B641" s="56">
        <v>122.98</v>
      </c>
      <c r="C641" s="56">
        <v>96.41</v>
      </c>
      <c r="D641" s="56">
        <v>78.92</v>
      </c>
      <c r="E641" s="56">
        <v>57.67</v>
      </c>
      <c r="F641" s="56">
        <v>36.9</v>
      </c>
      <c r="G641" s="56">
        <v>131.53</v>
      </c>
      <c r="H641" s="51">
        <f t="shared" ref="H641:M641" si="3421">B641-B640</f>
        <v>1.4300000000000068</v>
      </c>
      <c r="I641" s="51">
        <f t="shared" si="3421"/>
        <v>0.23999999999999488</v>
      </c>
      <c r="J641" s="51">
        <f t="shared" si="3421"/>
        <v>-1.0600000000000023</v>
      </c>
      <c r="K641" s="51">
        <f t="shared" si="3421"/>
        <v>-0.5</v>
      </c>
      <c r="L641" s="51">
        <f t="shared" si="3421"/>
        <v>-0.46999999999999886</v>
      </c>
      <c r="M641" s="42">
        <f t="shared" si="3421"/>
        <v>-4.1599999999999966</v>
      </c>
      <c r="N641" s="51">
        <f t="shared" ref="N641:R641" si="3422">N640</f>
        <v>121.68600000000001</v>
      </c>
      <c r="O641" s="51">
        <f t="shared" si="3422"/>
        <v>95.364000000000004</v>
      </c>
      <c r="P641" s="51">
        <f t="shared" si="3422"/>
        <v>78.221999999999994</v>
      </c>
      <c r="Q641" s="51">
        <f t="shared" si="3422"/>
        <v>57.196000000000005</v>
      </c>
      <c r="R641" s="51">
        <f t="shared" si="3422"/>
        <v>36.534000000000006</v>
      </c>
      <c r="S641" s="51">
        <f t="shared" ref="S641:T641" si="3423">(B640+B641)/2</f>
        <v>122.265</v>
      </c>
      <c r="T641" s="51">
        <f t="shared" si="3423"/>
        <v>96.289999999999992</v>
      </c>
      <c r="U641" s="51">
        <f t="shared" si="2884"/>
        <v>79.45</v>
      </c>
      <c r="V641" s="51">
        <f t="shared" ref="V641:W641" si="3424">(E640+E641)/2</f>
        <v>57.92</v>
      </c>
      <c r="W641" s="51">
        <f t="shared" si="3424"/>
        <v>37.134999999999998</v>
      </c>
      <c r="X641" s="51">
        <f t="shared" ref="X641:AB641" si="3425">(SUM(B638:B641))/4</f>
        <v>120.765</v>
      </c>
      <c r="Y641" s="51">
        <f t="shared" si="3425"/>
        <v>95.495000000000005</v>
      </c>
      <c r="Z641" s="51">
        <f t="shared" si="3425"/>
        <v>79.515000000000015</v>
      </c>
      <c r="AA641" s="51">
        <f t="shared" si="3425"/>
        <v>57.814999999999998</v>
      </c>
      <c r="AB641" s="51">
        <f t="shared" si="3425"/>
        <v>37.105000000000004</v>
      </c>
      <c r="AC641" s="51">
        <f t="shared" ref="AC641:AF641" si="3426">(B641+C641)/2</f>
        <v>109.69499999999999</v>
      </c>
      <c r="AD641" s="51">
        <f t="shared" si="3426"/>
        <v>87.664999999999992</v>
      </c>
      <c r="AE641" s="51">
        <f t="shared" si="3426"/>
        <v>68.295000000000002</v>
      </c>
      <c r="AF641" s="51">
        <f t="shared" si="3426"/>
        <v>47.284999999999997</v>
      </c>
      <c r="AG641" s="51">
        <f t="shared" si="3360"/>
        <v>78.964999999999989</v>
      </c>
      <c r="AH641" s="51">
        <f t="shared" si="3361"/>
        <v>71.92</v>
      </c>
      <c r="AI641" s="51">
        <f t="shared" si="3362"/>
        <v>78.721999999999994</v>
      </c>
      <c r="AJ641" s="51">
        <f t="shared" si="3363"/>
        <v>77.834400000000016</v>
      </c>
      <c r="AK641" s="51">
        <f t="shared" si="2093"/>
        <v>42.177500000000002</v>
      </c>
      <c r="AL641" s="51">
        <f t="shared" si="3364"/>
        <v>44.675850000000004</v>
      </c>
      <c r="AM641" s="51"/>
      <c r="AN641" s="51">
        <f t="shared" si="3365"/>
        <v>52.040952380952383</v>
      </c>
      <c r="AO641" s="51">
        <f t="shared" si="3366"/>
        <v>55.540952380952383</v>
      </c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8"/>
      <c r="BK641" s="8"/>
      <c r="BL641" s="8"/>
      <c r="BM641" s="8"/>
    </row>
    <row r="642" spans="1:65" ht="30" hidden="1" customHeight="1" x14ac:dyDescent="0.45">
      <c r="A642" s="55">
        <f t="shared" si="3257"/>
        <v>45373</v>
      </c>
      <c r="B642" s="56">
        <v>122.21</v>
      </c>
      <c r="C642" s="56">
        <v>95.08</v>
      </c>
      <c r="D642" s="56">
        <v>77.03</v>
      </c>
      <c r="E642" s="56">
        <v>56.43</v>
      </c>
      <c r="F642" s="56">
        <v>35.86</v>
      </c>
      <c r="G642" s="56">
        <v>125.05</v>
      </c>
      <c r="H642" s="51">
        <f t="shared" ref="H642:M642" si="3427">B642-B641</f>
        <v>-0.77000000000001023</v>
      </c>
      <c r="I642" s="51">
        <f t="shared" si="3427"/>
        <v>-1.3299999999999983</v>
      </c>
      <c r="J642" s="51">
        <f t="shared" si="3427"/>
        <v>-1.8900000000000006</v>
      </c>
      <c r="K642" s="51">
        <f t="shared" si="3427"/>
        <v>-1.240000000000002</v>
      </c>
      <c r="L642" s="51">
        <f t="shared" si="3427"/>
        <v>-1.0399999999999991</v>
      </c>
      <c r="M642" s="42">
        <f t="shared" si="3427"/>
        <v>-6.480000000000004</v>
      </c>
      <c r="N642" s="51">
        <f t="shared" ref="N642:R642" si="3428">N641</f>
        <v>121.68600000000001</v>
      </c>
      <c r="O642" s="51">
        <f t="shared" si="3428"/>
        <v>95.364000000000004</v>
      </c>
      <c r="P642" s="51">
        <f t="shared" si="3428"/>
        <v>78.221999999999994</v>
      </c>
      <c r="Q642" s="51">
        <f t="shared" si="3428"/>
        <v>57.196000000000005</v>
      </c>
      <c r="R642" s="51">
        <f t="shared" si="3428"/>
        <v>36.534000000000006</v>
      </c>
      <c r="S642" s="51">
        <f t="shared" ref="S642:T642" si="3429">(B641+B642)/2</f>
        <v>122.595</v>
      </c>
      <c r="T642" s="51">
        <f t="shared" si="3429"/>
        <v>95.745000000000005</v>
      </c>
      <c r="U642" s="51">
        <f t="shared" si="2884"/>
        <v>77.974999999999994</v>
      </c>
      <c r="V642" s="51">
        <f t="shared" ref="V642:W642" si="3430">(E641+E642)/2</f>
        <v>57.05</v>
      </c>
      <c r="W642" s="51">
        <f t="shared" si="3430"/>
        <v>36.379999999999995</v>
      </c>
      <c r="X642" s="51">
        <f t="shared" ref="X642:AB642" si="3431">(SUM(B639:B642))/4</f>
        <v>121.715</v>
      </c>
      <c r="Y642" s="51">
        <f t="shared" si="3431"/>
        <v>95.7</v>
      </c>
      <c r="Z642" s="51">
        <f t="shared" si="3431"/>
        <v>78.914999999999992</v>
      </c>
      <c r="AA642" s="51">
        <f t="shared" si="3431"/>
        <v>57.570000000000007</v>
      </c>
      <c r="AB642" s="51">
        <f t="shared" si="3431"/>
        <v>36.840000000000003</v>
      </c>
      <c r="AC642" s="51">
        <f t="shared" ref="AC642:AF642" si="3432">(B642+C642)/2</f>
        <v>108.645</v>
      </c>
      <c r="AD642" s="51">
        <f t="shared" si="3432"/>
        <v>86.055000000000007</v>
      </c>
      <c r="AE642" s="51">
        <f t="shared" si="3432"/>
        <v>66.73</v>
      </c>
      <c r="AF642" s="51">
        <f t="shared" si="3432"/>
        <v>46.144999999999996</v>
      </c>
      <c r="AG642" s="51">
        <f t="shared" si="3360"/>
        <v>77.355000000000004</v>
      </c>
      <c r="AH642" s="51">
        <f t="shared" si="3361"/>
        <v>70.03</v>
      </c>
      <c r="AI642" s="51">
        <f t="shared" si="3362"/>
        <v>78.721999999999994</v>
      </c>
      <c r="AJ642" s="51">
        <f t="shared" si="3363"/>
        <v>77.258399999999995</v>
      </c>
      <c r="AK642" s="51">
        <f t="shared" si="2093"/>
        <v>41.364999999999995</v>
      </c>
      <c r="AL642" s="51">
        <f t="shared" si="3364"/>
        <v>43.912099999999995</v>
      </c>
      <c r="AM642" s="51"/>
      <c r="AN642" s="51">
        <f t="shared" si="3365"/>
        <v>51.19166666666667</v>
      </c>
      <c r="AO642" s="51">
        <f t="shared" si="3366"/>
        <v>54.69166666666667</v>
      </c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8"/>
      <c r="BK642" s="8"/>
      <c r="BL642" s="8"/>
      <c r="BM642" s="8"/>
    </row>
    <row r="643" spans="1:65" ht="30" hidden="1" customHeight="1" x14ac:dyDescent="0.45">
      <c r="A643" s="55">
        <f t="shared" si="3257"/>
        <v>45380</v>
      </c>
      <c r="B643" s="56">
        <v>121.57</v>
      </c>
      <c r="C643" s="56">
        <v>94.02</v>
      </c>
      <c r="D643" s="56">
        <v>75.45</v>
      </c>
      <c r="E643" s="56">
        <v>55.7</v>
      </c>
      <c r="F643" s="56">
        <v>35.31</v>
      </c>
      <c r="G643" s="56">
        <v>127.77</v>
      </c>
      <c r="H643" s="51">
        <f t="shared" ref="H643:M643" si="3433">B643-B642</f>
        <v>-0.64000000000000057</v>
      </c>
      <c r="I643" s="51">
        <f t="shared" si="3433"/>
        <v>-1.0600000000000023</v>
      </c>
      <c r="J643" s="51">
        <f t="shared" si="3433"/>
        <v>-1.5799999999999983</v>
      </c>
      <c r="K643" s="51">
        <f t="shared" si="3433"/>
        <v>-0.72999999999999687</v>
      </c>
      <c r="L643" s="51">
        <f t="shared" si="3433"/>
        <v>-0.54999999999999716</v>
      </c>
      <c r="M643" s="42">
        <f t="shared" si="3433"/>
        <v>2.7199999999999989</v>
      </c>
      <c r="N643" s="51">
        <f t="shared" ref="N643:R643" si="3434">N642</f>
        <v>121.68600000000001</v>
      </c>
      <c r="O643" s="51">
        <f t="shared" si="3434"/>
        <v>95.364000000000004</v>
      </c>
      <c r="P643" s="51">
        <f t="shared" si="3434"/>
        <v>78.221999999999994</v>
      </c>
      <c r="Q643" s="51">
        <f t="shared" si="3434"/>
        <v>57.196000000000005</v>
      </c>
      <c r="R643" s="51">
        <f t="shared" si="3434"/>
        <v>36.534000000000006</v>
      </c>
      <c r="S643" s="51">
        <f t="shared" ref="S643:T643" si="3435">(B642+B643)/2</f>
        <v>121.88999999999999</v>
      </c>
      <c r="T643" s="51">
        <f t="shared" si="3435"/>
        <v>94.55</v>
      </c>
      <c r="U643" s="51">
        <f t="shared" si="2884"/>
        <v>76.240000000000009</v>
      </c>
      <c r="V643" s="51">
        <f t="shared" ref="V643:W643" si="3436">(E642+E643)/2</f>
        <v>56.064999999999998</v>
      </c>
      <c r="W643" s="51">
        <f t="shared" si="3436"/>
        <v>35.585000000000001</v>
      </c>
      <c r="X643" s="51">
        <f t="shared" ref="X643:AB643" si="3437">(SUM(B640:B643))/4</f>
        <v>122.0775</v>
      </c>
      <c r="Y643" s="51">
        <f t="shared" si="3437"/>
        <v>95.419999999999987</v>
      </c>
      <c r="Z643" s="51">
        <f t="shared" si="3437"/>
        <v>77.844999999999999</v>
      </c>
      <c r="AA643" s="51">
        <f t="shared" si="3437"/>
        <v>56.992500000000007</v>
      </c>
      <c r="AB643" s="51">
        <f t="shared" si="3437"/>
        <v>36.36</v>
      </c>
      <c r="AC643" s="51">
        <f t="shared" ref="AC643:AF643" si="3438">(B643+C643)/2</f>
        <v>107.79499999999999</v>
      </c>
      <c r="AD643" s="51">
        <f t="shared" si="3438"/>
        <v>84.734999999999999</v>
      </c>
      <c r="AE643" s="51">
        <f t="shared" si="3438"/>
        <v>65.575000000000003</v>
      </c>
      <c r="AF643" s="51">
        <f t="shared" si="3438"/>
        <v>45.505000000000003</v>
      </c>
      <c r="AG643" s="51">
        <f t="shared" si="3360"/>
        <v>76.034999999999997</v>
      </c>
      <c r="AH643" s="51">
        <f t="shared" si="3361"/>
        <v>68.45</v>
      </c>
      <c r="AI643" s="51">
        <f t="shared" si="3362"/>
        <v>78.721999999999994</v>
      </c>
      <c r="AJ643" s="51">
        <f t="shared" si="3363"/>
        <v>76.231200000000001</v>
      </c>
      <c r="AK643" s="51">
        <f t="shared" si="2093"/>
        <v>40.475000000000001</v>
      </c>
      <c r="AL643" s="51">
        <f t="shared" si="3364"/>
        <v>43.075499999999998</v>
      </c>
      <c r="AM643" s="51"/>
      <c r="AN643" s="51">
        <f t="shared" si="3365"/>
        <v>50.230119047619048</v>
      </c>
      <c r="AO643" s="51">
        <f t="shared" si="3366"/>
        <v>53.730119047619048</v>
      </c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8"/>
      <c r="BK643" s="8"/>
      <c r="BL643" s="8"/>
      <c r="BM643" s="8"/>
    </row>
    <row r="644" spans="1:65" ht="30" hidden="1" customHeight="1" x14ac:dyDescent="0.45">
      <c r="A644" s="55">
        <f t="shared" si="3257"/>
        <v>45387</v>
      </c>
      <c r="B644" s="56">
        <v>121.54</v>
      </c>
      <c r="C644" s="56">
        <v>92.92</v>
      </c>
      <c r="D644" s="56">
        <v>74.28</v>
      </c>
      <c r="E644" s="56">
        <v>54.83</v>
      </c>
      <c r="F644" s="56">
        <v>34.869999999999997</v>
      </c>
      <c r="G644" s="56">
        <v>129.27000000000001</v>
      </c>
      <c r="H644" s="51">
        <f t="shared" ref="H644:M644" si="3439">B644-B643</f>
        <v>-2.9999999999986926E-2</v>
      </c>
      <c r="I644" s="51">
        <f t="shared" si="3439"/>
        <v>-1.0999999999999943</v>
      </c>
      <c r="J644" s="51">
        <f t="shared" si="3439"/>
        <v>-1.1700000000000017</v>
      </c>
      <c r="K644" s="51">
        <f t="shared" si="3439"/>
        <v>-0.87000000000000455</v>
      </c>
      <c r="L644" s="51">
        <f t="shared" si="3439"/>
        <v>-0.44000000000000483</v>
      </c>
      <c r="M644" s="42">
        <f t="shared" si="3439"/>
        <v>1.5000000000000142</v>
      </c>
      <c r="N644" s="51">
        <f t="shared" ref="N644:R644" si="3440">AVERAGE(B644:B647)</f>
        <v>119.4975</v>
      </c>
      <c r="O644" s="51">
        <f t="shared" si="3440"/>
        <v>91.457499999999996</v>
      </c>
      <c r="P644" s="51">
        <f t="shared" si="3440"/>
        <v>72.502499999999998</v>
      </c>
      <c r="Q644" s="51">
        <f t="shared" si="3440"/>
        <v>54.5075</v>
      </c>
      <c r="R644" s="51">
        <f t="shared" si="3440"/>
        <v>34.552499999999995</v>
      </c>
      <c r="S644" s="51">
        <f t="shared" ref="S644:T644" si="3441">(B643+B644)/2</f>
        <v>121.55500000000001</v>
      </c>
      <c r="T644" s="51">
        <f t="shared" si="3441"/>
        <v>93.47</v>
      </c>
      <c r="U644" s="51">
        <f t="shared" si="2884"/>
        <v>74.865000000000009</v>
      </c>
      <c r="V644" s="51">
        <f t="shared" ref="V644:W644" si="3442">(E643+E644)/2</f>
        <v>55.265000000000001</v>
      </c>
      <c r="W644" s="51">
        <f t="shared" si="3442"/>
        <v>35.090000000000003</v>
      </c>
      <c r="X644" s="51">
        <f t="shared" ref="X644:AB644" si="3443">(SUM(B641:B644))/4</f>
        <v>122.075</v>
      </c>
      <c r="Y644" s="51">
        <f t="shared" si="3443"/>
        <v>94.607500000000002</v>
      </c>
      <c r="Z644" s="51">
        <f t="shared" si="3443"/>
        <v>76.419999999999987</v>
      </c>
      <c r="AA644" s="51">
        <f t="shared" si="3443"/>
        <v>56.157499999999999</v>
      </c>
      <c r="AB644" s="51">
        <f t="shared" si="3443"/>
        <v>35.734999999999999</v>
      </c>
      <c r="AC644" s="51">
        <f t="shared" ref="AC644:AF644" si="3444">(B644+C644)/2</f>
        <v>107.23</v>
      </c>
      <c r="AD644" s="51">
        <f t="shared" si="3444"/>
        <v>83.6</v>
      </c>
      <c r="AE644" s="51">
        <f t="shared" si="3444"/>
        <v>64.555000000000007</v>
      </c>
      <c r="AF644" s="51">
        <f t="shared" si="3444"/>
        <v>44.849999999999994</v>
      </c>
      <c r="AG644" s="51">
        <f t="shared" si="3360"/>
        <v>74.899999999999991</v>
      </c>
      <c r="AH644" s="51">
        <f t="shared" si="3361"/>
        <v>67.28</v>
      </c>
      <c r="AI644" s="51">
        <f t="shared" si="3362"/>
        <v>73.002499999999998</v>
      </c>
      <c r="AJ644" s="51">
        <f t="shared" si="3363"/>
        <v>74.863199999999992</v>
      </c>
      <c r="AK644" s="51">
        <f t="shared" si="2093"/>
        <v>39.827500000000001</v>
      </c>
      <c r="AL644" s="51">
        <f t="shared" si="3364"/>
        <v>42.466850000000001</v>
      </c>
      <c r="AM644" s="51"/>
      <c r="AN644" s="51">
        <f t="shared" si="3365"/>
        <v>49.449166666666663</v>
      </c>
      <c r="AO644" s="51">
        <f t="shared" si="3366"/>
        <v>52.949166666666663</v>
      </c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8"/>
      <c r="BK644" s="8"/>
      <c r="BL644" s="8"/>
      <c r="BM644" s="8"/>
    </row>
    <row r="645" spans="1:65" ht="30" hidden="1" customHeight="1" x14ac:dyDescent="0.45">
      <c r="A645" s="55">
        <f t="shared" si="3257"/>
        <v>45394</v>
      </c>
      <c r="B645" s="56">
        <v>117.61</v>
      </c>
      <c r="C645" s="56">
        <v>89.8</v>
      </c>
      <c r="D645" s="56">
        <v>71.56</v>
      </c>
      <c r="E645" s="56">
        <v>53.81</v>
      </c>
      <c r="F645" s="56">
        <v>34.39</v>
      </c>
      <c r="G645" s="56">
        <v>125.54</v>
      </c>
      <c r="H645" s="51">
        <f t="shared" ref="H645:M645" si="3445">B645-B644</f>
        <v>-3.9300000000000068</v>
      </c>
      <c r="I645" s="51">
        <f t="shared" si="3445"/>
        <v>-3.1200000000000045</v>
      </c>
      <c r="J645" s="51">
        <f t="shared" si="3445"/>
        <v>-2.7199999999999989</v>
      </c>
      <c r="K645" s="51">
        <f t="shared" si="3445"/>
        <v>-1.019999999999996</v>
      </c>
      <c r="L645" s="51">
        <f t="shared" si="3445"/>
        <v>-0.47999999999999687</v>
      </c>
      <c r="M645" s="42">
        <f t="shared" si="3445"/>
        <v>-3.730000000000004</v>
      </c>
      <c r="N645" s="51">
        <f t="shared" ref="N645:R645" si="3446">N644</f>
        <v>119.4975</v>
      </c>
      <c r="O645" s="51">
        <f t="shared" si="3446"/>
        <v>91.457499999999996</v>
      </c>
      <c r="P645" s="51">
        <f t="shared" si="3446"/>
        <v>72.502499999999998</v>
      </c>
      <c r="Q645" s="51">
        <f t="shared" si="3446"/>
        <v>54.5075</v>
      </c>
      <c r="R645" s="51">
        <f t="shared" si="3446"/>
        <v>34.552499999999995</v>
      </c>
      <c r="S645" s="51">
        <f t="shared" ref="S645:T645" si="3447">(B644+B645)/2</f>
        <v>119.575</v>
      </c>
      <c r="T645" s="51">
        <f t="shared" si="3447"/>
        <v>91.36</v>
      </c>
      <c r="U645" s="51">
        <f t="shared" si="2884"/>
        <v>72.92</v>
      </c>
      <c r="V645" s="51">
        <f t="shared" ref="V645:W645" si="3448">(E644+E645)/2</f>
        <v>54.32</v>
      </c>
      <c r="W645" s="51">
        <f t="shared" si="3448"/>
        <v>34.629999999999995</v>
      </c>
      <c r="X645" s="51">
        <f t="shared" ref="X645:AB645" si="3449">(SUM(B642:B645))/4</f>
        <v>120.7325</v>
      </c>
      <c r="Y645" s="51">
        <f t="shared" si="3449"/>
        <v>92.954999999999998</v>
      </c>
      <c r="Z645" s="51">
        <f t="shared" si="3449"/>
        <v>74.580000000000013</v>
      </c>
      <c r="AA645" s="51">
        <f t="shared" si="3449"/>
        <v>55.192499999999995</v>
      </c>
      <c r="AB645" s="51">
        <f t="shared" si="3449"/>
        <v>35.107500000000002</v>
      </c>
      <c r="AC645" s="51">
        <f t="shared" ref="AC645:AF645" si="3450">(B645+C645)/2</f>
        <v>103.705</v>
      </c>
      <c r="AD645" s="51">
        <f t="shared" si="3450"/>
        <v>80.680000000000007</v>
      </c>
      <c r="AE645" s="51">
        <f t="shared" si="3450"/>
        <v>62.685000000000002</v>
      </c>
      <c r="AF645" s="51">
        <f t="shared" si="3450"/>
        <v>44.1</v>
      </c>
      <c r="AG645" s="51">
        <f t="shared" si="3360"/>
        <v>71.98</v>
      </c>
      <c r="AH645" s="51">
        <f t="shared" si="3361"/>
        <v>64.56</v>
      </c>
      <c r="AI645" s="51">
        <f t="shared" si="3362"/>
        <v>73.002499999999998</v>
      </c>
      <c r="AJ645" s="51">
        <f t="shared" si="3363"/>
        <v>73.096800000000016</v>
      </c>
      <c r="AK645" s="51">
        <f t="shared" si="2093"/>
        <v>39.124999999999993</v>
      </c>
      <c r="AL645" s="51">
        <f t="shared" si="3364"/>
        <v>41.806499999999993</v>
      </c>
      <c r="AM645" s="51"/>
      <c r="AN645" s="51">
        <f t="shared" si="3365"/>
        <v>48.526666666666664</v>
      </c>
      <c r="AO645" s="51">
        <f t="shared" si="3366"/>
        <v>52.026666666666664</v>
      </c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8"/>
      <c r="BK645" s="8"/>
      <c r="BL645" s="8"/>
      <c r="BM645" s="8"/>
    </row>
    <row r="646" spans="1:65" ht="30" hidden="1" customHeight="1" x14ac:dyDescent="0.45">
      <c r="A646" s="55">
        <f t="shared" si="3257"/>
        <v>45401</v>
      </c>
      <c r="B646" s="56">
        <v>118.91</v>
      </c>
      <c r="C646" s="56">
        <v>91.16</v>
      </c>
      <c r="D646" s="56">
        <v>72.12</v>
      </c>
      <c r="E646" s="56">
        <v>54.76</v>
      </c>
      <c r="F646" s="56">
        <v>34.39</v>
      </c>
      <c r="G646" s="56">
        <v>130.07</v>
      </c>
      <c r="H646" s="51">
        <f t="shared" ref="H646:M646" si="3451">B646-B645</f>
        <v>1.2999999999999972</v>
      </c>
      <c r="I646" s="51">
        <f t="shared" si="3451"/>
        <v>1.3599999999999994</v>
      </c>
      <c r="J646" s="51">
        <f t="shared" si="3451"/>
        <v>0.56000000000000227</v>
      </c>
      <c r="K646" s="51">
        <f t="shared" si="3451"/>
        <v>0.94999999999999574</v>
      </c>
      <c r="L646" s="51">
        <f t="shared" si="3451"/>
        <v>0</v>
      </c>
      <c r="M646" s="42">
        <f t="shared" si="3451"/>
        <v>4.5299999999999869</v>
      </c>
      <c r="N646" s="51">
        <f t="shared" ref="N646:R646" si="3452">N645</f>
        <v>119.4975</v>
      </c>
      <c r="O646" s="51">
        <f t="shared" si="3452"/>
        <v>91.457499999999996</v>
      </c>
      <c r="P646" s="51">
        <f t="shared" si="3452"/>
        <v>72.502499999999998</v>
      </c>
      <c r="Q646" s="51">
        <f t="shared" si="3452"/>
        <v>54.5075</v>
      </c>
      <c r="R646" s="51">
        <f t="shared" si="3452"/>
        <v>34.552499999999995</v>
      </c>
      <c r="S646" s="51">
        <f t="shared" ref="S646:T646" si="3453">(B645+B646)/2</f>
        <v>118.25999999999999</v>
      </c>
      <c r="T646" s="51">
        <f t="shared" si="3453"/>
        <v>90.47999999999999</v>
      </c>
      <c r="U646" s="51">
        <f t="shared" si="2884"/>
        <v>71.84</v>
      </c>
      <c r="V646" s="51">
        <f t="shared" ref="V646:W646" si="3454">(E645+E646)/2</f>
        <v>54.284999999999997</v>
      </c>
      <c r="W646" s="51">
        <f t="shared" si="3454"/>
        <v>34.39</v>
      </c>
      <c r="X646" s="51">
        <f t="shared" ref="X646:AB646" si="3455">(SUM(B643:B646))/4</f>
        <v>119.9075</v>
      </c>
      <c r="Y646" s="51">
        <f t="shared" si="3455"/>
        <v>91.974999999999994</v>
      </c>
      <c r="Z646" s="51">
        <f t="shared" si="3455"/>
        <v>73.352500000000006</v>
      </c>
      <c r="AA646" s="51">
        <f t="shared" si="3455"/>
        <v>54.774999999999999</v>
      </c>
      <c r="AB646" s="51">
        <f t="shared" si="3455"/>
        <v>34.74</v>
      </c>
      <c r="AC646" s="51">
        <f t="shared" ref="AC646:AF646" si="3456">(B646+C646)/2</f>
        <v>105.035</v>
      </c>
      <c r="AD646" s="51">
        <f t="shared" si="3456"/>
        <v>81.64</v>
      </c>
      <c r="AE646" s="51">
        <f t="shared" si="3456"/>
        <v>63.44</v>
      </c>
      <c r="AF646" s="51">
        <f t="shared" si="3456"/>
        <v>44.575000000000003</v>
      </c>
      <c r="AG646" s="51">
        <f t="shared" si="3360"/>
        <v>72.94</v>
      </c>
      <c r="AH646" s="51">
        <f t="shared" si="3361"/>
        <v>65.12</v>
      </c>
      <c r="AI646" s="51">
        <f t="shared" si="3362"/>
        <v>73.002499999999998</v>
      </c>
      <c r="AJ646" s="51">
        <f t="shared" si="3363"/>
        <v>71.918400000000005</v>
      </c>
      <c r="AK646" s="51">
        <f t="shared" si="2093"/>
        <v>38.987499999999997</v>
      </c>
      <c r="AL646" s="51">
        <f t="shared" si="3364"/>
        <v>41.677249999999994</v>
      </c>
      <c r="AM646" s="51"/>
      <c r="AN646" s="51">
        <f t="shared" si="3365"/>
        <v>48.4925</v>
      </c>
      <c r="AO646" s="51">
        <f t="shared" si="3366"/>
        <v>51.9925</v>
      </c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8"/>
      <c r="BK646" s="8"/>
      <c r="BL646" s="8"/>
      <c r="BM646" s="8"/>
    </row>
    <row r="647" spans="1:65" ht="30" hidden="1" customHeight="1" x14ac:dyDescent="0.45">
      <c r="A647" s="55">
        <f t="shared" si="3257"/>
        <v>45408</v>
      </c>
      <c r="B647" s="56">
        <v>119.93</v>
      </c>
      <c r="C647" s="56">
        <v>91.95</v>
      </c>
      <c r="D647" s="56">
        <v>72.05</v>
      </c>
      <c r="E647" s="56">
        <v>54.63</v>
      </c>
      <c r="F647" s="56">
        <v>34.56</v>
      </c>
      <c r="G647" s="56">
        <v>134.91999999999999</v>
      </c>
      <c r="H647" s="51">
        <f t="shared" ref="H647:M647" si="3457">B647-B646</f>
        <v>1.0200000000000102</v>
      </c>
      <c r="I647" s="51">
        <f t="shared" si="3457"/>
        <v>0.79000000000000625</v>
      </c>
      <c r="J647" s="51">
        <f t="shared" si="3457"/>
        <v>-7.000000000000739E-2</v>
      </c>
      <c r="K647" s="51">
        <f t="shared" si="3457"/>
        <v>-0.12999999999999545</v>
      </c>
      <c r="L647" s="51">
        <f t="shared" si="3457"/>
        <v>0.17000000000000171</v>
      </c>
      <c r="M647" s="42">
        <f t="shared" si="3457"/>
        <v>4.8499999999999943</v>
      </c>
      <c r="N647" s="51">
        <f t="shared" ref="N647:R647" si="3458">N646</f>
        <v>119.4975</v>
      </c>
      <c r="O647" s="51">
        <f t="shared" si="3458"/>
        <v>91.457499999999996</v>
      </c>
      <c r="P647" s="51">
        <f t="shared" si="3458"/>
        <v>72.502499999999998</v>
      </c>
      <c r="Q647" s="51">
        <f t="shared" si="3458"/>
        <v>54.5075</v>
      </c>
      <c r="R647" s="51">
        <f t="shared" si="3458"/>
        <v>34.552499999999995</v>
      </c>
      <c r="S647" s="51">
        <f t="shared" ref="S647:T647" si="3459">(B646+B647)/2</f>
        <v>119.42</v>
      </c>
      <c r="T647" s="51">
        <f t="shared" si="3459"/>
        <v>91.555000000000007</v>
      </c>
      <c r="U647" s="51">
        <f t="shared" si="2884"/>
        <v>72.085000000000008</v>
      </c>
      <c r="V647" s="51">
        <f t="shared" ref="V647:W647" si="3460">(E646+E647)/2</f>
        <v>54.695</v>
      </c>
      <c r="W647" s="51">
        <f t="shared" si="3460"/>
        <v>34.475000000000001</v>
      </c>
      <c r="X647" s="51">
        <f t="shared" ref="X647:AB647" si="3461">(SUM(B644:B647))/4</f>
        <v>119.4975</v>
      </c>
      <c r="Y647" s="51">
        <f t="shared" si="3461"/>
        <v>91.457499999999996</v>
      </c>
      <c r="Z647" s="51">
        <f t="shared" si="3461"/>
        <v>72.502499999999998</v>
      </c>
      <c r="AA647" s="51">
        <f t="shared" si="3461"/>
        <v>54.5075</v>
      </c>
      <c r="AB647" s="51">
        <f t="shared" si="3461"/>
        <v>34.552499999999995</v>
      </c>
      <c r="AC647" s="51">
        <f t="shared" ref="AC647:AF647" si="3462">(B647+C647)/2</f>
        <v>105.94</v>
      </c>
      <c r="AD647" s="51">
        <f t="shared" si="3462"/>
        <v>82</v>
      </c>
      <c r="AE647" s="51">
        <f t="shared" si="3462"/>
        <v>63.34</v>
      </c>
      <c r="AF647" s="51">
        <f t="shared" si="3462"/>
        <v>44.594999999999999</v>
      </c>
      <c r="AG647" s="51">
        <f t="shared" si="3360"/>
        <v>73.3</v>
      </c>
      <c r="AH647" s="51">
        <f t="shared" si="3361"/>
        <v>65.05</v>
      </c>
      <c r="AI647" s="51">
        <f t="shared" si="3362"/>
        <v>73.002499999999998</v>
      </c>
      <c r="AJ647" s="51">
        <f t="shared" si="3363"/>
        <v>71.102400000000003</v>
      </c>
      <c r="AK647" s="51">
        <f t="shared" si="2093"/>
        <v>39.234999999999999</v>
      </c>
      <c r="AL647" s="51">
        <f t="shared" si="3364"/>
        <v>41.9099</v>
      </c>
      <c r="AM647" s="51"/>
      <c r="AN647" s="51">
        <f t="shared" si="3365"/>
        <v>48.892738095238094</v>
      </c>
      <c r="AO647" s="51">
        <f t="shared" si="3366"/>
        <v>52.392738095238094</v>
      </c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8"/>
      <c r="BK647" s="8"/>
      <c r="BL647" s="8"/>
      <c r="BM647" s="8"/>
    </row>
    <row r="648" spans="1:65" ht="30" hidden="1" customHeight="1" x14ac:dyDescent="0.45">
      <c r="A648" s="55">
        <f t="shared" si="3257"/>
        <v>45415</v>
      </c>
      <c r="B648" s="56">
        <v>121.09</v>
      </c>
      <c r="C648" s="56">
        <v>92.88</v>
      </c>
      <c r="D648" s="56">
        <v>72.239999999999995</v>
      </c>
      <c r="E648" s="56">
        <v>54.95</v>
      </c>
      <c r="F648" s="56">
        <v>34.770000000000003</v>
      </c>
      <c r="G648" s="56">
        <v>145.74</v>
      </c>
      <c r="H648" s="51">
        <f t="shared" ref="H648:M648" si="3463">B648-B647</f>
        <v>1.1599999999999966</v>
      </c>
      <c r="I648" s="51">
        <f t="shared" si="3463"/>
        <v>0.92999999999999261</v>
      </c>
      <c r="J648" s="51">
        <f t="shared" si="3463"/>
        <v>0.18999999999999773</v>
      </c>
      <c r="K648" s="51">
        <f t="shared" si="3463"/>
        <v>0.32000000000000028</v>
      </c>
      <c r="L648" s="51">
        <f t="shared" si="3463"/>
        <v>0.21000000000000085</v>
      </c>
      <c r="M648" s="42">
        <f t="shared" si="3463"/>
        <v>10.820000000000022</v>
      </c>
      <c r="N648" s="51">
        <f t="shared" ref="N648:R648" si="3464">AVERAGE(B648:B652)</f>
        <v>125.37</v>
      </c>
      <c r="O648" s="51">
        <f t="shared" si="3464"/>
        <v>95.417999999999992</v>
      </c>
      <c r="P648" s="51">
        <f t="shared" si="3464"/>
        <v>73.562000000000012</v>
      </c>
      <c r="Q648" s="51">
        <f t="shared" si="3464"/>
        <v>55.934000000000005</v>
      </c>
      <c r="R648" s="51">
        <f t="shared" si="3464"/>
        <v>35.266000000000005</v>
      </c>
      <c r="S648" s="51">
        <f t="shared" ref="S648:T648" si="3465">(B647+B648)/2</f>
        <v>120.51</v>
      </c>
      <c r="T648" s="51">
        <f t="shared" si="3465"/>
        <v>92.414999999999992</v>
      </c>
      <c r="U648" s="51">
        <f t="shared" si="2884"/>
        <v>72.144999999999996</v>
      </c>
      <c r="V648" s="51">
        <f t="shared" ref="V648:W648" si="3466">(E647+E648)/2</f>
        <v>54.790000000000006</v>
      </c>
      <c r="W648" s="51">
        <f t="shared" si="3466"/>
        <v>34.665000000000006</v>
      </c>
      <c r="X648" s="51">
        <f t="shared" ref="X648:AB648" si="3467">(SUM(B645:B648))/4</f>
        <v>119.38499999999999</v>
      </c>
      <c r="Y648" s="51">
        <f t="shared" si="3467"/>
        <v>91.447499999999991</v>
      </c>
      <c r="Z648" s="51">
        <f t="shared" si="3467"/>
        <v>71.992500000000007</v>
      </c>
      <c r="AA648" s="51">
        <f t="shared" si="3467"/>
        <v>54.537499999999994</v>
      </c>
      <c r="AB648" s="51">
        <f t="shared" si="3467"/>
        <v>34.527500000000003</v>
      </c>
      <c r="AC648" s="51">
        <f t="shared" ref="AC648:AF648" si="3468">(B648+C648)/2</f>
        <v>106.985</v>
      </c>
      <c r="AD648" s="51">
        <f t="shared" si="3468"/>
        <v>82.56</v>
      </c>
      <c r="AE648" s="51">
        <f t="shared" si="3468"/>
        <v>63.594999999999999</v>
      </c>
      <c r="AF648" s="51">
        <f t="shared" si="3468"/>
        <v>44.86</v>
      </c>
      <c r="AG648" s="51">
        <f t="shared" si="3360"/>
        <v>73.86</v>
      </c>
      <c r="AH648" s="51">
        <f t="shared" si="3361"/>
        <v>65.239999999999995</v>
      </c>
      <c r="AI648" s="51">
        <f t="shared" si="3362"/>
        <v>74.062000000000012</v>
      </c>
      <c r="AJ648" s="51">
        <f t="shared" si="3363"/>
        <v>70.612800000000007</v>
      </c>
      <c r="AK648" s="51">
        <f t="shared" si="2093"/>
        <v>39.377500000000005</v>
      </c>
      <c r="AL648" s="51">
        <f t="shared" si="3364"/>
        <v>42.043850000000006</v>
      </c>
      <c r="AM648" s="51"/>
      <c r="AN648" s="51">
        <f t="shared" si="3365"/>
        <v>48.985476190476199</v>
      </c>
      <c r="AO648" s="51">
        <f t="shared" si="3366"/>
        <v>52.485476190476199</v>
      </c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8"/>
      <c r="BK648" s="8"/>
      <c r="BL648" s="8"/>
      <c r="BM648" s="8"/>
    </row>
    <row r="649" spans="1:65" ht="30" hidden="1" customHeight="1" x14ac:dyDescent="0.45">
      <c r="A649" s="55">
        <f t="shared" si="3257"/>
        <v>45422</v>
      </c>
      <c r="B649" s="56">
        <v>124.09</v>
      </c>
      <c r="C649" s="56">
        <v>94.58</v>
      </c>
      <c r="D649" s="56">
        <v>73.37</v>
      </c>
      <c r="E649" s="56">
        <v>56.05</v>
      </c>
      <c r="F649" s="56">
        <v>35.130000000000003</v>
      </c>
      <c r="G649" s="56">
        <v>146.77000000000001</v>
      </c>
      <c r="H649" s="51">
        <f t="shared" ref="H649:M649" si="3469">B649-B648</f>
        <v>3</v>
      </c>
      <c r="I649" s="51">
        <f t="shared" si="3469"/>
        <v>1.7000000000000028</v>
      </c>
      <c r="J649" s="51">
        <f t="shared" si="3469"/>
        <v>1.1300000000000097</v>
      </c>
      <c r="K649" s="51">
        <f t="shared" si="3469"/>
        <v>1.0999999999999943</v>
      </c>
      <c r="L649" s="51">
        <f t="shared" si="3469"/>
        <v>0.35999999999999943</v>
      </c>
      <c r="M649" s="42">
        <f t="shared" si="3469"/>
        <v>1.0300000000000011</v>
      </c>
      <c r="N649" s="51">
        <f t="shared" ref="N649:R649" si="3470">N648</f>
        <v>125.37</v>
      </c>
      <c r="O649" s="51">
        <f t="shared" si="3470"/>
        <v>95.417999999999992</v>
      </c>
      <c r="P649" s="51">
        <f t="shared" si="3470"/>
        <v>73.562000000000012</v>
      </c>
      <c r="Q649" s="51">
        <f t="shared" si="3470"/>
        <v>55.934000000000005</v>
      </c>
      <c r="R649" s="51">
        <f t="shared" si="3470"/>
        <v>35.266000000000005</v>
      </c>
      <c r="S649" s="51">
        <f t="shared" ref="S649:T649" si="3471">(B648+B649)/2</f>
        <v>122.59</v>
      </c>
      <c r="T649" s="51">
        <f t="shared" si="3471"/>
        <v>93.72999999999999</v>
      </c>
      <c r="U649" s="51">
        <f t="shared" si="2884"/>
        <v>72.805000000000007</v>
      </c>
      <c r="V649" s="51">
        <f t="shared" ref="V649:W649" si="3472">(E648+E649)/2</f>
        <v>55.5</v>
      </c>
      <c r="W649" s="51">
        <f t="shared" si="3472"/>
        <v>34.950000000000003</v>
      </c>
      <c r="X649" s="51">
        <f t="shared" ref="X649:AB649" si="3473">(SUM(B646:B649))/4</f>
        <v>121.005</v>
      </c>
      <c r="Y649" s="51">
        <f t="shared" si="3473"/>
        <v>92.642499999999998</v>
      </c>
      <c r="Z649" s="51">
        <f t="shared" si="3473"/>
        <v>72.445000000000007</v>
      </c>
      <c r="AA649" s="51">
        <f t="shared" si="3473"/>
        <v>55.097499999999997</v>
      </c>
      <c r="AB649" s="51">
        <f t="shared" si="3473"/>
        <v>34.712499999999999</v>
      </c>
      <c r="AC649" s="51">
        <f t="shared" ref="AC649:AF649" si="3474">(B649+C649)/2</f>
        <v>109.33500000000001</v>
      </c>
      <c r="AD649" s="51">
        <f t="shared" si="3474"/>
        <v>83.974999999999994</v>
      </c>
      <c r="AE649" s="51">
        <f t="shared" si="3474"/>
        <v>64.710000000000008</v>
      </c>
      <c r="AF649" s="51">
        <f t="shared" si="3474"/>
        <v>45.59</v>
      </c>
      <c r="AG649" s="51">
        <f t="shared" si="3360"/>
        <v>75.274999999999991</v>
      </c>
      <c r="AH649" s="51">
        <f t="shared" si="3361"/>
        <v>66.37</v>
      </c>
      <c r="AI649" s="51">
        <f t="shared" si="3362"/>
        <v>74.062000000000012</v>
      </c>
      <c r="AJ649" s="51">
        <f t="shared" si="3363"/>
        <v>71.047200000000018</v>
      </c>
      <c r="AK649" s="51">
        <f t="shared" si="2093"/>
        <v>39.875</v>
      </c>
      <c r="AL649" s="51">
        <f t="shared" si="3364"/>
        <v>42.511499999999998</v>
      </c>
      <c r="AM649" s="51"/>
      <c r="AN649" s="51">
        <f t="shared" si="3365"/>
        <v>49.678571428571431</v>
      </c>
      <c r="AO649" s="51">
        <f t="shared" si="3366"/>
        <v>53.178571428571431</v>
      </c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8"/>
      <c r="BK649" s="8"/>
      <c r="BL649" s="8"/>
      <c r="BM649" s="8"/>
    </row>
    <row r="650" spans="1:65" ht="30" hidden="1" customHeight="1" x14ac:dyDescent="0.45">
      <c r="A650" s="55">
        <f t="shared" si="3257"/>
        <v>45429</v>
      </c>
      <c r="B650" s="56">
        <v>126.43</v>
      </c>
      <c r="C650" s="56">
        <v>96.09</v>
      </c>
      <c r="D650" s="56">
        <v>73.94</v>
      </c>
      <c r="E650" s="56">
        <v>56.25</v>
      </c>
      <c r="F650" s="56">
        <v>35.47</v>
      </c>
      <c r="G650" s="56">
        <v>141.27000000000001</v>
      </c>
      <c r="H650" s="51">
        <f t="shared" ref="H650:M650" si="3475">B650-B649</f>
        <v>2.3400000000000034</v>
      </c>
      <c r="I650" s="51">
        <f t="shared" si="3475"/>
        <v>1.5100000000000051</v>
      </c>
      <c r="J650" s="51">
        <f t="shared" si="3475"/>
        <v>0.56999999999999318</v>
      </c>
      <c r="K650" s="51">
        <f t="shared" si="3475"/>
        <v>0.20000000000000284</v>
      </c>
      <c r="L650" s="51">
        <f t="shared" si="3475"/>
        <v>0.33999999999999631</v>
      </c>
      <c r="M650" s="42">
        <f t="shared" si="3475"/>
        <v>-5.5</v>
      </c>
      <c r="N650" s="51">
        <f t="shared" ref="N650:R650" si="3476">N649</f>
        <v>125.37</v>
      </c>
      <c r="O650" s="51">
        <f t="shared" si="3476"/>
        <v>95.417999999999992</v>
      </c>
      <c r="P650" s="51">
        <f t="shared" si="3476"/>
        <v>73.562000000000012</v>
      </c>
      <c r="Q650" s="51">
        <f t="shared" si="3476"/>
        <v>55.934000000000005</v>
      </c>
      <c r="R650" s="51">
        <f t="shared" si="3476"/>
        <v>35.266000000000005</v>
      </c>
      <c r="S650" s="51">
        <f t="shared" ref="S650:T650" si="3477">(B649+B650)/2</f>
        <v>125.26</v>
      </c>
      <c r="T650" s="51">
        <f t="shared" si="3477"/>
        <v>95.335000000000008</v>
      </c>
      <c r="U650" s="51">
        <f t="shared" si="2884"/>
        <v>73.655000000000001</v>
      </c>
      <c r="V650" s="51">
        <f t="shared" ref="V650:W650" si="3478">(E649+E650)/2</f>
        <v>56.15</v>
      </c>
      <c r="W650" s="51">
        <f t="shared" si="3478"/>
        <v>35.299999999999997</v>
      </c>
      <c r="X650" s="51">
        <f t="shared" ref="X650:AB650" si="3479">(SUM(B647:B650))/4</f>
        <v>122.88500000000001</v>
      </c>
      <c r="Y650" s="51">
        <f t="shared" si="3479"/>
        <v>93.875</v>
      </c>
      <c r="Z650" s="51">
        <f t="shared" si="3479"/>
        <v>72.900000000000006</v>
      </c>
      <c r="AA650" s="51">
        <f t="shared" si="3479"/>
        <v>55.47</v>
      </c>
      <c r="AB650" s="51">
        <f t="shared" si="3479"/>
        <v>34.982500000000002</v>
      </c>
      <c r="AC650" s="51">
        <f t="shared" ref="AC650:AF650" si="3480">(B650+C650)/2</f>
        <v>111.26</v>
      </c>
      <c r="AD650" s="51">
        <f t="shared" si="3480"/>
        <v>85.015000000000001</v>
      </c>
      <c r="AE650" s="51">
        <f t="shared" si="3480"/>
        <v>65.094999999999999</v>
      </c>
      <c r="AF650" s="51">
        <f t="shared" si="3480"/>
        <v>45.86</v>
      </c>
      <c r="AG650" s="51">
        <f t="shared" si="3360"/>
        <v>76.314999999999998</v>
      </c>
      <c r="AH650" s="51">
        <f t="shared" si="3361"/>
        <v>66.94</v>
      </c>
      <c r="AI650" s="51">
        <f t="shared" si="3362"/>
        <v>74.062000000000012</v>
      </c>
      <c r="AJ650" s="51">
        <f t="shared" si="3363"/>
        <v>71.483999999999995</v>
      </c>
      <c r="AK650" s="51">
        <f t="shared" si="2093"/>
        <v>40.374999999999993</v>
      </c>
      <c r="AL650" s="51">
        <f t="shared" si="3364"/>
        <v>42.98149999999999</v>
      </c>
      <c r="AM650" s="51"/>
      <c r="AN650" s="51">
        <f t="shared" si="3365"/>
        <v>50.313095238095237</v>
      </c>
      <c r="AO650" s="51">
        <f t="shared" si="3366"/>
        <v>53.813095238095237</v>
      </c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8"/>
      <c r="BK650" s="8"/>
      <c r="BL650" s="8"/>
      <c r="BM650" s="8"/>
    </row>
    <row r="651" spans="1:65" ht="30" hidden="1" customHeight="1" x14ac:dyDescent="0.45">
      <c r="A651" s="55">
        <f t="shared" si="3257"/>
        <v>45436</v>
      </c>
      <c r="B651" s="56">
        <v>127.12</v>
      </c>
      <c r="C651" s="56">
        <v>96.67</v>
      </c>
      <c r="D651" s="56">
        <v>74.400000000000006</v>
      </c>
      <c r="E651" s="56">
        <v>56.43</v>
      </c>
      <c r="F651" s="56">
        <v>35.61</v>
      </c>
      <c r="G651" s="56">
        <v>140.41</v>
      </c>
      <c r="H651" s="51">
        <f t="shared" ref="H651:M651" si="3481">B651-B650</f>
        <v>0.68999999999999773</v>
      </c>
      <c r="I651" s="51">
        <f t="shared" si="3481"/>
        <v>0.57999999999999829</v>
      </c>
      <c r="J651" s="51">
        <f t="shared" si="3481"/>
        <v>0.46000000000000796</v>
      </c>
      <c r="K651" s="51">
        <f t="shared" si="3481"/>
        <v>0.17999999999999972</v>
      </c>
      <c r="L651" s="51">
        <f t="shared" si="3481"/>
        <v>0.14000000000000057</v>
      </c>
      <c r="M651" s="42">
        <f t="shared" si="3481"/>
        <v>-0.86000000000001364</v>
      </c>
      <c r="N651" s="51">
        <f t="shared" ref="N651:R651" si="3482">N650</f>
        <v>125.37</v>
      </c>
      <c r="O651" s="51">
        <f t="shared" si="3482"/>
        <v>95.417999999999992</v>
      </c>
      <c r="P651" s="51">
        <f t="shared" si="3482"/>
        <v>73.562000000000012</v>
      </c>
      <c r="Q651" s="51">
        <f t="shared" si="3482"/>
        <v>55.934000000000005</v>
      </c>
      <c r="R651" s="51">
        <f t="shared" si="3482"/>
        <v>35.266000000000005</v>
      </c>
      <c r="S651" s="51">
        <f t="shared" ref="S651:T651" si="3483">(B650+B651)/2</f>
        <v>126.77500000000001</v>
      </c>
      <c r="T651" s="51">
        <f t="shared" si="3483"/>
        <v>96.38</v>
      </c>
      <c r="U651" s="51">
        <f t="shared" si="2884"/>
        <v>74.17</v>
      </c>
      <c r="V651" s="51">
        <f t="shared" ref="V651:W651" si="3484">(E650+E651)/2</f>
        <v>56.34</v>
      </c>
      <c r="W651" s="51">
        <f t="shared" si="3484"/>
        <v>35.54</v>
      </c>
      <c r="X651" s="51">
        <f t="shared" ref="X651:AB651" si="3485">(SUM(B648:B651))/4</f>
        <v>124.6825</v>
      </c>
      <c r="Y651" s="51">
        <f t="shared" si="3485"/>
        <v>95.054999999999993</v>
      </c>
      <c r="Z651" s="51">
        <f t="shared" si="3485"/>
        <v>73.487500000000011</v>
      </c>
      <c r="AA651" s="51">
        <f t="shared" si="3485"/>
        <v>55.92</v>
      </c>
      <c r="AB651" s="51">
        <f t="shared" si="3485"/>
        <v>35.245000000000005</v>
      </c>
      <c r="AC651" s="51">
        <f t="shared" ref="AC651:AF651" si="3486">(B651+C651)/2</f>
        <v>111.89500000000001</v>
      </c>
      <c r="AD651" s="51">
        <f t="shared" si="3486"/>
        <v>85.534999999999997</v>
      </c>
      <c r="AE651" s="51">
        <f t="shared" si="3486"/>
        <v>65.415000000000006</v>
      </c>
      <c r="AF651" s="51">
        <f t="shared" si="3486"/>
        <v>46.019999999999996</v>
      </c>
      <c r="AG651" s="51">
        <f t="shared" si="3360"/>
        <v>76.834999999999994</v>
      </c>
      <c r="AH651" s="51">
        <f t="shared" si="3361"/>
        <v>67.400000000000006</v>
      </c>
      <c r="AI651" s="51">
        <f t="shared" si="3362"/>
        <v>74.062000000000012</v>
      </c>
      <c r="AJ651" s="51">
        <f t="shared" si="3363"/>
        <v>72.048000000000016</v>
      </c>
      <c r="AK651" s="51">
        <f t="shared" si="2093"/>
        <v>40.589999999999996</v>
      </c>
      <c r="AL651" s="51">
        <f t="shared" si="3364"/>
        <v>43.183599999999998</v>
      </c>
      <c r="AM651" s="51"/>
      <c r="AN651" s="51">
        <f t="shared" si="3365"/>
        <v>50.498571428571431</v>
      </c>
      <c r="AO651" s="51">
        <f t="shared" si="3366"/>
        <v>53.998571428571431</v>
      </c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8"/>
      <c r="BK651" s="8"/>
      <c r="BL651" s="8"/>
      <c r="BM651" s="8"/>
    </row>
    <row r="652" spans="1:65" ht="30" hidden="1" customHeight="1" x14ac:dyDescent="0.45">
      <c r="A652" s="55">
        <f t="shared" si="3257"/>
        <v>45443</v>
      </c>
      <c r="B652" s="56">
        <v>128.12</v>
      </c>
      <c r="C652" s="56">
        <v>96.87</v>
      </c>
      <c r="D652" s="56">
        <v>73.86</v>
      </c>
      <c r="E652" s="56">
        <v>55.99</v>
      </c>
      <c r="F652" s="56">
        <v>35.35</v>
      </c>
      <c r="G652" s="56">
        <v>139.4</v>
      </c>
      <c r="H652" s="51">
        <f t="shared" ref="H652:M652" si="3487">B652-B651</f>
        <v>1</v>
      </c>
      <c r="I652" s="51">
        <f t="shared" si="3487"/>
        <v>0.20000000000000284</v>
      </c>
      <c r="J652" s="51">
        <f t="shared" si="3487"/>
        <v>-0.54000000000000625</v>
      </c>
      <c r="K652" s="51">
        <f t="shared" si="3487"/>
        <v>-0.43999999999999773</v>
      </c>
      <c r="L652" s="51">
        <f t="shared" si="3487"/>
        <v>-0.25999999999999801</v>
      </c>
      <c r="M652" s="42">
        <f t="shared" si="3487"/>
        <v>-1.0099999999999909</v>
      </c>
      <c r="N652" s="51">
        <f t="shared" ref="N652:R652" si="3488">N651</f>
        <v>125.37</v>
      </c>
      <c r="O652" s="51">
        <f t="shared" si="3488"/>
        <v>95.417999999999992</v>
      </c>
      <c r="P652" s="51">
        <f t="shared" si="3488"/>
        <v>73.562000000000012</v>
      </c>
      <c r="Q652" s="51">
        <f t="shared" si="3488"/>
        <v>55.934000000000005</v>
      </c>
      <c r="R652" s="51">
        <f t="shared" si="3488"/>
        <v>35.266000000000005</v>
      </c>
      <c r="S652" s="51">
        <f t="shared" ref="S652:T652" si="3489">(B651+B652)/2</f>
        <v>127.62</v>
      </c>
      <c r="T652" s="51">
        <f t="shared" si="3489"/>
        <v>96.77000000000001</v>
      </c>
      <c r="U652" s="51">
        <f t="shared" si="2884"/>
        <v>74.13</v>
      </c>
      <c r="V652" s="51">
        <f t="shared" ref="V652:W652" si="3490">(E651+E652)/2</f>
        <v>56.21</v>
      </c>
      <c r="W652" s="51">
        <f t="shared" si="3490"/>
        <v>35.480000000000004</v>
      </c>
      <c r="X652" s="51">
        <f t="shared" ref="X652:AB652" si="3491">(SUM(B649:B652))/4</f>
        <v>126.44</v>
      </c>
      <c r="Y652" s="51">
        <f t="shared" si="3491"/>
        <v>96.052500000000009</v>
      </c>
      <c r="Z652" s="51">
        <f t="shared" si="3491"/>
        <v>73.892499999999998</v>
      </c>
      <c r="AA652" s="51">
        <f t="shared" si="3491"/>
        <v>56.18</v>
      </c>
      <c r="AB652" s="51">
        <f t="shared" si="3491"/>
        <v>35.39</v>
      </c>
      <c r="AC652" s="51">
        <f t="shared" ref="AC652:AF652" si="3492">(B652+C652)/2</f>
        <v>112.495</v>
      </c>
      <c r="AD652" s="51">
        <f t="shared" si="3492"/>
        <v>85.365000000000009</v>
      </c>
      <c r="AE652" s="51">
        <f t="shared" si="3492"/>
        <v>64.924999999999997</v>
      </c>
      <c r="AF652" s="51">
        <f t="shared" si="3492"/>
        <v>45.67</v>
      </c>
      <c r="AG652" s="51">
        <f t="shared" si="3360"/>
        <v>76.665000000000006</v>
      </c>
      <c r="AH652" s="51">
        <f t="shared" si="3361"/>
        <v>66.86</v>
      </c>
      <c r="AI652" s="51">
        <f t="shared" si="3362"/>
        <v>74.062000000000012</v>
      </c>
      <c r="AJ652" s="51">
        <f t="shared" si="3363"/>
        <v>72.436800000000005</v>
      </c>
      <c r="AK652" s="51">
        <f t="shared" si="2093"/>
        <v>40.494999999999997</v>
      </c>
      <c r="AL652" s="51">
        <f t="shared" si="3364"/>
        <v>43.094299999999997</v>
      </c>
      <c r="AM652" s="51"/>
      <c r="AN652" s="51">
        <f t="shared" si="3365"/>
        <v>50.37166666666667</v>
      </c>
      <c r="AO652" s="51">
        <f t="shared" si="3366"/>
        <v>53.87166666666667</v>
      </c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8"/>
      <c r="BK652" s="8"/>
      <c r="BL652" s="8"/>
      <c r="BM652" s="8"/>
    </row>
    <row r="653" spans="1:65" ht="30" hidden="1" customHeight="1" x14ac:dyDescent="0.45">
      <c r="A653" s="55">
        <f t="shared" si="3257"/>
        <v>45450</v>
      </c>
      <c r="B653" s="56">
        <v>128.03</v>
      </c>
      <c r="C653" s="56">
        <v>96.21</v>
      </c>
      <c r="D653" s="56">
        <v>73.45</v>
      </c>
      <c r="E653" s="56">
        <v>55.31</v>
      </c>
      <c r="F653" s="56">
        <v>34.9</v>
      </c>
      <c r="G653" s="56">
        <v>137.01</v>
      </c>
      <c r="H653" s="42">
        <f t="shared" ref="H653:M653" si="3493">B653-B652</f>
        <v>-9.0000000000003411E-2</v>
      </c>
      <c r="I653" s="42">
        <f t="shared" si="3493"/>
        <v>-0.6600000000000108</v>
      </c>
      <c r="J653" s="42">
        <f t="shared" si="3493"/>
        <v>-0.40999999999999659</v>
      </c>
      <c r="K653" s="42">
        <f t="shared" si="3493"/>
        <v>-0.67999999999999972</v>
      </c>
      <c r="L653" s="42">
        <f t="shared" si="3493"/>
        <v>-0.45000000000000284</v>
      </c>
      <c r="M653" s="42">
        <f t="shared" si="3493"/>
        <v>-2.3900000000000148</v>
      </c>
      <c r="N653" s="42">
        <f t="shared" ref="N653:R653" si="3494">AVERAGE(B653:B656)</f>
        <v>126.1725</v>
      </c>
      <c r="O653" s="42">
        <f t="shared" si="3494"/>
        <v>95.142499999999998</v>
      </c>
      <c r="P653" s="42">
        <f t="shared" si="3494"/>
        <v>72.732500000000002</v>
      </c>
      <c r="Q653" s="42">
        <f t="shared" si="3494"/>
        <v>54.427499999999995</v>
      </c>
      <c r="R653" s="42">
        <f t="shared" si="3494"/>
        <v>34.234999999999999</v>
      </c>
      <c r="S653" s="51">
        <f t="shared" ref="S653:T653" si="3495">(B652+B653)/2</f>
        <v>128.07499999999999</v>
      </c>
      <c r="T653" s="51">
        <f t="shared" si="3495"/>
        <v>96.539999999999992</v>
      </c>
      <c r="U653" s="51">
        <f t="shared" si="2884"/>
        <v>73.655000000000001</v>
      </c>
      <c r="V653" s="51">
        <f t="shared" ref="V653:W653" si="3496">(E652+E653)/2</f>
        <v>55.650000000000006</v>
      </c>
      <c r="W653" s="51">
        <f t="shared" si="3496"/>
        <v>35.125</v>
      </c>
      <c r="X653" s="51">
        <f t="shared" ref="X653:AB653" si="3497">(SUM(B650:B653))/4</f>
        <v>127.42500000000001</v>
      </c>
      <c r="Y653" s="51">
        <f t="shared" si="3497"/>
        <v>96.46</v>
      </c>
      <c r="Z653" s="51">
        <f t="shared" si="3497"/>
        <v>73.912499999999994</v>
      </c>
      <c r="AA653" s="51">
        <f t="shared" si="3497"/>
        <v>55.995000000000005</v>
      </c>
      <c r="AB653" s="51">
        <f t="shared" si="3497"/>
        <v>35.332500000000003</v>
      </c>
      <c r="AC653" s="51">
        <f t="shared" ref="AC653:AF653" si="3498">(B653+C653)/2</f>
        <v>112.12</v>
      </c>
      <c r="AD653" s="51">
        <f t="shared" si="3498"/>
        <v>84.83</v>
      </c>
      <c r="AE653" s="51">
        <f t="shared" si="3498"/>
        <v>64.38</v>
      </c>
      <c r="AF653" s="51">
        <f t="shared" si="3498"/>
        <v>45.105000000000004</v>
      </c>
      <c r="AG653" s="42">
        <f t="shared" si="3360"/>
        <v>76.13</v>
      </c>
      <c r="AH653" s="42">
        <f t="shared" si="3361"/>
        <v>66.45</v>
      </c>
      <c r="AI653" s="42">
        <f t="shared" si="3362"/>
        <v>73.232500000000002</v>
      </c>
      <c r="AJ653" s="42">
        <f t="shared" si="3363"/>
        <v>72.456000000000003</v>
      </c>
      <c r="AK653" s="42">
        <f t="shared" si="2093"/>
        <v>40.037500000000001</v>
      </c>
      <c r="AL653" s="42">
        <f t="shared" si="3364"/>
        <v>42.664250000000003</v>
      </c>
      <c r="AM653" s="51"/>
      <c r="AN653" s="42">
        <f t="shared" ref="AN653:AN744" si="3499">V653-1</f>
        <v>54.650000000000006</v>
      </c>
      <c r="AO653" s="42">
        <f t="shared" si="3366"/>
        <v>53.32500000000001</v>
      </c>
      <c r="AP653" s="66">
        <f>AN653-AO653</f>
        <v>1.3249999999999957</v>
      </c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67"/>
      <c r="BJ653" s="8"/>
      <c r="BK653" s="8"/>
      <c r="BL653" s="8"/>
      <c r="BM653" s="8"/>
    </row>
    <row r="654" spans="1:65" ht="30" hidden="1" customHeight="1" x14ac:dyDescent="0.45">
      <c r="A654" s="55">
        <f t="shared" si="3257"/>
        <v>45457</v>
      </c>
      <c r="B654" s="56">
        <v>126.65</v>
      </c>
      <c r="C654" s="56">
        <v>96.01</v>
      </c>
      <c r="D654" s="56">
        <v>72.989999999999995</v>
      </c>
      <c r="E654" s="56">
        <v>54.55</v>
      </c>
      <c r="F654" s="56">
        <v>34.44</v>
      </c>
      <c r="G654" s="56">
        <v>132.84</v>
      </c>
      <c r="H654" s="51">
        <f t="shared" ref="H654:M654" si="3500">B654-B653</f>
        <v>-1.3799999999999955</v>
      </c>
      <c r="I654" s="51">
        <f t="shared" si="3500"/>
        <v>-0.19999999999998863</v>
      </c>
      <c r="J654" s="51">
        <f t="shared" si="3500"/>
        <v>-0.46000000000000796</v>
      </c>
      <c r="K654" s="51">
        <f t="shared" si="3500"/>
        <v>-0.76000000000000512</v>
      </c>
      <c r="L654" s="51">
        <f t="shared" si="3500"/>
        <v>-0.46000000000000085</v>
      </c>
      <c r="M654" s="42">
        <f t="shared" si="3500"/>
        <v>-4.1699999999999875</v>
      </c>
      <c r="N654" s="51">
        <f t="shared" ref="N654:R654" si="3501">N653</f>
        <v>126.1725</v>
      </c>
      <c r="O654" s="51">
        <f t="shared" si="3501"/>
        <v>95.142499999999998</v>
      </c>
      <c r="P654" s="51">
        <f t="shared" si="3501"/>
        <v>72.732500000000002</v>
      </c>
      <c r="Q654" s="51">
        <f t="shared" si="3501"/>
        <v>54.427499999999995</v>
      </c>
      <c r="R654" s="51">
        <f t="shared" si="3501"/>
        <v>34.234999999999999</v>
      </c>
      <c r="S654" s="51">
        <f t="shared" ref="S654:T654" si="3502">(B653+B654)/2</f>
        <v>127.34</v>
      </c>
      <c r="T654" s="51">
        <f t="shared" si="3502"/>
        <v>96.11</v>
      </c>
      <c r="U654" s="51">
        <f t="shared" si="2884"/>
        <v>73.22</v>
      </c>
      <c r="V654" s="51">
        <f t="shared" ref="V654:W654" si="3503">(E653+E654)/2</f>
        <v>54.93</v>
      </c>
      <c r="W654" s="51">
        <f t="shared" si="3503"/>
        <v>34.67</v>
      </c>
      <c r="X654" s="51">
        <f t="shared" ref="X654:AB654" si="3504">(SUM(B651:B654))/4</f>
        <v>127.47999999999999</v>
      </c>
      <c r="Y654" s="51">
        <f t="shared" si="3504"/>
        <v>96.44</v>
      </c>
      <c r="Z654" s="51">
        <f t="shared" si="3504"/>
        <v>73.674999999999997</v>
      </c>
      <c r="AA654" s="51">
        <f t="shared" si="3504"/>
        <v>55.570000000000007</v>
      </c>
      <c r="AB654" s="51">
        <f t="shared" si="3504"/>
        <v>35.075000000000003</v>
      </c>
      <c r="AC654" s="51">
        <f t="shared" ref="AC654:AF654" si="3505">(B654+C654)/2</f>
        <v>111.33000000000001</v>
      </c>
      <c r="AD654" s="51">
        <f t="shared" si="3505"/>
        <v>84.5</v>
      </c>
      <c r="AE654" s="51">
        <f t="shared" si="3505"/>
        <v>63.769999999999996</v>
      </c>
      <c r="AF654" s="51">
        <f t="shared" si="3505"/>
        <v>44.494999999999997</v>
      </c>
      <c r="AG654" s="51">
        <f t="shared" si="3360"/>
        <v>75.8</v>
      </c>
      <c r="AH654" s="51">
        <f t="shared" si="3361"/>
        <v>65.989999999999995</v>
      </c>
      <c r="AI654" s="51">
        <f t="shared" si="3362"/>
        <v>73.232500000000002</v>
      </c>
      <c r="AJ654" s="51">
        <f t="shared" si="3363"/>
        <v>72.227999999999994</v>
      </c>
      <c r="AK654" s="51">
        <f t="shared" si="2093"/>
        <v>39.449999999999996</v>
      </c>
      <c r="AL654" s="51">
        <f t="shared" si="3364"/>
        <v>42.111999999999995</v>
      </c>
      <c r="AM654" s="51"/>
      <c r="AN654" s="51">
        <f t="shared" si="3499"/>
        <v>53.93</v>
      </c>
      <c r="AO654" s="51">
        <f t="shared" si="3366"/>
        <v>52.622142857142855</v>
      </c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8"/>
      <c r="BK654" s="8"/>
      <c r="BL654" s="8"/>
      <c r="BM654" s="8"/>
    </row>
    <row r="655" spans="1:65" ht="30" hidden="1" customHeight="1" x14ac:dyDescent="0.45">
      <c r="A655" s="55">
        <f t="shared" si="3257"/>
        <v>45464</v>
      </c>
      <c r="B655" s="56">
        <v>125.62</v>
      </c>
      <c r="C655" s="56">
        <v>94.66</v>
      </c>
      <c r="D655" s="56">
        <v>72.489999999999995</v>
      </c>
      <c r="E655" s="56">
        <v>54.27</v>
      </c>
      <c r="F655" s="56">
        <v>34.03</v>
      </c>
      <c r="G655" s="56">
        <v>134.22</v>
      </c>
      <c r="H655" s="51">
        <f t="shared" ref="H655:M655" si="3506">B655-B654</f>
        <v>-1.0300000000000011</v>
      </c>
      <c r="I655" s="51">
        <f t="shared" si="3506"/>
        <v>-1.3500000000000085</v>
      </c>
      <c r="J655" s="51">
        <f t="shared" si="3506"/>
        <v>-0.5</v>
      </c>
      <c r="K655" s="51">
        <f t="shared" si="3506"/>
        <v>-0.27999999999999403</v>
      </c>
      <c r="L655" s="51">
        <f t="shared" si="3506"/>
        <v>-0.40999999999999659</v>
      </c>
      <c r="M655" s="42">
        <f t="shared" si="3506"/>
        <v>1.3799999999999955</v>
      </c>
      <c r="N655" s="51">
        <f t="shared" ref="N655:R655" si="3507">N654</f>
        <v>126.1725</v>
      </c>
      <c r="O655" s="51">
        <f t="shared" si="3507"/>
        <v>95.142499999999998</v>
      </c>
      <c r="P655" s="51">
        <f t="shared" si="3507"/>
        <v>72.732500000000002</v>
      </c>
      <c r="Q655" s="51">
        <f t="shared" si="3507"/>
        <v>54.427499999999995</v>
      </c>
      <c r="R655" s="51">
        <f t="shared" si="3507"/>
        <v>34.234999999999999</v>
      </c>
      <c r="S655" s="51">
        <f t="shared" ref="S655:T655" si="3508">(B654+B655)/2</f>
        <v>126.13500000000001</v>
      </c>
      <c r="T655" s="51">
        <f t="shared" si="3508"/>
        <v>95.335000000000008</v>
      </c>
      <c r="U655" s="51">
        <f t="shared" si="2884"/>
        <v>72.739999999999995</v>
      </c>
      <c r="V655" s="51">
        <f t="shared" ref="V655:W655" si="3509">(E654+E655)/2</f>
        <v>54.41</v>
      </c>
      <c r="W655" s="51">
        <f t="shared" si="3509"/>
        <v>34.234999999999999</v>
      </c>
      <c r="X655" s="51">
        <f t="shared" ref="X655:AB655" si="3510">(SUM(B652:B655))/4</f>
        <v>127.10499999999999</v>
      </c>
      <c r="Y655" s="51">
        <f t="shared" si="3510"/>
        <v>95.9375</v>
      </c>
      <c r="Z655" s="51">
        <f t="shared" si="3510"/>
        <v>73.197500000000005</v>
      </c>
      <c r="AA655" s="51">
        <f t="shared" si="3510"/>
        <v>55.030000000000008</v>
      </c>
      <c r="AB655" s="51">
        <f t="shared" si="3510"/>
        <v>34.68</v>
      </c>
      <c r="AC655" s="51">
        <f t="shared" ref="AC655:AF655" si="3511">(B655+C655)/2</f>
        <v>110.14</v>
      </c>
      <c r="AD655" s="51">
        <f t="shared" si="3511"/>
        <v>83.574999999999989</v>
      </c>
      <c r="AE655" s="51">
        <f t="shared" si="3511"/>
        <v>63.379999999999995</v>
      </c>
      <c r="AF655" s="51">
        <f t="shared" si="3511"/>
        <v>44.150000000000006</v>
      </c>
      <c r="AG655" s="51">
        <f t="shared" si="3360"/>
        <v>74.874999999999986</v>
      </c>
      <c r="AH655" s="51">
        <f t="shared" si="3361"/>
        <v>65.489999999999995</v>
      </c>
      <c r="AI655" s="51">
        <f t="shared" si="3362"/>
        <v>73.232500000000002</v>
      </c>
      <c r="AJ655" s="51">
        <f t="shared" si="3363"/>
        <v>71.769599999999997</v>
      </c>
      <c r="AK655" s="51">
        <f t="shared" si="2093"/>
        <v>38.972499999999997</v>
      </c>
      <c r="AL655" s="51">
        <f t="shared" si="3364"/>
        <v>41.663149999999995</v>
      </c>
      <c r="AM655" s="51"/>
      <c r="AN655" s="51">
        <f t="shared" si="3499"/>
        <v>53.41</v>
      </c>
      <c r="AO655" s="51">
        <f t="shared" si="3366"/>
        <v>52.11452380952381</v>
      </c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8"/>
      <c r="BK655" s="8"/>
      <c r="BL655" s="8"/>
      <c r="BM655" s="8"/>
    </row>
    <row r="656" spans="1:65" ht="30" hidden="1" customHeight="1" x14ac:dyDescent="0.45">
      <c r="A656" s="55">
        <f t="shared" si="3257"/>
        <v>45471</v>
      </c>
      <c r="B656" s="56">
        <v>124.39</v>
      </c>
      <c r="C656" s="56">
        <v>93.69</v>
      </c>
      <c r="D656" s="56">
        <v>72</v>
      </c>
      <c r="E656" s="56">
        <v>53.58</v>
      </c>
      <c r="F656" s="56">
        <v>33.57</v>
      </c>
      <c r="G656" s="56">
        <v>132.03</v>
      </c>
      <c r="H656" s="51">
        <f t="shared" ref="H656:M656" si="3512">B656-B655</f>
        <v>-1.230000000000004</v>
      </c>
      <c r="I656" s="51">
        <f t="shared" si="3512"/>
        <v>-0.96999999999999886</v>
      </c>
      <c r="J656" s="51">
        <f t="shared" si="3512"/>
        <v>-0.48999999999999488</v>
      </c>
      <c r="K656" s="51">
        <f t="shared" si="3512"/>
        <v>-0.69000000000000483</v>
      </c>
      <c r="L656" s="51">
        <f t="shared" si="3512"/>
        <v>-0.46000000000000085</v>
      </c>
      <c r="M656" s="42">
        <f t="shared" si="3512"/>
        <v>-2.1899999999999977</v>
      </c>
      <c r="N656" s="51">
        <f t="shared" ref="N656:R656" si="3513">N655</f>
        <v>126.1725</v>
      </c>
      <c r="O656" s="51">
        <f t="shared" si="3513"/>
        <v>95.142499999999998</v>
      </c>
      <c r="P656" s="51">
        <f t="shared" si="3513"/>
        <v>72.732500000000002</v>
      </c>
      <c r="Q656" s="51">
        <f t="shared" si="3513"/>
        <v>54.427499999999995</v>
      </c>
      <c r="R656" s="51">
        <f t="shared" si="3513"/>
        <v>34.234999999999999</v>
      </c>
      <c r="S656" s="51">
        <f t="shared" ref="S656:T656" si="3514">(B655+B656)/2</f>
        <v>125.005</v>
      </c>
      <c r="T656" s="51">
        <f t="shared" si="3514"/>
        <v>94.174999999999997</v>
      </c>
      <c r="U656" s="51">
        <f t="shared" si="2884"/>
        <v>72.245000000000005</v>
      </c>
      <c r="V656" s="51">
        <f t="shared" ref="V656:W656" si="3515">(E655+E656)/2</f>
        <v>53.924999999999997</v>
      </c>
      <c r="W656" s="51">
        <f t="shared" si="3515"/>
        <v>33.799999999999997</v>
      </c>
      <c r="X656" s="51">
        <f t="shared" ref="X656:AB656" si="3516">(SUM(B653:B656))/4</f>
        <v>126.1725</v>
      </c>
      <c r="Y656" s="51">
        <f t="shared" si="3516"/>
        <v>95.142499999999998</v>
      </c>
      <c r="Z656" s="51">
        <f t="shared" si="3516"/>
        <v>72.732500000000002</v>
      </c>
      <c r="AA656" s="51">
        <f t="shared" si="3516"/>
        <v>54.427499999999995</v>
      </c>
      <c r="AB656" s="51">
        <f t="shared" si="3516"/>
        <v>34.234999999999999</v>
      </c>
      <c r="AC656" s="51">
        <f t="shared" ref="AC656:AF656" si="3517">(B656+C656)/2</f>
        <v>109.03999999999999</v>
      </c>
      <c r="AD656" s="51">
        <f t="shared" si="3517"/>
        <v>82.844999999999999</v>
      </c>
      <c r="AE656" s="51">
        <f t="shared" si="3517"/>
        <v>62.79</v>
      </c>
      <c r="AF656" s="51">
        <f t="shared" si="3517"/>
        <v>43.575000000000003</v>
      </c>
      <c r="AG656" s="51">
        <f t="shared" si="3360"/>
        <v>74.144999999999996</v>
      </c>
      <c r="AH656" s="51">
        <f t="shared" si="3361"/>
        <v>65</v>
      </c>
      <c r="AI656" s="51">
        <f t="shared" si="3362"/>
        <v>73.232500000000002</v>
      </c>
      <c r="AJ656" s="51">
        <f t="shared" si="3363"/>
        <v>71.3232</v>
      </c>
      <c r="AK656" s="51">
        <f t="shared" si="2093"/>
        <v>38.512499999999996</v>
      </c>
      <c r="AL656" s="51">
        <f t="shared" si="3364"/>
        <v>41.230749999999993</v>
      </c>
      <c r="AM656" s="51"/>
      <c r="AN656" s="51">
        <f t="shared" si="3499"/>
        <v>52.924999999999997</v>
      </c>
      <c r="AO656" s="51">
        <f t="shared" si="3366"/>
        <v>51.641071428571429</v>
      </c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8"/>
      <c r="BK656" s="8"/>
      <c r="BL656" s="8"/>
      <c r="BM656" s="8"/>
    </row>
    <row r="657" spans="1:65" ht="30" hidden="1" customHeight="1" x14ac:dyDescent="0.45">
      <c r="A657" s="55">
        <f t="shared" si="3257"/>
        <v>45478</v>
      </c>
      <c r="B657" s="56">
        <v>124.26</v>
      </c>
      <c r="C657" s="56">
        <v>92.33</v>
      </c>
      <c r="D657" s="56">
        <v>71.41</v>
      </c>
      <c r="E657" s="56">
        <v>53</v>
      </c>
      <c r="F657" s="56">
        <v>33.14</v>
      </c>
      <c r="G657" s="56">
        <v>133.85</v>
      </c>
      <c r="H657" s="51">
        <f t="shared" ref="H657:M657" si="3518">B657-B656</f>
        <v>-0.12999999999999545</v>
      </c>
      <c r="I657" s="51">
        <f t="shared" si="3518"/>
        <v>-1.3599999999999994</v>
      </c>
      <c r="J657" s="51">
        <f t="shared" si="3518"/>
        <v>-0.59000000000000341</v>
      </c>
      <c r="K657" s="51">
        <f t="shared" si="3518"/>
        <v>-0.57999999999999829</v>
      </c>
      <c r="L657" s="51">
        <f t="shared" si="3518"/>
        <v>-0.42999999999999972</v>
      </c>
      <c r="M657" s="42">
        <f t="shared" si="3518"/>
        <v>1.8199999999999932</v>
      </c>
      <c r="N657" s="51">
        <f t="shared" ref="N657:R657" si="3519">AVERAGE(B657:B660)</f>
        <v>123.5675</v>
      </c>
      <c r="O657" s="51">
        <f t="shared" si="3519"/>
        <v>92.29</v>
      </c>
      <c r="P657" s="51">
        <f t="shared" si="3519"/>
        <v>71.54249999999999</v>
      </c>
      <c r="Q657" s="51">
        <f t="shared" si="3519"/>
        <v>52.715000000000003</v>
      </c>
      <c r="R657" s="51">
        <f t="shared" si="3519"/>
        <v>32.917500000000004</v>
      </c>
      <c r="S657" s="51">
        <f t="shared" ref="S657:T657" si="3520">(B656+B657)/2</f>
        <v>124.325</v>
      </c>
      <c r="T657" s="51">
        <f t="shared" si="3520"/>
        <v>93.009999999999991</v>
      </c>
      <c r="U657" s="51">
        <f t="shared" si="2884"/>
        <v>71.704999999999998</v>
      </c>
      <c r="V657" s="51">
        <f t="shared" ref="V657:W657" si="3521">(E656+E657)/2</f>
        <v>53.29</v>
      </c>
      <c r="W657" s="51">
        <f t="shared" si="3521"/>
        <v>33.355000000000004</v>
      </c>
      <c r="X657" s="51">
        <f t="shared" ref="X657:AB657" si="3522">(SUM(B654:B657))/4</f>
        <v>125.23</v>
      </c>
      <c r="Y657" s="51">
        <f t="shared" si="3522"/>
        <v>94.172499999999999</v>
      </c>
      <c r="Z657" s="51">
        <f t="shared" si="3522"/>
        <v>72.222499999999997</v>
      </c>
      <c r="AA657" s="51">
        <f t="shared" si="3522"/>
        <v>53.849999999999994</v>
      </c>
      <c r="AB657" s="51">
        <f t="shared" si="3522"/>
        <v>33.795000000000002</v>
      </c>
      <c r="AC657" s="51">
        <f t="shared" ref="AC657:AF657" si="3523">(B657+C657)/2</f>
        <v>108.295</v>
      </c>
      <c r="AD657" s="51">
        <f t="shared" si="3523"/>
        <v>81.87</v>
      </c>
      <c r="AE657" s="51">
        <f t="shared" si="3523"/>
        <v>62.204999999999998</v>
      </c>
      <c r="AF657" s="51">
        <f t="shared" si="3523"/>
        <v>43.07</v>
      </c>
      <c r="AG657" s="51">
        <f t="shared" si="3360"/>
        <v>73.17</v>
      </c>
      <c r="AH657" s="51">
        <f t="shared" si="3361"/>
        <v>64.41</v>
      </c>
      <c r="AI657" s="51">
        <f t="shared" si="3362"/>
        <v>72.04249999999999</v>
      </c>
      <c r="AJ657" s="51">
        <f t="shared" si="3363"/>
        <v>70.833600000000004</v>
      </c>
      <c r="AK657" s="51">
        <f t="shared" si="2093"/>
        <v>37.972500000000004</v>
      </c>
      <c r="AL657" s="51">
        <f t="shared" si="3364"/>
        <v>40.723150000000004</v>
      </c>
      <c r="AM657" s="51"/>
      <c r="AN657" s="51">
        <f t="shared" si="3499"/>
        <v>52.29</v>
      </c>
      <c r="AO657" s="51">
        <f t="shared" si="3366"/>
        <v>51.021190476190476</v>
      </c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8"/>
      <c r="BK657" s="8"/>
      <c r="BL657" s="8"/>
      <c r="BM657" s="8"/>
    </row>
    <row r="658" spans="1:65" ht="30" hidden="1" customHeight="1" x14ac:dyDescent="0.45">
      <c r="A658" s="55">
        <f t="shared" si="3257"/>
        <v>45485</v>
      </c>
      <c r="B658" s="56">
        <v>123.24</v>
      </c>
      <c r="C658" s="56">
        <v>92.16</v>
      </c>
      <c r="D658" s="56">
        <v>71.42</v>
      </c>
      <c r="E658" s="56">
        <v>52.7</v>
      </c>
      <c r="F658" s="56">
        <v>33.11</v>
      </c>
      <c r="G658" s="56">
        <v>132.81</v>
      </c>
      <c r="H658" s="51">
        <f t="shared" ref="H658:M658" si="3524">B658-B657</f>
        <v>-1.0200000000000102</v>
      </c>
      <c r="I658" s="51">
        <f t="shared" si="3524"/>
        <v>-0.17000000000000171</v>
      </c>
      <c r="J658" s="51">
        <f t="shared" si="3524"/>
        <v>1.0000000000005116E-2</v>
      </c>
      <c r="K658" s="51">
        <f t="shared" si="3524"/>
        <v>-0.29999999999999716</v>
      </c>
      <c r="L658" s="51">
        <f t="shared" si="3524"/>
        <v>-3.0000000000001137E-2</v>
      </c>
      <c r="M658" s="42">
        <f t="shared" si="3524"/>
        <v>-1.039999999999992</v>
      </c>
      <c r="N658" s="51">
        <f t="shared" ref="N658:R658" si="3525">N657</f>
        <v>123.5675</v>
      </c>
      <c r="O658" s="51">
        <f t="shared" si="3525"/>
        <v>92.29</v>
      </c>
      <c r="P658" s="51">
        <f t="shared" si="3525"/>
        <v>71.54249999999999</v>
      </c>
      <c r="Q658" s="51">
        <f t="shared" si="3525"/>
        <v>52.715000000000003</v>
      </c>
      <c r="R658" s="51">
        <f t="shared" si="3525"/>
        <v>32.917500000000004</v>
      </c>
      <c r="S658" s="51">
        <f t="shared" ref="S658:T658" si="3526">(B657+B658)/2</f>
        <v>123.75</v>
      </c>
      <c r="T658" s="51">
        <f t="shared" si="3526"/>
        <v>92.245000000000005</v>
      </c>
      <c r="U658" s="51">
        <f t="shared" si="2884"/>
        <v>71.414999999999992</v>
      </c>
      <c r="V658" s="51">
        <f t="shared" ref="V658:W658" si="3527">(E657+E658)/2</f>
        <v>52.85</v>
      </c>
      <c r="W658" s="51">
        <f t="shared" si="3527"/>
        <v>33.125</v>
      </c>
      <c r="X658" s="51">
        <f t="shared" ref="X658:AB658" si="3528">(SUM(B655:B658))/4</f>
        <v>124.3775</v>
      </c>
      <c r="Y658" s="51">
        <f t="shared" si="3528"/>
        <v>93.210000000000008</v>
      </c>
      <c r="Z658" s="51">
        <f t="shared" si="3528"/>
        <v>71.83</v>
      </c>
      <c r="AA658" s="51">
        <f t="shared" si="3528"/>
        <v>53.387500000000003</v>
      </c>
      <c r="AB658" s="51">
        <f t="shared" si="3528"/>
        <v>33.462499999999999</v>
      </c>
      <c r="AC658" s="51">
        <f t="shared" ref="AC658:AF658" si="3529">(B658+C658)/2</f>
        <v>107.69999999999999</v>
      </c>
      <c r="AD658" s="51">
        <f t="shared" si="3529"/>
        <v>81.789999999999992</v>
      </c>
      <c r="AE658" s="51">
        <f t="shared" si="3529"/>
        <v>62.06</v>
      </c>
      <c r="AF658" s="51">
        <f t="shared" si="3529"/>
        <v>42.905000000000001</v>
      </c>
      <c r="AG658" s="51">
        <f t="shared" si="3360"/>
        <v>73.089999999999989</v>
      </c>
      <c r="AH658" s="51">
        <f t="shared" si="3361"/>
        <v>64.42</v>
      </c>
      <c r="AI658" s="51">
        <f t="shared" si="3362"/>
        <v>72.04249999999999</v>
      </c>
      <c r="AJ658" s="51">
        <f t="shared" si="3363"/>
        <v>70.456800000000001</v>
      </c>
      <c r="AK658" s="51">
        <f t="shared" si="2093"/>
        <v>37.637499999999996</v>
      </c>
      <c r="AL658" s="51">
        <f t="shared" si="3364"/>
        <v>40.408249999999995</v>
      </c>
      <c r="AM658" s="51"/>
      <c r="AN658" s="51">
        <f t="shared" si="3499"/>
        <v>51.85</v>
      </c>
      <c r="AO658" s="51">
        <f t="shared" si="3366"/>
        <v>50.591666666666669</v>
      </c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8"/>
      <c r="BK658" s="8"/>
      <c r="BL658" s="8"/>
      <c r="BM658" s="8"/>
    </row>
    <row r="659" spans="1:65" ht="30" hidden="1" customHeight="1" x14ac:dyDescent="0.45">
      <c r="A659" s="55">
        <f t="shared" si="3257"/>
        <v>45492</v>
      </c>
      <c r="B659" s="56">
        <v>123.18</v>
      </c>
      <c r="C659" s="56">
        <v>92.22</v>
      </c>
      <c r="D659" s="56">
        <v>71.64</v>
      </c>
      <c r="E659" s="56">
        <v>52.72</v>
      </c>
      <c r="F659" s="56">
        <v>32.83</v>
      </c>
      <c r="G659" s="56">
        <v>136.53</v>
      </c>
      <c r="H659" s="51">
        <f t="shared" ref="H659:M659" si="3530">B659-B658</f>
        <v>-5.9999999999988063E-2</v>
      </c>
      <c r="I659" s="51">
        <f t="shared" si="3530"/>
        <v>6.0000000000002274E-2</v>
      </c>
      <c r="J659" s="51">
        <f t="shared" si="3530"/>
        <v>0.21999999999999886</v>
      </c>
      <c r="K659" s="51">
        <f t="shared" si="3530"/>
        <v>1.9999999999996021E-2</v>
      </c>
      <c r="L659" s="51">
        <f t="shared" si="3530"/>
        <v>-0.28000000000000114</v>
      </c>
      <c r="M659" s="42">
        <f t="shared" si="3530"/>
        <v>3.7199999999999989</v>
      </c>
      <c r="N659" s="51">
        <f t="shared" ref="N659:R659" si="3531">N658</f>
        <v>123.5675</v>
      </c>
      <c r="O659" s="51">
        <f t="shared" si="3531"/>
        <v>92.29</v>
      </c>
      <c r="P659" s="51">
        <f t="shared" si="3531"/>
        <v>71.54249999999999</v>
      </c>
      <c r="Q659" s="51">
        <f t="shared" si="3531"/>
        <v>52.715000000000003</v>
      </c>
      <c r="R659" s="51">
        <f t="shared" si="3531"/>
        <v>32.917500000000004</v>
      </c>
      <c r="S659" s="51">
        <f t="shared" ref="S659:T659" si="3532">(B658+B659)/2</f>
        <v>123.21000000000001</v>
      </c>
      <c r="T659" s="51">
        <f t="shared" si="3532"/>
        <v>92.19</v>
      </c>
      <c r="U659" s="51">
        <f t="shared" si="2884"/>
        <v>71.53</v>
      </c>
      <c r="V659" s="51">
        <f t="shared" ref="V659:W659" si="3533">(E658+E659)/2</f>
        <v>52.71</v>
      </c>
      <c r="W659" s="51">
        <f t="shared" si="3533"/>
        <v>32.97</v>
      </c>
      <c r="X659" s="51">
        <f t="shared" ref="X659:AB659" si="3534">(SUM(B656:B659))/4</f>
        <v>123.7675</v>
      </c>
      <c r="Y659" s="51">
        <f t="shared" si="3534"/>
        <v>92.6</v>
      </c>
      <c r="Z659" s="51">
        <f t="shared" si="3534"/>
        <v>71.617499999999993</v>
      </c>
      <c r="AA659" s="51">
        <f t="shared" si="3534"/>
        <v>53</v>
      </c>
      <c r="AB659" s="51">
        <f t="shared" si="3534"/>
        <v>33.162500000000001</v>
      </c>
      <c r="AC659" s="51">
        <f t="shared" ref="AC659:AF659" si="3535">(B659+C659)/2</f>
        <v>107.7</v>
      </c>
      <c r="AD659" s="51">
        <f t="shared" si="3535"/>
        <v>81.93</v>
      </c>
      <c r="AE659" s="51">
        <f t="shared" si="3535"/>
        <v>62.18</v>
      </c>
      <c r="AF659" s="51">
        <f t="shared" si="3535"/>
        <v>42.774999999999999</v>
      </c>
      <c r="AG659" s="51">
        <f t="shared" si="3360"/>
        <v>73.23</v>
      </c>
      <c r="AH659" s="51">
        <f t="shared" si="3361"/>
        <v>64.64</v>
      </c>
      <c r="AI659" s="51">
        <f t="shared" si="3362"/>
        <v>72.04249999999999</v>
      </c>
      <c r="AJ659" s="51">
        <f t="shared" si="3363"/>
        <v>70.252799999999993</v>
      </c>
      <c r="AK659" s="51">
        <f t="shared" si="2093"/>
        <v>37.49</v>
      </c>
      <c r="AL659" s="51">
        <f t="shared" si="3364"/>
        <v>40.269600000000004</v>
      </c>
      <c r="AM659" s="51"/>
      <c r="AN659" s="51">
        <f t="shared" si="3499"/>
        <v>51.71</v>
      </c>
      <c r="AO659" s="51">
        <f t="shared" si="3366"/>
        <v>50.454999999999998</v>
      </c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8"/>
      <c r="BK659" s="8"/>
      <c r="BL659" s="8"/>
      <c r="BM659" s="8"/>
    </row>
    <row r="660" spans="1:65" ht="30" hidden="1" customHeight="1" x14ac:dyDescent="0.45">
      <c r="A660" s="55">
        <f t="shared" si="3257"/>
        <v>45499</v>
      </c>
      <c r="B660" s="56">
        <v>123.59</v>
      </c>
      <c r="C660" s="56">
        <v>92.45</v>
      </c>
      <c r="D660" s="56">
        <v>71.7</v>
      </c>
      <c r="E660" s="56">
        <v>52.44</v>
      </c>
      <c r="F660" s="56">
        <v>32.590000000000003</v>
      </c>
      <c r="G660" s="56">
        <v>137.16</v>
      </c>
      <c r="H660" s="51">
        <f t="shared" ref="H660:M660" si="3536">B660-B659</f>
        <v>0.40999999999999659</v>
      </c>
      <c r="I660" s="51">
        <f t="shared" si="3536"/>
        <v>0.23000000000000398</v>
      </c>
      <c r="J660" s="51">
        <f t="shared" si="3536"/>
        <v>6.0000000000002274E-2</v>
      </c>
      <c r="K660" s="51">
        <f t="shared" si="3536"/>
        <v>-0.28000000000000114</v>
      </c>
      <c r="L660" s="51">
        <f t="shared" si="3536"/>
        <v>-0.23999999999999488</v>
      </c>
      <c r="M660" s="42">
        <f t="shared" si="3536"/>
        <v>0.62999999999999545</v>
      </c>
      <c r="N660" s="51">
        <f t="shared" ref="N660:R660" si="3537">N659</f>
        <v>123.5675</v>
      </c>
      <c r="O660" s="51">
        <f t="shared" si="3537"/>
        <v>92.29</v>
      </c>
      <c r="P660" s="51">
        <f t="shared" si="3537"/>
        <v>71.54249999999999</v>
      </c>
      <c r="Q660" s="51">
        <f t="shared" si="3537"/>
        <v>52.715000000000003</v>
      </c>
      <c r="R660" s="51">
        <f t="shared" si="3537"/>
        <v>32.917500000000004</v>
      </c>
      <c r="S660" s="51">
        <f t="shared" ref="S660:T660" si="3538">(B659+B660)/2</f>
        <v>123.38500000000001</v>
      </c>
      <c r="T660" s="51">
        <f t="shared" si="3538"/>
        <v>92.335000000000008</v>
      </c>
      <c r="U660" s="51">
        <f t="shared" si="2884"/>
        <v>71.67</v>
      </c>
      <c r="V660" s="51">
        <f t="shared" ref="V660:W660" si="3539">(E659+E660)/2</f>
        <v>52.58</v>
      </c>
      <c r="W660" s="51">
        <f t="shared" si="3539"/>
        <v>32.71</v>
      </c>
      <c r="X660" s="51">
        <f t="shared" ref="X660:AB660" si="3540">(SUM(B657:B660))/4</f>
        <v>123.5675</v>
      </c>
      <c r="Y660" s="51">
        <f t="shared" si="3540"/>
        <v>92.29</v>
      </c>
      <c r="Z660" s="51">
        <f t="shared" si="3540"/>
        <v>71.54249999999999</v>
      </c>
      <c r="AA660" s="51">
        <f t="shared" si="3540"/>
        <v>52.715000000000003</v>
      </c>
      <c r="AB660" s="51">
        <f t="shared" si="3540"/>
        <v>32.917500000000004</v>
      </c>
      <c r="AC660" s="51">
        <f t="shared" ref="AC660:AF660" si="3541">(B660+C660)/2</f>
        <v>108.02000000000001</v>
      </c>
      <c r="AD660" s="51">
        <f t="shared" si="3541"/>
        <v>82.075000000000003</v>
      </c>
      <c r="AE660" s="51">
        <f t="shared" si="3541"/>
        <v>62.07</v>
      </c>
      <c r="AF660" s="51">
        <f t="shared" si="3541"/>
        <v>42.515000000000001</v>
      </c>
      <c r="AG660" s="51">
        <f t="shared" si="3360"/>
        <v>73.375</v>
      </c>
      <c r="AH660" s="51">
        <f t="shared" si="3361"/>
        <v>64.7</v>
      </c>
      <c r="AI660" s="51">
        <f t="shared" si="3362"/>
        <v>72.04249999999999</v>
      </c>
      <c r="AJ660" s="51">
        <f t="shared" si="3363"/>
        <v>70.180799999999991</v>
      </c>
      <c r="AK660" s="51">
        <f t="shared" si="2093"/>
        <v>37.294999999999995</v>
      </c>
      <c r="AL660" s="51">
        <f t="shared" si="3364"/>
        <v>40.086299999999994</v>
      </c>
      <c r="AM660" s="51"/>
      <c r="AN660" s="51">
        <f t="shared" si="3499"/>
        <v>51.58</v>
      </c>
      <c r="AO660" s="51">
        <f t="shared" si="3366"/>
        <v>50.328095238095237</v>
      </c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8"/>
      <c r="BK660" s="8"/>
      <c r="BL660" s="8"/>
      <c r="BM660" s="8"/>
    </row>
    <row r="661" spans="1:65" ht="30" hidden="1" customHeight="1" x14ac:dyDescent="0.45">
      <c r="A661" s="55">
        <f t="shared" si="3257"/>
        <v>45506</v>
      </c>
      <c r="B661" s="56">
        <v>125.32</v>
      </c>
      <c r="C661" s="56">
        <v>92.68</v>
      </c>
      <c r="D661" s="56">
        <v>71.900000000000006</v>
      </c>
      <c r="E661" s="56">
        <v>52.16</v>
      </c>
      <c r="F661" s="56">
        <v>32.49</v>
      </c>
      <c r="G661" s="56">
        <v>140.82</v>
      </c>
      <c r="H661" s="51">
        <f t="shared" ref="H661:M661" si="3542">B661-B660</f>
        <v>1.7299999999999898</v>
      </c>
      <c r="I661" s="51">
        <f t="shared" si="3542"/>
        <v>0.23000000000000398</v>
      </c>
      <c r="J661" s="51">
        <f t="shared" si="3542"/>
        <v>0.20000000000000284</v>
      </c>
      <c r="K661" s="51">
        <f t="shared" si="3542"/>
        <v>-0.28000000000000114</v>
      </c>
      <c r="L661" s="51">
        <f t="shared" si="3542"/>
        <v>-0.10000000000000142</v>
      </c>
      <c r="M661" s="42">
        <f t="shared" si="3542"/>
        <v>3.6599999999999966</v>
      </c>
      <c r="N661" s="51">
        <f t="shared" ref="N661:R661" si="3543">AVERAGE(B661:B665)</f>
        <v>127.24600000000001</v>
      </c>
      <c r="O661" s="51">
        <f t="shared" si="3543"/>
        <v>92.736000000000018</v>
      </c>
      <c r="P661" s="51">
        <f t="shared" si="3543"/>
        <v>72.049999999999983</v>
      </c>
      <c r="Q661" s="51">
        <f t="shared" si="3543"/>
        <v>51.177999999999997</v>
      </c>
      <c r="R661" s="51">
        <f t="shared" si="3543"/>
        <v>31.758000000000003</v>
      </c>
      <c r="S661" s="51">
        <f t="shared" ref="S661:T661" si="3544">(B660+B661)/2</f>
        <v>124.455</v>
      </c>
      <c r="T661" s="51">
        <f t="shared" si="3544"/>
        <v>92.564999999999998</v>
      </c>
      <c r="U661" s="51">
        <f t="shared" si="2884"/>
        <v>71.800000000000011</v>
      </c>
      <c r="V661" s="51">
        <f t="shared" ref="V661:W661" si="3545">(E660+E661)/2</f>
        <v>52.3</v>
      </c>
      <c r="W661" s="51">
        <f t="shared" si="3545"/>
        <v>32.540000000000006</v>
      </c>
      <c r="X661" s="51">
        <f t="shared" ref="X661:AB661" si="3546">(SUM(B658:B661))/4</f>
        <v>123.8325</v>
      </c>
      <c r="Y661" s="51">
        <f t="shared" si="3546"/>
        <v>92.377499999999998</v>
      </c>
      <c r="Z661" s="51">
        <f t="shared" si="3546"/>
        <v>71.664999999999992</v>
      </c>
      <c r="AA661" s="51">
        <f t="shared" si="3546"/>
        <v>52.505000000000003</v>
      </c>
      <c r="AB661" s="51">
        <f t="shared" si="3546"/>
        <v>32.755000000000003</v>
      </c>
      <c r="AC661" s="51">
        <f t="shared" ref="AC661:AF661" si="3547">(B661+C661)/2</f>
        <v>109</v>
      </c>
      <c r="AD661" s="51">
        <f t="shared" si="3547"/>
        <v>82.29</v>
      </c>
      <c r="AE661" s="51">
        <f t="shared" si="3547"/>
        <v>62.03</v>
      </c>
      <c r="AF661" s="51">
        <f t="shared" si="3547"/>
        <v>42.325000000000003</v>
      </c>
      <c r="AG661" s="51">
        <f t="shared" si="3360"/>
        <v>73.59</v>
      </c>
      <c r="AH661" s="51">
        <f t="shared" si="3361"/>
        <v>64.900000000000006</v>
      </c>
      <c r="AI661" s="51">
        <f>P660+0.5</f>
        <v>72.04249999999999</v>
      </c>
      <c r="AJ661" s="51">
        <f t="shared" si="3363"/>
        <v>70.298399999999987</v>
      </c>
      <c r="AK661" s="51">
        <f t="shared" si="2093"/>
        <v>37.07</v>
      </c>
      <c r="AL661" s="51">
        <f t="shared" si="3364"/>
        <v>39.8748</v>
      </c>
      <c r="AM661" s="51"/>
      <c r="AN661" s="51">
        <f t="shared" si="3499"/>
        <v>51.3</v>
      </c>
      <c r="AO661" s="51">
        <f t="shared" si="3366"/>
        <v>50.054761904761904</v>
      </c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8"/>
      <c r="BK661" s="8"/>
      <c r="BL661" s="8"/>
      <c r="BM661" s="8"/>
    </row>
    <row r="662" spans="1:65" ht="30" hidden="1" customHeight="1" x14ac:dyDescent="0.45">
      <c r="A662" s="55">
        <v>45512</v>
      </c>
      <c r="B662" s="56">
        <v>126.69</v>
      </c>
      <c r="C662" s="56">
        <v>92.98</v>
      </c>
      <c r="D662" s="56">
        <v>72.05</v>
      </c>
      <c r="E662" s="56">
        <v>51.83</v>
      </c>
      <c r="F662" s="56">
        <v>32.130000000000003</v>
      </c>
      <c r="G662" s="56">
        <v>146.46</v>
      </c>
      <c r="H662" s="51">
        <f t="shared" ref="H662:M662" si="3548">B662-B661</f>
        <v>1.3700000000000045</v>
      </c>
      <c r="I662" s="51">
        <f t="shared" si="3548"/>
        <v>0.29999999999999716</v>
      </c>
      <c r="J662" s="51">
        <f t="shared" si="3548"/>
        <v>0.14999999999999147</v>
      </c>
      <c r="K662" s="51">
        <f t="shared" si="3548"/>
        <v>-0.32999999999999829</v>
      </c>
      <c r="L662" s="51">
        <f t="shared" si="3548"/>
        <v>-0.35999999999999943</v>
      </c>
      <c r="M662" s="42">
        <f t="shared" si="3548"/>
        <v>5.6400000000000148</v>
      </c>
      <c r="N662" s="68">
        <f t="shared" ref="N662:R662" si="3549">N661</f>
        <v>127.24600000000001</v>
      </c>
      <c r="O662" s="68">
        <f t="shared" si="3549"/>
        <v>92.736000000000018</v>
      </c>
      <c r="P662" s="68">
        <f t="shared" si="3549"/>
        <v>72.049999999999983</v>
      </c>
      <c r="Q662" s="68">
        <f t="shared" si="3549"/>
        <v>51.177999999999997</v>
      </c>
      <c r="R662" s="68">
        <f t="shared" si="3549"/>
        <v>31.758000000000003</v>
      </c>
      <c r="S662" s="51">
        <f t="shared" ref="S662:T662" si="3550">(B661+B662)/2</f>
        <v>126.005</v>
      </c>
      <c r="T662" s="51">
        <f t="shared" si="3550"/>
        <v>92.830000000000013</v>
      </c>
      <c r="U662" s="51">
        <f t="shared" si="2884"/>
        <v>71.974999999999994</v>
      </c>
      <c r="V662" s="51">
        <f t="shared" ref="V662:W662" si="3551">(E661+E662)/2</f>
        <v>51.994999999999997</v>
      </c>
      <c r="W662" s="51">
        <f t="shared" si="3551"/>
        <v>32.31</v>
      </c>
      <c r="X662" s="51">
        <f t="shared" ref="X662:AB662" si="3552">(SUM(B659:B662))/4</f>
        <v>124.69500000000001</v>
      </c>
      <c r="Y662" s="51">
        <f t="shared" si="3552"/>
        <v>92.58250000000001</v>
      </c>
      <c r="Z662" s="51">
        <f t="shared" si="3552"/>
        <v>71.822500000000005</v>
      </c>
      <c r="AA662" s="51">
        <f t="shared" si="3552"/>
        <v>52.287499999999994</v>
      </c>
      <c r="AB662" s="51">
        <f t="shared" si="3552"/>
        <v>32.51</v>
      </c>
      <c r="AC662" s="51">
        <f t="shared" ref="AC662:AF662" si="3553">(B662+C662)/2</f>
        <v>109.83500000000001</v>
      </c>
      <c r="AD662" s="51">
        <f t="shared" si="3553"/>
        <v>82.515000000000001</v>
      </c>
      <c r="AE662" s="51">
        <f t="shared" si="3553"/>
        <v>61.94</v>
      </c>
      <c r="AF662" s="51">
        <f t="shared" si="3553"/>
        <v>41.980000000000004</v>
      </c>
      <c r="AG662" s="51">
        <f t="shared" si="3360"/>
        <v>73.814999999999998</v>
      </c>
      <c r="AH662" s="51">
        <f t="shared" si="3361"/>
        <v>65.05</v>
      </c>
      <c r="AI662" s="51">
        <f t="shared" ref="AI662:AI681" si="3554">P662+0.5</f>
        <v>72.549999999999983</v>
      </c>
      <c r="AJ662" s="51">
        <f t="shared" si="3363"/>
        <v>70.449600000000004</v>
      </c>
      <c r="AK662" s="51">
        <f t="shared" si="2093"/>
        <v>36.802500000000002</v>
      </c>
      <c r="AL662" s="51">
        <f t="shared" si="3364"/>
        <v>39.623350000000002</v>
      </c>
      <c r="AM662" s="51"/>
      <c r="AN662" s="51">
        <f t="shared" si="3499"/>
        <v>50.994999999999997</v>
      </c>
      <c r="AO662" s="51">
        <f t="shared" si="3366"/>
        <v>49.757023809523808</v>
      </c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8"/>
      <c r="BK662" s="8"/>
      <c r="BL662" s="8"/>
      <c r="BM662" s="8"/>
    </row>
    <row r="663" spans="1:65" ht="30" hidden="1" customHeight="1" x14ac:dyDescent="0.45">
      <c r="A663" s="55">
        <v>45520</v>
      </c>
      <c r="B663" s="56">
        <v>127.72</v>
      </c>
      <c r="C663" s="56">
        <v>92.87</v>
      </c>
      <c r="D663" s="56">
        <v>72.239999999999995</v>
      </c>
      <c r="E663" s="56">
        <v>51.18</v>
      </c>
      <c r="F663" s="56">
        <v>31.78</v>
      </c>
      <c r="G663" s="56">
        <v>150.05000000000001</v>
      </c>
      <c r="H663" s="51">
        <f t="shared" ref="H663:M663" si="3555">B663-B662</f>
        <v>1.0300000000000011</v>
      </c>
      <c r="I663" s="51">
        <f t="shared" si="3555"/>
        <v>-0.10999999999999943</v>
      </c>
      <c r="J663" s="51">
        <f t="shared" si="3555"/>
        <v>0.18999999999999773</v>
      </c>
      <c r="K663" s="51">
        <f t="shared" si="3555"/>
        <v>-0.64999999999999858</v>
      </c>
      <c r="L663" s="51">
        <f t="shared" si="3555"/>
        <v>-0.35000000000000142</v>
      </c>
      <c r="M663" s="42">
        <f t="shared" si="3555"/>
        <v>3.5900000000000034</v>
      </c>
      <c r="N663" s="68">
        <f t="shared" ref="N663:R663" si="3556">N662</f>
        <v>127.24600000000001</v>
      </c>
      <c r="O663" s="68">
        <f t="shared" si="3556"/>
        <v>92.736000000000018</v>
      </c>
      <c r="P663" s="68">
        <f t="shared" si="3556"/>
        <v>72.049999999999983</v>
      </c>
      <c r="Q663" s="68">
        <f t="shared" si="3556"/>
        <v>51.177999999999997</v>
      </c>
      <c r="R663" s="68">
        <f t="shared" si="3556"/>
        <v>31.758000000000003</v>
      </c>
      <c r="S663" s="51">
        <f t="shared" ref="S663:T663" si="3557">(B662+B663)/2</f>
        <v>127.205</v>
      </c>
      <c r="T663" s="51">
        <f t="shared" si="3557"/>
        <v>92.925000000000011</v>
      </c>
      <c r="U663" s="51">
        <f t="shared" si="2884"/>
        <v>72.144999999999996</v>
      </c>
      <c r="V663" s="51">
        <f t="shared" ref="V663:W663" si="3558">(E662+E663)/2</f>
        <v>51.504999999999995</v>
      </c>
      <c r="W663" s="51">
        <f t="shared" si="3558"/>
        <v>31.955000000000002</v>
      </c>
      <c r="X663" s="51">
        <f t="shared" ref="X663:AB663" si="3559">(SUM(B660:B663))/4</f>
        <v>125.83000000000001</v>
      </c>
      <c r="Y663" s="51">
        <f t="shared" si="3559"/>
        <v>92.745000000000005</v>
      </c>
      <c r="Z663" s="51">
        <f t="shared" si="3559"/>
        <v>71.972500000000011</v>
      </c>
      <c r="AA663" s="51">
        <f t="shared" si="3559"/>
        <v>51.902500000000003</v>
      </c>
      <c r="AB663" s="51">
        <f t="shared" si="3559"/>
        <v>32.247500000000002</v>
      </c>
      <c r="AC663" s="51">
        <f t="shared" ref="AC663:AF663" si="3560">(B663+C663)/2</f>
        <v>110.295</v>
      </c>
      <c r="AD663" s="51">
        <f t="shared" si="3560"/>
        <v>82.555000000000007</v>
      </c>
      <c r="AE663" s="51">
        <f t="shared" si="3560"/>
        <v>61.709999999999994</v>
      </c>
      <c r="AF663" s="51">
        <f t="shared" si="3560"/>
        <v>41.480000000000004</v>
      </c>
      <c r="AG663" s="51">
        <f t="shared" si="3360"/>
        <v>73.855000000000004</v>
      </c>
      <c r="AH663" s="51">
        <f t="shared" si="3361"/>
        <v>65.239999999999995</v>
      </c>
      <c r="AI663" s="51">
        <f t="shared" si="3554"/>
        <v>72.549999999999983</v>
      </c>
      <c r="AJ663" s="51">
        <f t="shared" si="3363"/>
        <v>70.593600000000009</v>
      </c>
      <c r="AK663" s="51">
        <f t="shared" si="2093"/>
        <v>36.379999999999995</v>
      </c>
      <c r="AL663" s="51">
        <f t="shared" si="3364"/>
        <v>39.226199999999992</v>
      </c>
      <c r="AM663" s="51"/>
      <c r="AN663" s="51">
        <f t="shared" si="3499"/>
        <v>50.504999999999995</v>
      </c>
      <c r="AO663" s="51">
        <f t="shared" si="3366"/>
        <v>49.278690476190469</v>
      </c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8"/>
      <c r="BK663" s="8"/>
      <c r="BL663" s="8"/>
      <c r="BM663" s="8"/>
    </row>
    <row r="664" spans="1:65" ht="30" hidden="1" customHeight="1" x14ac:dyDescent="0.45">
      <c r="A664" s="55">
        <f t="shared" ref="A664:A697" si="3561">A663+7</f>
        <v>45527</v>
      </c>
      <c r="B664" s="56">
        <v>128.33000000000001</v>
      </c>
      <c r="C664" s="56">
        <v>92.73</v>
      </c>
      <c r="D664" s="56">
        <v>72.099999999999994</v>
      </c>
      <c r="E664" s="56">
        <v>50.64</v>
      </c>
      <c r="F664" s="56">
        <v>31.36</v>
      </c>
      <c r="G664" s="56">
        <v>148.05000000000001</v>
      </c>
      <c r="H664" s="51">
        <f t="shared" ref="H664:M664" si="3562">B664-B663</f>
        <v>0.61000000000001364</v>
      </c>
      <c r="I664" s="51">
        <f t="shared" si="3562"/>
        <v>-0.14000000000000057</v>
      </c>
      <c r="J664" s="51">
        <f t="shared" si="3562"/>
        <v>-0.14000000000000057</v>
      </c>
      <c r="K664" s="51">
        <f t="shared" si="3562"/>
        <v>-0.53999999999999915</v>
      </c>
      <c r="L664" s="51">
        <f t="shared" si="3562"/>
        <v>-0.42000000000000171</v>
      </c>
      <c r="M664" s="42">
        <f t="shared" si="3562"/>
        <v>-2</v>
      </c>
      <c r="N664" s="68">
        <f t="shared" ref="N664:R664" si="3563">N663</f>
        <v>127.24600000000001</v>
      </c>
      <c r="O664" s="68">
        <f t="shared" si="3563"/>
        <v>92.736000000000018</v>
      </c>
      <c r="P664" s="68">
        <f t="shared" si="3563"/>
        <v>72.049999999999983</v>
      </c>
      <c r="Q664" s="68">
        <f t="shared" si="3563"/>
        <v>51.177999999999997</v>
      </c>
      <c r="R664" s="68">
        <f t="shared" si="3563"/>
        <v>31.758000000000003</v>
      </c>
      <c r="S664" s="51">
        <f t="shared" ref="S664:T664" si="3564">(B663+B664)/2</f>
        <v>128.02500000000001</v>
      </c>
      <c r="T664" s="51">
        <f t="shared" si="3564"/>
        <v>92.800000000000011</v>
      </c>
      <c r="U664" s="51">
        <f t="shared" si="2884"/>
        <v>72.169999999999987</v>
      </c>
      <c r="V664" s="51">
        <f t="shared" ref="V664:W664" si="3565">(E663+E664)/2</f>
        <v>50.91</v>
      </c>
      <c r="W664" s="51">
        <f t="shared" si="3565"/>
        <v>31.57</v>
      </c>
      <c r="X664" s="51">
        <f t="shared" ref="X664:AB664" si="3566">(SUM(B661:B664))/4</f>
        <v>127.01500000000001</v>
      </c>
      <c r="Y664" s="51">
        <f t="shared" si="3566"/>
        <v>92.815000000000012</v>
      </c>
      <c r="Z664" s="51">
        <f t="shared" si="3566"/>
        <v>72.072499999999991</v>
      </c>
      <c r="AA664" s="51">
        <f t="shared" si="3566"/>
        <v>51.452500000000001</v>
      </c>
      <c r="AB664" s="51">
        <f t="shared" si="3566"/>
        <v>31.94</v>
      </c>
      <c r="AC664" s="51">
        <f t="shared" ref="AC664:AF664" si="3567">(B664+C664)/2</f>
        <v>110.53</v>
      </c>
      <c r="AD664" s="51">
        <f t="shared" si="3567"/>
        <v>82.414999999999992</v>
      </c>
      <c r="AE664" s="51">
        <f t="shared" si="3567"/>
        <v>61.37</v>
      </c>
      <c r="AF664" s="51">
        <f t="shared" si="3567"/>
        <v>41</v>
      </c>
      <c r="AG664" s="51">
        <f t="shared" si="3360"/>
        <v>73.714999999999989</v>
      </c>
      <c r="AH664" s="51">
        <f t="shared" si="3361"/>
        <v>65.099999999999994</v>
      </c>
      <c r="AI664" s="51">
        <f t="shared" si="3554"/>
        <v>72.549999999999983</v>
      </c>
      <c r="AJ664" s="51">
        <f t="shared" si="3363"/>
        <v>70.689599999999984</v>
      </c>
      <c r="AK664" s="51">
        <f t="shared" si="2093"/>
        <v>35.889999999999993</v>
      </c>
      <c r="AL664" s="51">
        <f t="shared" si="3364"/>
        <v>38.765599999999992</v>
      </c>
      <c r="AM664" s="51"/>
      <c r="AN664" s="51">
        <f t="shared" si="3499"/>
        <v>49.91</v>
      </c>
      <c r="AO664" s="51">
        <f t="shared" si="3366"/>
        <v>48.697857142857146</v>
      </c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8"/>
      <c r="BK664" s="8"/>
      <c r="BL664" s="8"/>
      <c r="BM664" s="8"/>
    </row>
    <row r="665" spans="1:65" ht="30" hidden="1" customHeight="1" x14ac:dyDescent="0.45">
      <c r="A665" s="55">
        <f t="shared" si="3561"/>
        <v>45534</v>
      </c>
      <c r="B665" s="56">
        <v>128.16999999999999</v>
      </c>
      <c r="C665" s="56">
        <v>92.42</v>
      </c>
      <c r="D665" s="56">
        <v>71.959999999999994</v>
      </c>
      <c r="E665" s="56">
        <v>50.08</v>
      </c>
      <c r="F665" s="56">
        <v>31.03</v>
      </c>
      <c r="G665" s="56">
        <v>146.5</v>
      </c>
      <c r="H665" s="51">
        <f t="shared" ref="H665:M665" si="3568">B665-B664</f>
        <v>-0.16000000000002501</v>
      </c>
      <c r="I665" s="51">
        <f t="shared" si="3568"/>
        <v>-0.31000000000000227</v>
      </c>
      <c r="J665" s="51">
        <f t="shared" si="3568"/>
        <v>-0.14000000000000057</v>
      </c>
      <c r="K665" s="51">
        <f t="shared" si="3568"/>
        <v>-0.56000000000000227</v>
      </c>
      <c r="L665" s="51">
        <f t="shared" si="3568"/>
        <v>-0.32999999999999829</v>
      </c>
      <c r="M665" s="42">
        <f t="shared" si="3568"/>
        <v>-1.5500000000000114</v>
      </c>
      <c r="N665" s="68">
        <f t="shared" ref="N665:R665" si="3569">N664</f>
        <v>127.24600000000001</v>
      </c>
      <c r="O665" s="68">
        <f t="shared" si="3569"/>
        <v>92.736000000000018</v>
      </c>
      <c r="P665" s="68">
        <f t="shared" si="3569"/>
        <v>72.049999999999983</v>
      </c>
      <c r="Q665" s="68">
        <f t="shared" si="3569"/>
        <v>51.177999999999997</v>
      </c>
      <c r="R665" s="68">
        <f t="shared" si="3569"/>
        <v>31.758000000000003</v>
      </c>
      <c r="S665" s="51">
        <f t="shared" ref="S665:T665" si="3570">(B664+B665)/2</f>
        <v>128.25</v>
      </c>
      <c r="T665" s="51">
        <f t="shared" si="3570"/>
        <v>92.575000000000003</v>
      </c>
      <c r="U665" s="51">
        <f t="shared" si="2884"/>
        <v>72.03</v>
      </c>
      <c r="V665" s="51">
        <f t="shared" ref="V665:W665" si="3571">(E664+E665)/2</f>
        <v>50.36</v>
      </c>
      <c r="W665" s="51">
        <f t="shared" si="3571"/>
        <v>31.195</v>
      </c>
      <c r="X665" s="51">
        <f t="shared" ref="X665:AB665" si="3572">(SUM(B662:B665))/4</f>
        <v>127.72749999999999</v>
      </c>
      <c r="Y665" s="51">
        <f t="shared" si="3572"/>
        <v>92.750000000000014</v>
      </c>
      <c r="Z665" s="51">
        <f t="shared" si="3572"/>
        <v>72.087499999999991</v>
      </c>
      <c r="AA665" s="51">
        <f t="shared" si="3572"/>
        <v>50.93249999999999</v>
      </c>
      <c r="AB665" s="51">
        <f t="shared" si="3572"/>
        <v>31.575000000000003</v>
      </c>
      <c r="AC665" s="51">
        <f t="shared" ref="AC665:AF665" si="3573">(B665+C665)/2</f>
        <v>110.29499999999999</v>
      </c>
      <c r="AD665" s="51">
        <f t="shared" si="3573"/>
        <v>82.19</v>
      </c>
      <c r="AE665" s="51">
        <f t="shared" si="3573"/>
        <v>61.019999999999996</v>
      </c>
      <c r="AF665" s="51">
        <f t="shared" si="3573"/>
        <v>40.555</v>
      </c>
      <c r="AG665" s="51">
        <f t="shared" si="3360"/>
        <v>73.489999999999995</v>
      </c>
      <c r="AH665" s="51">
        <f t="shared" si="3361"/>
        <v>64.959999999999994</v>
      </c>
      <c r="AI665" s="51">
        <f t="shared" si="3554"/>
        <v>72.549999999999983</v>
      </c>
      <c r="AJ665" s="51">
        <f t="shared" si="3363"/>
        <v>70.703999999999994</v>
      </c>
      <c r="AK665" s="51">
        <f t="shared" si="2093"/>
        <v>35.427500000000002</v>
      </c>
      <c r="AL665" s="51">
        <f t="shared" si="3364"/>
        <v>38.330849999999998</v>
      </c>
      <c r="AM665" s="51"/>
      <c r="AN665" s="51">
        <f t="shared" si="3499"/>
        <v>49.36</v>
      </c>
      <c r="AO665" s="51">
        <f t="shared" si="3366"/>
        <v>48.160952380952381</v>
      </c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8"/>
      <c r="BK665" s="8"/>
      <c r="BL665" s="8"/>
      <c r="BM665" s="8"/>
    </row>
    <row r="666" spans="1:65" ht="30" hidden="1" customHeight="1" x14ac:dyDescent="0.45">
      <c r="A666" s="55">
        <f t="shared" si="3561"/>
        <v>45541</v>
      </c>
      <c r="B666" s="56">
        <v>129.53</v>
      </c>
      <c r="C666" s="56">
        <v>92.21</v>
      </c>
      <c r="D666" s="56">
        <v>71.8</v>
      </c>
      <c r="E666" s="56">
        <v>50.38</v>
      </c>
      <c r="F666" s="56">
        <v>31.03</v>
      </c>
      <c r="G666" s="56">
        <v>146.5</v>
      </c>
      <c r="H666" s="51">
        <f t="shared" ref="H666:M666" si="3574">B666-B665</f>
        <v>1.3600000000000136</v>
      </c>
      <c r="I666" s="51">
        <f t="shared" si="3574"/>
        <v>-0.21000000000000796</v>
      </c>
      <c r="J666" s="51">
        <f t="shared" si="3574"/>
        <v>-0.15999999999999659</v>
      </c>
      <c r="K666" s="51">
        <f t="shared" si="3574"/>
        <v>0.30000000000000426</v>
      </c>
      <c r="L666" s="51">
        <f t="shared" si="3574"/>
        <v>0</v>
      </c>
      <c r="M666" s="42">
        <f t="shared" si="3574"/>
        <v>0</v>
      </c>
      <c r="N666" s="51">
        <f t="shared" ref="N666:R666" si="3575">AVERAGE(B666:B669)</f>
        <v>128.51749999999998</v>
      </c>
      <c r="O666" s="51">
        <f t="shared" si="3575"/>
        <v>92.74</v>
      </c>
      <c r="P666" s="51">
        <f t="shared" si="3575"/>
        <v>72.347499999999997</v>
      </c>
      <c r="Q666" s="51">
        <f t="shared" si="3575"/>
        <v>51.1325</v>
      </c>
      <c r="R666" s="51">
        <f t="shared" si="3575"/>
        <v>31.272499999999997</v>
      </c>
      <c r="S666" s="51">
        <f t="shared" ref="S666:T666" si="3576">(B665+B666)/2</f>
        <v>128.85</v>
      </c>
      <c r="T666" s="51">
        <f t="shared" si="3576"/>
        <v>92.314999999999998</v>
      </c>
      <c r="U666" s="51">
        <f t="shared" si="2884"/>
        <v>71.88</v>
      </c>
      <c r="V666" s="51">
        <f t="shared" ref="V666:W666" si="3577">(E665+E666)/2</f>
        <v>50.230000000000004</v>
      </c>
      <c r="W666" s="51">
        <f t="shared" si="3577"/>
        <v>31.03</v>
      </c>
      <c r="X666" s="51">
        <f t="shared" ref="X666:AB666" si="3578">(SUM(B663:B666))/4</f>
        <v>128.4375</v>
      </c>
      <c r="Y666" s="51">
        <f t="shared" si="3578"/>
        <v>92.557500000000005</v>
      </c>
      <c r="Z666" s="51">
        <f t="shared" si="3578"/>
        <v>72.024999999999991</v>
      </c>
      <c r="AA666" s="51">
        <f t="shared" si="3578"/>
        <v>50.569999999999993</v>
      </c>
      <c r="AB666" s="51">
        <f t="shared" si="3578"/>
        <v>31.3</v>
      </c>
      <c r="AC666" s="51">
        <f t="shared" ref="AC666:AF666" si="3579">(B666+C666)/2</f>
        <v>110.87</v>
      </c>
      <c r="AD666" s="51">
        <f t="shared" si="3579"/>
        <v>82.004999999999995</v>
      </c>
      <c r="AE666" s="51">
        <f t="shared" si="3579"/>
        <v>61.09</v>
      </c>
      <c r="AF666" s="51">
        <f t="shared" si="3579"/>
        <v>40.704999999999998</v>
      </c>
      <c r="AG666" s="51">
        <f t="shared" si="3360"/>
        <v>73.304999999999993</v>
      </c>
      <c r="AH666" s="51">
        <f t="shared" si="3361"/>
        <v>64.8</v>
      </c>
      <c r="AI666" s="51">
        <f t="shared" si="3554"/>
        <v>72.847499999999997</v>
      </c>
      <c r="AJ666" s="51">
        <f t="shared" si="3363"/>
        <v>70.643999999999991</v>
      </c>
      <c r="AK666" s="51">
        <f t="shared" si="2093"/>
        <v>35.28</v>
      </c>
      <c r="AL666" s="51">
        <f t="shared" si="3364"/>
        <v>38.1922</v>
      </c>
      <c r="AM666" s="51"/>
      <c r="AN666" s="51">
        <f t="shared" si="3499"/>
        <v>49.230000000000004</v>
      </c>
      <c r="AO666" s="51">
        <f t="shared" si="3366"/>
        <v>48.034047619047627</v>
      </c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8"/>
      <c r="BK666" s="8"/>
      <c r="BL666" s="8"/>
      <c r="BM666" s="8"/>
    </row>
    <row r="667" spans="1:65" ht="30" hidden="1" customHeight="1" x14ac:dyDescent="0.45">
      <c r="A667" s="55">
        <f t="shared" si="3561"/>
        <v>45548</v>
      </c>
      <c r="B667" s="56">
        <v>129.46</v>
      </c>
      <c r="C667" s="56">
        <v>92.42</v>
      </c>
      <c r="D667" s="56">
        <v>72.03</v>
      </c>
      <c r="E667" s="56">
        <v>50.91</v>
      </c>
      <c r="F667" s="56">
        <v>31.16</v>
      </c>
      <c r="G667" s="56">
        <v>137.49</v>
      </c>
      <c r="H667" s="51">
        <f t="shared" ref="H667:M667" si="3580">B667-B666</f>
        <v>-6.9999999999993179E-2</v>
      </c>
      <c r="I667" s="51">
        <f t="shared" si="3580"/>
        <v>0.21000000000000796</v>
      </c>
      <c r="J667" s="51">
        <f t="shared" si="3580"/>
        <v>0.23000000000000398</v>
      </c>
      <c r="K667" s="51">
        <f t="shared" si="3580"/>
        <v>0.52999999999999403</v>
      </c>
      <c r="L667" s="51">
        <f t="shared" si="3580"/>
        <v>0.12999999999999901</v>
      </c>
      <c r="M667" s="42">
        <f t="shared" si="3580"/>
        <v>-9.0099999999999909</v>
      </c>
      <c r="N667" s="51">
        <f t="shared" ref="N667:R667" si="3581">N666</f>
        <v>128.51749999999998</v>
      </c>
      <c r="O667" s="51">
        <f t="shared" si="3581"/>
        <v>92.74</v>
      </c>
      <c r="P667" s="51">
        <f t="shared" si="3581"/>
        <v>72.347499999999997</v>
      </c>
      <c r="Q667" s="51">
        <f t="shared" si="3581"/>
        <v>51.1325</v>
      </c>
      <c r="R667" s="51">
        <f t="shared" si="3581"/>
        <v>31.272499999999997</v>
      </c>
      <c r="S667" s="51">
        <f t="shared" ref="S667:T667" si="3582">(B666+B667)/2</f>
        <v>129.495</v>
      </c>
      <c r="T667" s="51">
        <f t="shared" si="3582"/>
        <v>92.314999999999998</v>
      </c>
      <c r="U667" s="51">
        <f t="shared" si="2884"/>
        <v>71.914999999999992</v>
      </c>
      <c r="V667" s="51">
        <f t="shared" ref="V667:W667" si="3583">(E666+E667)/2</f>
        <v>50.644999999999996</v>
      </c>
      <c r="W667" s="51">
        <f t="shared" si="3583"/>
        <v>31.094999999999999</v>
      </c>
      <c r="X667" s="51">
        <f t="shared" ref="X667:AB667" si="3584">(SUM(B664:B667))/4</f>
        <v>128.8725</v>
      </c>
      <c r="Y667" s="51">
        <f t="shared" si="3584"/>
        <v>92.445000000000007</v>
      </c>
      <c r="Z667" s="51">
        <f t="shared" si="3584"/>
        <v>71.972499999999997</v>
      </c>
      <c r="AA667" s="51">
        <f t="shared" si="3584"/>
        <v>50.502499999999998</v>
      </c>
      <c r="AB667" s="51">
        <f t="shared" si="3584"/>
        <v>31.145</v>
      </c>
      <c r="AC667" s="51">
        <f t="shared" ref="AC667:AF667" si="3585">(B667+C667)/2</f>
        <v>110.94</v>
      </c>
      <c r="AD667" s="51">
        <f t="shared" si="3585"/>
        <v>82.224999999999994</v>
      </c>
      <c r="AE667" s="51">
        <f t="shared" si="3585"/>
        <v>61.47</v>
      </c>
      <c r="AF667" s="51">
        <f t="shared" si="3585"/>
        <v>41.034999999999997</v>
      </c>
      <c r="AG667" s="51">
        <f t="shared" si="3360"/>
        <v>73.524999999999991</v>
      </c>
      <c r="AH667" s="51">
        <f t="shared" si="3361"/>
        <v>65.03</v>
      </c>
      <c r="AI667" s="51">
        <f t="shared" si="3554"/>
        <v>72.847499999999997</v>
      </c>
      <c r="AJ667" s="51">
        <f t="shared" si="3363"/>
        <v>70.593599999999995</v>
      </c>
      <c r="AK667" s="51">
        <f t="shared" si="2093"/>
        <v>35.519999999999996</v>
      </c>
      <c r="AL667" s="51">
        <f t="shared" si="3364"/>
        <v>38.417799999999993</v>
      </c>
      <c r="AM667" s="51"/>
      <c r="AN667" s="51">
        <f t="shared" si="3499"/>
        <v>49.644999999999996</v>
      </c>
      <c r="AO667" s="51">
        <f t="shared" si="3366"/>
        <v>48.439166666666658</v>
      </c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8"/>
      <c r="BK667" s="8"/>
      <c r="BL667" s="8"/>
      <c r="BM667" s="8"/>
    </row>
    <row r="668" spans="1:65" ht="30" hidden="1" customHeight="1" x14ac:dyDescent="0.45">
      <c r="A668" s="55">
        <f t="shared" si="3561"/>
        <v>45555</v>
      </c>
      <c r="B668" s="56">
        <v>127.58</v>
      </c>
      <c r="C668" s="56">
        <v>93.14</v>
      </c>
      <c r="D668" s="56">
        <v>72.510000000000005</v>
      </c>
      <c r="E668" s="56">
        <v>51.49</v>
      </c>
      <c r="F668" s="56">
        <v>31.35</v>
      </c>
      <c r="G668" s="56">
        <v>136.47999999999999</v>
      </c>
      <c r="H668" s="51">
        <f t="shared" ref="H668:M668" si="3586">B668-B667</f>
        <v>-1.8800000000000097</v>
      </c>
      <c r="I668" s="51">
        <f t="shared" si="3586"/>
        <v>0.71999999999999886</v>
      </c>
      <c r="J668" s="51">
        <f t="shared" si="3586"/>
        <v>0.48000000000000398</v>
      </c>
      <c r="K668" s="51">
        <f t="shared" si="3586"/>
        <v>0.5800000000000054</v>
      </c>
      <c r="L668" s="51">
        <f t="shared" si="3586"/>
        <v>0.19000000000000128</v>
      </c>
      <c r="M668" s="42">
        <f t="shared" si="3586"/>
        <v>-1.0100000000000193</v>
      </c>
      <c r="N668" s="51">
        <f t="shared" ref="N668:R668" si="3587">N667</f>
        <v>128.51749999999998</v>
      </c>
      <c r="O668" s="51">
        <f t="shared" si="3587"/>
        <v>92.74</v>
      </c>
      <c r="P668" s="51">
        <f t="shared" si="3587"/>
        <v>72.347499999999997</v>
      </c>
      <c r="Q668" s="51">
        <f t="shared" si="3587"/>
        <v>51.1325</v>
      </c>
      <c r="R668" s="51">
        <f t="shared" si="3587"/>
        <v>31.272499999999997</v>
      </c>
      <c r="S668" s="51">
        <f t="shared" ref="S668:T668" si="3588">(B667+B668)/2</f>
        <v>128.52000000000001</v>
      </c>
      <c r="T668" s="51">
        <f t="shared" si="3588"/>
        <v>92.78</v>
      </c>
      <c r="U668" s="51">
        <f t="shared" si="2884"/>
        <v>72.27000000000001</v>
      </c>
      <c r="V668" s="51">
        <f t="shared" ref="V668:W668" si="3589">(E667+E668)/2</f>
        <v>51.2</v>
      </c>
      <c r="W668" s="51">
        <f t="shared" si="3589"/>
        <v>31.255000000000003</v>
      </c>
      <c r="X668" s="51">
        <f t="shared" ref="X668:AB668" si="3590">(SUM(B665:B668))/4</f>
        <v>128.685</v>
      </c>
      <c r="Y668" s="51">
        <f t="shared" si="3590"/>
        <v>92.547499999999999</v>
      </c>
      <c r="Z668" s="51">
        <f t="shared" si="3590"/>
        <v>72.075000000000003</v>
      </c>
      <c r="AA668" s="51">
        <f t="shared" si="3590"/>
        <v>50.715000000000003</v>
      </c>
      <c r="AB668" s="51">
        <f t="shared" si="3590"/>
        <v>31.142499999999998</v>
      </c>
      <c r="AC668" s="51">
        <f t="shared" ref="AC668:AF668" si="3591">(B668+C668)/2</f>
        <v>110.36</v>
      </c>
      <c r="AD668" s="51">
        <f t="shared" si="3591"/>
        <v>82.825000000000003</v>
      </c>
      <c r="AE668" s="51">
        <f t="shared" si="3591"/>
        <v>62</v>
      </c>
      <c r="AF668" s="51">
        <f t="shared" si="3591"/>
        <v>41.42</v>
      </c>
      <c r="AG668" s="51">
        <f t="shared" si="3360"/>
        <v>74.125</v>
      </c>
      <c r="AH668" s="51">
        <f t="shared" si="3361"/>
        <v>65.510000000000005</v>
      </c>
      <c r="AI668" s="51">
        <f t="shared" si="3554"/>
        <v>72.847499999999997</v>
      </c>
      <c r="AJ668" s="51">
        <f t="shared" si="3363"/>
        <v>70.691999999999993</v>
      </c>
      <c r="AK668" s="51">
        <f t="shared" si="2093"/>
        <v>35.877500000000005</v>
      </c>
      <c r="AL668" s="51">
        <f t="shared" si="3364"/>
        <v>38.753850000000007</v>
      </c>
      <c r="AM668" s="51"/>
      <c r="AN668" s="51">
        <f t="shared" si="3499"/>
        <v>50.2</v>
      </c>
      <c r="AO668" s="51">
        <f t="shared" si="3366"/>
        <v>48.980952380952381</v>
      </c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8"/>
      <c r="BK668" s="8"/>
      <c r="BL668" s="8"/>
      <c r="BM668" s="8"/>
    </row>
    <row r="669" spans="1:65" ht="30" hidden="1" customHeight="1" x14ac:dyDescent="0.45">
      <c r="A669" s="55">
        <f t="shared" si="3561"/>
        <v>45562</v>
      </c>
      <c r="B669" s="56">
        <v>127.5</v>
      </c>
      <c r="C669" s="56">
        <v>93.19</v>
      </c>
      <c r="D669" s="56">
        <v>73.05</v>
      </c>
      <c r="E669" s="56">
        <v>51.75</v>
      </c>
      <c r="F669" s="56">
        <v>31.55</v>
      </c>
      <c r="G669" s="56">
        <v>140.56</v>
      </c>
      <c r="H669" s="51">
        <f t="shared" ref="H669:M669" si="3592">B669-B668</f>
        <v>-7.9999999999998295E-2</v>
      </c>
      <c r="I669" s="51">
        <f t="shared" si="3592"/>
        <v>4.9999999999997158E-2</v>
      </c>
      <c r="J669" s="51">
        <f t="shared" si="3592"/>
        <v>0.53999999999999204</v>
      </c>
      <c r="K669" s="51">
        <f t="shared" si="3592"/>
        <v>0.25999999999999801</v>
      </c>
      <c r="L669" s="51">
        <f t="shared" si="3592"/>
        <v>0.19999999999999929</v>
      </c>
      <c r="M669" s="42">
        <f t="shared" si="3592"/>
        <v>4.0800000000000125</v>
      </c>
      <c r="N669" s="51">
        <f t="shared" ref="N669:R669" si="3593">N668</f>
        <v>128.51749999999998</v>
      </c>
      <c r="O669" s="51">
        <f t="shared" si="3593"/>
        <v>92.74</v>
      </c>
      <c r="P669" s="51">
        <f t="shared" si="3593"/>
        <v>72.347499999999997</v>
      </c>
      <c r="Q669" s="51">
        <f t="shared" si="3593"/>
        <v>51.1325</v>
      </c>
      <c r="R669" s="51">
        <f t="shared" si="3593"/>
        <v>31.272499999999997</v>
      </c>
      <c r="S669" s="51">
        <f t="shared" ref="S669:T669" si="3594">(B668+B669)/2</f>
        <v>127.53999999999999</v>
      </c>
      <c r="T669" s="51">
        <f t="shared" si="3594"/>
        <v>93.164999999999992</v>
      </c>
      <c r="U669" s="51">
        <f t="shared" si="2884"/>
        <v>72.78</v>
      </c>
      <c r="V669" s="51">
        <f t="shared" ref="V669:W669" si="3595">(E668+E669)/2</f>
        <v>51.620000000000005</v>
      </c>
      <c r="W669" s="51">
        <f t="shared" si="3595"/>
        <v>31.450000000000003</v>
      </c>
      <c r="X669" s="51">
        <f t="shared" ref="X669:AB669" si="3596">(SUM(B666:B669))/4</f>
        <v>128.51749999999998</v>
      </c>
      <c r="Y669" s="51">
        <f t="shared" si="3596"/>
        <v>92.74</v>
      </c>
      <c r="Z669" s="51">
        <f t="shared" si="3596"/>
        <v>72.347499999999997</v>
      </c>
      <c r="AA669" s="51">
        <f t="shared" si="3596"/>
        <v>51.1325</v>
      </c>
      <c r="AB669" s="51">
        <f t="shared" si="3596"/>
        <v>31.272499999999997</v>
      </c>
      <c r="AC669" s="51">
        <f t="shared" ref="AC669:AF669" si="3597">(B669+C669)/2</f>
        <v>110.345</v>
      </c>
      <c r="AD669" s="51">
        <f t="shared" si="3597"/>
        <v>83.12</v>
      </c>
      <c r="AE669" s="51">
        <f t="shared" si="3597"/>
        <v>62.4</v>
      </c>
      <c r="AF669" s="51">
        <f t="shared" si="3597"/>
        <v>41.65</v>
      </c>
      <c r="AG669" s="51">
        <f t="shared" si="3360"/>
        <v>74.42</v>
      </c>
      <c r="AH669" s="51">
        <f t="shared" si="3361"/>
        <v>66.05</v>
      </c>
      <c r="AI669" s="51">
        <f t="shared" si="3554"/>
        <v>72.847499999999997</v>
      </c>
      <c r="AJ669" s="51">
        <f t="shared" si="3363"/>
        <v>70.953599999999994</v>
      </c>
      <c r="AK669" s="51">
        <f t="shared" si="2093"/>
        <v>36.185000000000002</v>
      </c>
      <c r="AL669" s="51">
        <f t="shared" si="3364"/>
        <v>39.042900000000003</v>
      </c>
      <c r="AM669" s="51"/>
      <c r="AN669" s="51">
        <f t="shared" si="3499"/>
        <v>50.620000000000005</v>
      </c>
      <c r="AO669" s="51">
        <f t="shared" si="3366"/>
        <v>49.390952380952385</v>
      </c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8"/>
      <c r="BK669" s="8"/>
      <c r="BL669" s="8"/>
      <c r="BM669" s="8"/>
    </row>
    <row r="670" spans="1:65" ht="30" hidden="1" customHeight="1" x14ac:dyDescent="0.45">
      <c r="A670" s="55">
        <f t="shared" si="3561"/>
        <v>45569</v>
      </c>
      <c r="B670" s="56">
        <v>128.47</v>
      </c>
      <c r="C670" s="56">
        <v>93.6</v>
      </c>
      <c r="D670" s="56">
        <v>73.09</v>
      </c>
      <c r="E670" s="56">
        <v>52.07</v>
      </c>
      <c r="F670" s="56">
        <v>31.91</v>
      </c>
      <c r="G670" s="56">
        <v>141.44</v>
      </c>
      <c r="H670" s="51">
        <f t="shared" ref="H670:M670" si="3598">B670-B669</f>
        <v>0.96999999999999886</v>
      </c>
      <c r="I670" s="51">
        <f t="shared" si="3598"/>
        <v>0.40999999999999659</v>
      </c>
      <c r="J670" s="51">
        <f t="shared" si="3598"/>
        <v>4.0000000000006253E-2</v>
      </c>
      <c r="K670" s="51">
        <f t="shared" si="3598"/>
        <v>0.32000000000000028</v>
      </c>
      <c r="L670" s="51">
        <f t="shared" si="3598"/>
        <v>0.35999999999999943</v>
      </c>
      <c r="M670" s="42">
        <f t="shared" si="3598"/>
        <v>0.87999999999999545</v>
      </c>
      <c r="N670" s="69">
        <f t="shared" ref="N670:R670" si="3599">AVERAGE(B670:B673)</f>
        <v>129.65499999999997</v>
      </c>
      <c r="O670" s="69">
        <f t="shared" si="3599"/>
        <v>93.665000000000006</v>
      </c>
      <c r="P670" s="69">
        <f t="shared" si="3599"/>
        <v>73.245000000000005</v>
      </c>
      <c r="Q670" s="69">
        <f t="shared" si="3599"/>
        <v>52.234999999999999</v>
      </c>
      <c r="R670" s="69">
        <f t="shared" si="3599"/>
        <v>32.134999999999998</v>
      </c>
      <c r="S670" s="51">
        <f t="shared" ref="S670:T670" si="3600">(B669+B670)/2</f>
        <v>127.985</v>
      </c>
      <c r="T670" s="51">
        <f t="shared" si="3600"/>
        <v>93.394999999999996</v>
      </c>
      <c r="U670" s="51">
        <f t="shared" si="2884"/>
        <v>73.069999999999993</v>
      </c>
      <c r="V670" s="51">
        <f t="shared" ref="V670:W670" si="3601">(E669+E670)/2</f>
        <v>51.91</v>
      </c>
      <c r="W670" s="51">
        <f t="shared" si="3601"/>
        <v>31.73</v>
      </c>
      <c r="X670" s="51">
        <f t="shared" ref="X670:AB670" si="3602">(SUM(B667:B670))/4</f>
        <v>128.2525</v>
      </c>
      <c r="Y670" s="51">
        <f t="shared" si="3602"/>
        <v>93.087500000000006</v>
      </c>
      <c r="Z670" s="51">
        <f t="shared" si="3602"/>
        <v>72.670000000000016</v>
      </c>
      <c r="AA670" s="51">
        <f t="shared" si="3602"/>
        <v>51.555</v>
      </c>
      <c r="AB670" s="51">
        <f t="shared" si="3602"/>
        <v>31.4925</v>
      </c>
      <c r="AC670" s="51">
        <f t="shared" ref="AC670:AF670" si="3603">(B670+C670)/2</f>
        <v>111.035</v>
      </c>
      <c r="AD670" s="51">
        <f t="shared" si="3603"/>
        <v>83.344999999999999</v>
      </c>
      <c r="AE670" s="51">
        <f t="shared" si="3603"/>
        <v>62.58</v>
      </c>
      <c r="AF670" s="51">
        <f t="shared" si="3603"/>
        <v>41.99</v>
      </c>
      <c r="AG670" s="51">
        <f t="shared" si="3360"/>
        <v>74.644999999999996</v>
      </c>
      <c r="AH670" s="51">
        <f t="shared" si="3361"/>
        <v>66.09</v>
      </c>
      <c r="AI670" s="51">
        <f t="shared" si="3554"/>
        <v>73.745000000000005</v>
      </c>
      <c r="AJ670" s="51">
        <f t="shared" si="3363"/>
        <v>71.263200000000012</v>
      </c>
      <c r="AK670" s="51">
        <f t="shared" si="2093"/>
        <v>36.47</v>
      </c>
      <c r="AL670" s="51">
        <f t="shared" si="3364"/>
        <v>39.3108</v>
      </c>
      <c r="AM670" s="51"/>
      <c r="AN670" s="51">
        <f t="shared" si="3499"/>
        <v>50.91</v>
      </c>
      <c r="AO670" s="51">
        <f t="shared" si="3366"/>
        <v>49.67404761904762</v>
      </c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8"/>
      <c r="BK670" s="8"/>
      <c r="BL670" s="8"/>
      <c r="BM670" s="8"/>
    </row>
    <row r="671" spans="1:65" ht="30" hidden="1" customHeight="1" x14ac:dyDescent="0.45">
      <c r="A671" s="55">
        <f t="shared" si="3561"/>
        <v>45576</v>
      </c>
      <c r="B671" s="56">
        <v>129.44999999999999</v>
      </c>
      <c r="C671" s="56">
        <v>93.51</v>
      </c>
      <c r="D671" s="56">
        <v>73.19</v>
      </c>
      <c r="E671" s="56">
        <v>52.34</v>
      </c>
      <c r="F671" s="56">
        <v>32.200000000000003</v>
      </c>
      <c r="G671" s="56">
        <v>148.79</v>
      </c>
      <c r="H671" s="51">
        <f t="shared" ref="H671:M671" si="3604">B671-B670</f>
        <v>0.97999999999998977</v>
      </c>
      <c r="I671" s="51">
        <f t="shared" si="3604"/>
        <v>-8.99999999999892E-2</v>
      </c>
      <c r="J671" s="51">
        <f t="shared" si="3604"/>
        <v>9.9999999999994316E-2</v>
      </c>
      <c r="K671" s="51">
        <f t="shared" si="3604"/>
        <v>0.27000000000000313</v>
      </c>
      <c r="L671" s="51">
        <f t="shared" si="3604"/>
        <v>0.2900000000000027</v>
      </c>
      <c r="M671" s="42">
        <f t="shared" si="3604"/>
        <v>7.3499999999999943</v>
      </c>
      <c r="N671" s="69">
        <f t="shared" ref="N671:R671" si="3605">N670</f>
        <v>129.65499999999997</v>
      </c>
      <c r="O671" s="69">
        <f t="shared" si="3605"/>
        <v>93.665000000000006</v>
      </c>
      <c r="P671" s="69">
        <f t="shared" si="3605"/>
        <v>73.245000000000005</v>
      </c>
      <c r="Q671" s="69">
        <f t="shared" si="3605"/>
        <v>52.234999999999999</v>
      </c>
      <c r="R671" s="69">
        <f t="shared" si="3605"/>
        <v>32.134999999999998</v>
      </c>
      <c r="S671" s="51">
        <f t="shared" ref="S671:T671" si="3606">(B670+B671)/2</f>
        <v>128.95999999999998</v>
      </c>
      <c r="T671" s="51">
        <f t="shared" si="3606"/>
        <v>93.555000000000007</v>
      </c>
      <c r="U671" s="51">
        <f t="shared" si="2884"/>
        <v>73.14</v>
      </c>
      <c r="V671" s="51">
        <f t="shared" ref="V671:W671" si="3607">(E670+E671)/2</f>
        <v>52.204999999999998</v>
      </c>
      <c r="W671" s="51">
        <f t="shared" si="3607"/>
        <v>32.055</v>
      </c>
      <c r="X671" s="51">
        <f t="shared" ref="X671:AB671" si="3608">(SUM(B668:B671))/4</f>
        <v>128.25</v>
      </c>
      <c r="Y671" s="51">
        <f t="shared" si="3608"/>
        <v>93.359999999999985</v>
      </c>
      <c r="Z671" s="51">
        <f t="shared" si="3608"/>
        <v>72.960000000000008</v>
      </c>
      <c r="AA671" s="51">
        <f t="shared" si="3608"/>
        <v>51.912500000000001</v>
      </c>
      <c r="AB671" s="51">
        <f t="shared" si="3608"/>
        <v>31.752500000000001</v>
      </c>
      <c r="AC671" s="51">
        <f t="shared" ref="AC671:AF671" si="3609">(B671+C671)/2</f>
        <v>111.47999999999999</v>
      </c>
      <c r="AD671" s="51">
        <f t="shared" si="3609"/>
        <v>83.35</v>
      </c>
      <c r="AE671" s="51">
        <f t="shared" si="3609"/>
        <v>62.765000000000001</v>
      </c>
      <c r="AF671" s="51">
        <f t="shared" si="3609"/>
        <v>42.27</v>
      </c>
      <c r="AG671" s="51">
        <f t="shared" si="3360"/>
        <v>74.649999999999991</v>
      </c>
      <c r="AH671" s="51">
        <f t="shared" si="3361"/>
        <v>66.19</v>
      </c>
      <c r="AI671" s="51">
        <f t="shared" si="3554"/>
        <v>73.745000000000005</v>
      </c>
      <c r="AJ671" s="51">
        <f t="shared" si="3363"/>
        <v>71.541600000000017</v>
      </c>
      <c r="AK671" s="51">
        <f t="shared" si="2093"/>
        <v>36.779999999999994</v>
      </c>
      <c r="AL671" s="51">
        <f t="shared" si="3364"/>
        <v>39.602199999999996</v>
      </c>
      <c r="AM671" s="70"/>
      <c r="AN671" s="51">
        <f t="shared" si="3499"/>
        <v>51.204999999999998</v>
      </c>
      <c r="AO671" s="51">
        <f t="shared" si="3366"/>
        <v>49.962023809523807</v>
      </c>
      <c r="AP671" s="71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8"/>
      <c r="BK671" s="8"/>
      <c r="BL671" s="8"/>
      <c r="BM671" s="8"/>
    </row>
    <row r="672" spans="1:65" ht="30" hidden="1" customHeight="1" x14ac:dyDescent="0.45">
      <c r="A672" s="55">
        <f t="shared" si="3561"/>
        <v>45583</v>
      </c>
      <c r="B672" s="56">
        <v>130.32</v>
      </c>
      <c r="C672" s="56">
        <v>93.75</v>
      </c>
      <c r="D672" s="56">
        <v>73.25</v>
      </c>
      <c r="E672" s="56">
        <v>52.22</v>
      </c>
      <c r="F672" s="56">
        <v>32.14</v>
      </c>
      <c r="G672" s="56">
        <v>146.86000000000001</v>
      </c>
      <c r="H672" s="51">
        <f t="shared" ref="H672:M672" si="3610">B672-B671</f>
        <v>0.87000000000000455</v>
      </c>
      <c r="I672" s="51">
        <f t="shared" si="3610"/>
        <v>0.23999999999999488</v>
      </c>
      <c r="J672" s="51">
        <f t="shared" si="3610"/>
        <v>6.0000000000002274E-2</v>
      </c>
      <c r="K672" s="51">
        <f t="shared" si="3610"/>
        <v>-0.12000000000000455</v>
      </c>
      <c r="L672" s="51">
        <f t="shared" si="3610"/>
        <v>-6.0000000000002274E-2</v>
      </c>
      <c r="M672" s="42">
        <f t="shared" si="3610"/>
        <v>-1.9299999999999784</v>
      </c>
      <c r="N672" s="69">
        <f t="shared" ref="N672:R672" si="3611">N671</f>
        <v>129.65499999999997</v>
      </c>
      <c r="O672" s="69">
        <f t="shared" si="3611"/>
        <v>93.665000000000006</v>
      </c>
      <c r="P672" s="69">
        <f t="shared" si="3611"/>
        <v>73.245000000000005</v>
      </c>
      <c r="Q672" s="69">
        <f t="shared" si="3611"/>
        <v>52.234999999999999</v>
      </c>
      <c r="R672" s="69">
        <f t="shared" si="3611"/>
        <v>32.134999999999998</v>
      </c>
      <c r="S672" s="51">
        <f t="shared" ref="S672:T672" si="3612">(B671+B672)/2</f>
        <v>129.88499999999999</v>
      </c>
      <c r="T672" s="51">
        <f t="shared" si="3612"/>
        <v>93.63</v>
      </c>
      <c r="U672" s="51">
        <f t="shared" si="2884"/>
        <v>73.22</v>
      </c>
      <c r="V672" s="51">
        <f t="shared" ref="V672:W672" si="3613">(E671+E672)/2</f>
        <v>52.28</v>
      </c>
      <c r="W672" s="51">
        <f t="shared" si="3613"/>
        <v>32.17</v>
      </c>
      <c r="X672" s="51">
        <f t="shared" ref="X672:AB672" si="3614">(SUM(B669:B672))/4</f>
        <v>128.935</v>
      </c>
      <c r="Y672" s="51">
        <f t="shared" si="3614"/>
        <v>93.512500000000003</v>
      </c>
      <c r="Z672" s="51">
        <f t="shared" si="3614"/>
        <v>73.144999999999996</v>
      </c>
      <c r="AA672" s="51">
        <f t="shared" si="3614"/>
        <v>52.094999999999999</v>
      </c>
      <c r="AB672" s="51">
        <f t="shared" si="3614"/>
        <v>31.95</v>
      </c>
      <c r="AC672" s="51">
        <f t="shared" ref="AC672:AF672" si="3615">(B672+C672)/2</f>
        <v>112.035</v>
      </c>
      <c r="AD672" s="51">
        <f t="shared" si="3615"/>
        <v>83.5</v>
      </c>
      <c r="AE672" s="51">
        <f t="shared" si="3615"/>
        <v>62.734999999999999</v>
      </c>
      <c r="AF672" s="51">
        <f t="shared" si="3615"/>
        <v>42.18</v>
      </c>
      <c r="AG672" s="51">
        <f t="shared" si="3360"/>
        <v>74.8</v>
      </c>
      <c r="AH672" s="51">
        <f t="shared" si="3361"/>
        <v>66.25</v>
      </c>
      <c r="AI672" s="51">
        <f t="shared" si="3554"/>
        <v>73.745000000000005</v>
      </c>
      <c r="AJ672" s="51">
        <f t="shared" si="3363"/>
        <v>71.719200000000001</v>
      </c>
      <c r="AK672" s="51">
        <f t="shared" si="2093"/>
        <v>36.875</v>
      </c>
      <c r="AL672" s="51">
        <f t="shared" si="3364"/>
        <v>39.691499999999998</v>
      </c>
      <c r="AM672" s="51">
        <v>49.962023809523807</v>
      </c>
      <c r="AN672" s="51">
        <f t="shared" si="3499"/>
        <v>51.28</v>
      </c>
      <c r="AO672" s="51">
        <f t="shared" si="3366"/>
        <v>50.035238095238093</v>
      </c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8"/>
      <c r="BK672" s="8"/>
      <c r="BL672" s="8"/>
      <c r="BM672" s="8"/>
    </row>
    <row r="673" spans="1:65" ht="30" hidden="1" customHeight="1" x14ac:dyDescent="0.45">
      <c r="A673" s="72">
        <f t="shared" si="3561"/>
        <v>45590</v>
      </c>
      <c r="B673" s="56">
        <v>130.38</v>
      </c>
      <c r="C673" s="56">
        <v>93.8</v>
      </c>
      <c r="D673" s="56">
        <v>73.45</v>
      </c>
      <c r="E673" s="56">
        <v>52.31</v>
      </c>
      <c r="F673" s="56">
        <v>32.29</v>
      </c>
      <c r="G673" s="56">
        <v>143.04</v>
      </c>
      <c r="H673" s="69">
        <f t="shared" ref="H673:M673" si="3616">B673-B672</f>
        <v>6.0000000000002274E-2</v>
      </c>
      <c r="I673" s="69">
        <f t="shared" si="3616"/>
        <v>4.9999999999997158E-2</v>
      </c>
      <c r="J673" s="69">
        <f t="shared" si="3616"/>
        <v>0.20000000000000284</v>
      </c>
      <c r="K673" s="69">
        <f t="shared" si="3616"/>
        <v>9.0000000000003411E-2</v>
      </c>
      <c r="L673" s="69">
        <f t="shared" si="3616"/>
        <v>0.14999999999999858</v>
      </c>
      <c r="M673" s="42">
        <f t="shared" si="3616"/>
        <v>-3.8200000000000216</v>
      </c>
      <c r="N673" s="69">
        <f t="shared" ref="N673:R673" si="3617">N672</f>
        <v>129.65499999999997</v>
      </c>
      <c r="O673" s="69">
        <f t="shared" si="3617"/>
        <v>93.665000000000006</v>
      </c>
      <c r="P673" s="69">
        <f t="shared" si="3617"/>
        <v>73.245000000000005</v>
      </c>
      <c r="Q673" s="69">
        <f t="shared" si="3617"/>
        <v>52.234999999999999</v>
      </c>
      <c r="R673" s="69">
        <f t="shared" si="3617"/>
        <v>32.134999999999998</v>
      </c>
      <c r="S673" s="69">
        <f t="shared" ref="S673:T673" si="3618">(B672+B673)/2</f>
        <v>130.35</v>
      </c>
      <c r="T673" s="69">
        <f t="shared" si="3618"/>
        <v>93.775000000000006</v>
      </c>
      <c r="U673" s="69">
        <f t="shared" si="2884"/>
        <v>73.349999999999994</v>
      </c>
      <c r="V673" s="69">
        <f t="shared" ref="V673:W673" si="3619">(E672+E673)/2</f>
        <v>52.265000000000001</v>
      </c>
      <c r="W673" s="69">
        <f t="shared" si="3619"/>
        <v>32.215000000000003</v>
      </c>
      <c r="X673" s="69">
        <f t="shared" ref="X673:AB673" si="3620">(SUM(B670:B673))/4</f>
        <v>129.65499999999997</v>
      </c>
      <c r="Y673" s="69">
        <f t="shared" si="3620"/>
        <v>93.665000000000006</v>
      </c>
      <c r="Z673" s="69">
        <f t="shared" si="3620"/>
        <v>73.245000000000005</v>
      </c>
      <c r="AA673" s="69">
        <f t="shared" si="3620"/>
        <v>52.234999999999999</v>
      </c>
      <c r="AB673" s="69">
        <f t="shared" si="3620"/>
        <v>32.134999999999998</v>
      </c>
      <c r="AC673" s="69">
        <f t="shared" ref="AC673:AF673" si="3621">(B673+C673)/2</f>
        <v>112.09</v>
      </c>
      <c r="AD673" s="69">
        <f t="shared" si="3621"/>
        <v>83.625</v>
      </c>
      <c r="AE673" s="69">
        <f t="shared" si="3621"/>
        <v>62.88</v>
      </c>
      <c r="AF673" s="69">
        <f t="shared" si="3621"/>
        <v>42.3</v>
      </c>
      <c r="AG673" s="69">
        <f t="shared" si="3360"/>
        <v>74.924999999999997</v>
      </c>
      <c r="AH673" s="69">
        <f t="shared" si="3361"/>
        <v>66.45</v>
      </c>
      <c r="AI673" s="69">
        <f t="shared" si="3554"/>
        <v>73.745000000000005</v>
      </c>
      <c r="AJ673" s="69">
        <f t="shared" si="3363"/>
        <v>71.815200000000004</v>
      </c>
      <c r="AK673" s="69">
        <f t="shared" si="2093"/>
        <v>36.89</v>
      </c>
      <c r="AL673" s="69">
        <f t="shared" si="3364"/>
        <v>39.705599999999997</v>
      </c>
      <c r="AM673" s="51">
        <v>50.035238095238093</v>
      </c>
      <c r="AN673" s="69">
        <f t="shared" si="3499"/>
        <v>51.265000000000001</v>
      </c>
      <c r="AO673" s="73">
        <f t="shared" si="3366"/>
        <v>50.02059523809524</v>
      </c>
      <c r="AP673" s="74"/>
      <c r="AQ673" s="74"/>
      <c r="AR673" s="74"/>
      <c r="AS673" s="75"/>
      <c r="AT673" s="75"/>
      <c r="AU673" s="75"/>
      <c r="AV673" s="75"/>
      <c r="AW673" s="75"/>
      <c r="AX673" s="75"/>
      <c r="AY673" s="75"/>
      <c r="AZ673" s="75"/>
      <c r="BA673" s="75"/>
      <c r="BB673" s="75"/>
      <c r="BC673" s="75"/>
      <c r="BD673" s="75"/>
      <c r="BE673" s="75"/>
      <c r="BF673" s="75"/>
      <c r="BG673" s="75"/>
      <c r="BH673" s="75"/>
      <c r="BI673" s="75"/>
      <c r="BJ673" s="8"/>
      <c r="BK673" s="8"/>
      <c r="BL673" s="8"/>
      <c r="BM673" s="8"/>
    </row>
    <row r="674" spans="1:65" ht="30" hidden="1" customHeight="1" x14ac:dyDescent="0.45">
      <c r="A674" s="55">
        <f t="shared" si="3561"/>
        <v>45597</v>
      </c>
      <c r="B674" s="56">
        <v>130.97999999999999</v>
      </c>
      <c r="C674" s="56">
        <v>93.85</v>
      </c>
      <c r="D674" s="56">
        <v>73.25</v>
      </c>
      <c r="E674" s="56">
        <v>52.22</v>
      </c>
      <c r="F674" s="56">
        <v>32.28</v>
      </c>
      <c r="G674" s="56">
        <v>144.94999999999999</v>
      </c>
      <c r="H674" s="51">
        <f t="shared" ref="H674:M674" si="3622">B674-B673</f>
        <v>0.59999999999999432</v>
      </c>
      <c r="I674" s="51">
        <f t="shared" si="3622"/>
        <v>4.9999999999997158E-2</v>
      </c>
      <c r="J674" s="51">
        <f t="shared" si="3622"/>
        <v>-0.20000000000000284</v>
      </c>
      <c r="K674" s="51">
        <f t="shared" si="3622"/>
        <v>-9.0000000000003411E-2</v>
      </c>
      <c r="L674" s="51">
        <f t="shared" si="3622"/>
        <v>-9.9999999999980105E-3</v>
      </c>
      <c r="M674" s="42">
        <f t="shared" si="3622"/>
        <v>1.9099999999999966</v>
      </c>
      <c r="N674" s="69">
        <f t="shared" ref="N674:R674" si="3623">AVERAGE(B674:B678)</f>
        <v>131.572</v>
      </c>
      <c r="O674" s="69">
        <f t="shared" si="3623"/>
        <v>93.91</v>
      </c>
      <c r="P674" s="69">
        <f t="shared" si="3623"/>
        <v>73.318000000000012</v>
      </c>
      <c r="Q674" s="69">
        <f t="shared" si="3623"/>
        <v>52.236000000000004</v>
      </c>
      <c r="R674" s="69">
        <f t="shared" si="3623"/>
        <v>32.340000000000003</v>
      </c>
      <c r="S674" s="51">
        <f t="shared" ref="S674:T674" si="3624">(B673+B674)/2</f>
        <v>130.68</v>
      </c>
      <c r="T674" s="51">
        <f t="shared" si="3624"/>
        <v>93.824999999999989</v>
      </c>
      <c r="U674" s="51">
        <f t="shared" si="2884"/>
        <v>73.349999999999994</v>
      </c>
      <c r="V674" s="51">
        <f t="shared" ref="V674:W674" si="3625">(E673+E674)/2</f>
        <v>52.265000000000001</v>
      </c>
      <c r="W674" s="51">
        <f t="shared" si="3625"/>
        <v>32.284999999999997</v>
      </c>
      <c r="X674" s="51">
        <f t="shared" ref="X674:AB674" si="3626">(SUM(B671:B674))/4</f>
        <v>130.2825</v>
      </c>
      <c r="Y674" s="51">
        <f t="shared" si="3626"/>
        <v>93.727499999999992</v>
      </c>
      <c r="Z674" s="51">
        <f t="shared" si="3626"/>
        <v>73.284999999999997</v>
      </c>
      <c r="AA674" s="51">
        <f t="shared" si="3626"/>
        <v>52.272500000000001</v>
      </c>
      <c r="AB674" s="51">
        <f t="shared" si="3626"/>
        <v>32.227499999999999</v>
      </c>
      <c r="AC674" s="51">
        <f t="shared" ref="AC674:AF674" si="3627">(B674+C674)/2</f>
        <v>112.41499999999999</v>
      </c>
      <c r="AD674" s="51">
        <f t="shared" si="3627"/>
        <v>83.55</v>
      </c>
      <c r="AE674" s="51">
        <f t="shared" si="3627"/>
        <v>62.734999999999999</v>
      </c>
      <c r="AF674" s="51">
        <f t="shared" si="3627"/>
        <v>42.25</v>
      </c>
      <c r="AG674" s="51">
        <f t="shared" si="3360"/>
        <v>74.849999999999994</v>
      </c>
      <c r="AH674" s="51">
        <f t="shared" si="3361"/>
        <v>66.25</v>
      </c>
      <c r="AI674" s="51">
        <f t="shared" si="3554"/>
        <v>73.818000000000012</v>
      </c>
      <c r="AJ674" s="51">
        <f t="shared" si="3363"/>
        <v>71.8536</v>
      </c>
      <c r="AK674" s="51">
        <f t="shared" si="2093"/>
        <v>36.924999999999997</v>
      </c>
      <c r="AL674" s="51">
        <f t="shared" si="3364"/>
        <v>39.738499999999995</v>
      </c>
      <c r="AM674" s="7"/>
      <c r="AN674" s="52">
        <f t="shared" si="3499"/>
        <v>51.265000000000001</v>
      </c>
      <c r="AO674" s="51">
        <f t="shared" si="3366"/>
        <v>50.02059523809524</v>
      </c>
      <c r="AP674" s="76">
        <f t="shared" ref="AP674:AP688" si="3628">((AVERAGE(E672:E674)-1)*16000)-80000</f>
        <v>740000</v>
      </c>
      <c r="AQ674" s="51">
        <f t="shared" ref="AQ674:AR674" si="3629">Z674+1.45</f>
        <v>74.734999999999999</v>
      </c>
      <c r="AR674" s="51">
        <f t="shared" si="3629"/>
        <v>53.722500000000004</v>
      </c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8"/>
      <c r="BK674" s="8"/>
      <c r="BL674" s="8"/>
      <c r="BM674" s="8"/>
    </row>
    <row r="675" spans="1:65" ht="30" hidden="1" customHeight="1" x14ac:dyDescent="0.45">
      <c r="A675" s="55">
        <f t="shared" si="3561"/>
        <v>45604</v>
      </c>
      <c r="B675" s="56">
        <v>131.58000000000001</v>
      </c>
      <c r="C675" s="56">
        <v>93.93</v>
      </c>
      <c r="D675" s="56">
        <v>73.28</v>
      </c>
      <c r="E675" s="56">
        <v>52.32</v>
      </c>
      <c r="F675" s="56">
        <v>32.369999999999997</v>
      </c>
      <c r="G675" s="56">
        <v>143.32</v>
      </c>
      <c r="H675" s="51">
        <f t="shared" ref="H675:M675" si="3630">B675-B674</f>
        <v>0.60000000000002274</v>
      </c>
      <c r="I675" s="51">
        <f t="shared" si="3630"/>
        <v>8.0000000000012506E-2</v>
      </c>
      <c r="J675" s="51">
        <f t="shared" si="3630"/>
        <v>3.0000000000001137E-2</v>
      </c>
      <c r="K675" s="51">
        <f t="shared" si="3630"/>
        <v>0.10000000000000142</v>
      </c>
      <c r="L675" s="51">
        <f t="shared" si="3630"/>
        <v>8.9999999999996305E-2</v>
      </c>
      <c r="M675" s="42">
        <f t="shared" si="3630"/>
        <v>-1.6299999999999955</v>
      </c>
      <c r="N675" s="69">
        <f t="shared" ref="N675:R675" si="3631">N674</f>
        <v>131.572</v>
      </c>
      <c r="O675" s="69">
        <f t="shared" si="3631"/>
        <v>93.91</v>
      </c>
      <c r="P675" s="69">
        <f t="shared" si="3631"/>
        <v>73.318000000000012</v>
      </c>
      <c r="Q675" s="69">
        <f t="shared" si="3631"/>
        <v>52.236000000000004</v>
      </c>
      <c r="R675" s="69">
        <f t="shared" si="3631"/>
        <v>32.340000000000003</v>
      </c>
      <c r="S675" s="51">
        <f t="shared" ref="S675:T675" si="3632">(B674+B675)/2</f>
        <v>131.28</v>
      </c>
      <c r="T675" s="51">
        <f t="shared" si="3632"/>
        <v>93.89</v>
      </c>
      <c r="U675" s="51">
        <f t="shared" si="2884"/>
        <v>73.265000000000001</v>
      </c>
      <c r="V675" s="51">
        <f t="shared" ref="V675:W675" si="3633">(E674+E675)/2</f>
        <v>52.269999999999996</v>
      </c>
      <c r="W675" s="51">
        <f t="shared" si="3633"/>
        <v>32.325000000000003</v>
      </c>
      <c r="X675" s="51">
        <f t="shared" ref="X675:AB675" si="3634">(SUM(B672:B675))/4</f>
        <v>130.815</v>
      </c>
      <c r="Y675" s="51">
        <f t="shared" si="3634"/>
        <v>93.832499999999996</v>
      </c>
      <c r="Z675" s="51">
        <f t="shared" si="3634"/>
        <v>73.307500000000005</v>
      </c>
      <c r="AA675" s="51">
        <f t="shared" si="3634"/>
        <v>52.267499999999998</v>
      </c>
      <c r="AB675" s="51">
        <f t="shared" si="3634"/>
        <v>32.270000000000003</v>
      </c>
      <c r="AC675" s="51">
        <f t="shared" ref="AC675:AF675" si="3635">(B675+C675)/2</f>
        <v>112.75500000000001</v>
      </c>
      <c r="AD675" s="51">
        <f t="shared" si="3635"/>
        <v>83.605000000000004</v>
      </c>
      <c r="AE675" s="51">
        <f t="shared" si="3635"/>
        <v>62.8</v>
      </c>
      <c r="AF675" s="51">
        <f t="shared" si="3635"/>
        <v>42.344999999999999</v>
      </c>
      <c r="AG675" s="51">
        <f t="shared" si="3360"/>
        <v>74.905000000000001</v>
      </c>
      <c r="AH675" s="51">
        <f t="shared" si="3361"/>
        <v>66.28</v>
      </c>
      <c r="AI675" s="51">
        <f t="shared" si="3554"/>
        <v>73.818000000000012</v>
      </c>
      <c r="AJ675" s="51">
        <f t="shared" si="3363"/>
        <v>71.875200000000007</v>
      </c>
      <c r="AK675" s="51">
        <f t="shared" si="2093"/>
        <v>36.947499999999998</v>
      </c>
      <c r="AL675" s="51">
        <f t="shared" si="3364"/>
        <v>39.759650000000001</v>
      </c>
      <c r="AM675" s="51">
        <v>51.265000000000001</v>
      </c>
      <c r="AN675" s="52">
        <f t="shared" si="3499"/>
        <v>51.269999999999996</v>
      </c>
      <c r="AO675" s="51">
        <f t="shared" si="3366"/>
        <v>50.025476190476184</v>
      </c>
      <c r="AP675" s="76">
        <f t="shared" si="3628"/>
        <v>740533.33333333326</v>
      </c>
      <c r="AQ675" s="51">
        <f t="shared" ref="AQ675:AR675" si="3636">Z675+1.45</f>
        <v>74.757500000000007</v>
      </c>
      <c r="AR675" s="51">
        <f t="shared" si="3636"/>
        <v>53.717500000000001</v>
      </c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8"/>
      <c r="BK675" s="8"/>
      <c r="BL675" s="8"/>
      <c r="BM675" s="8"/>
    </row>
    <row r="676" spans="1:65" ht="30" hidden="1" customHeight="1" x14ac:dyDescent="0.45">
      <c r="A676" s="55">
        <f t="shared" si="3561"/>
        <v>45611</v>
      </c>
      <c r="B676" s="56">
        <v>131.63999999999999</v>
      </c>
      <c r="C676" s="56">
        <v>93.91</v>
      </c>
      <c r="D676" s="56">
        <v>73.400000000000006</v>
      </c>
      <c r="E676" s="56">
        <v>52.34</v>
      </c>
      <c r="F676" s="56">
        <v>32.43</v>
      </c>
      <c r="G676" s="56">
        <v>140.97</v>
      </c>
      <c r="H676" s="51">
        <f t="shared" ref="H676:M676" si="3637">B676-B675</f>
        <v>5.9999999999973852E-2</v>
      </c>
      <c r="I676" s="51">
        <f t="shared" si="3637"/>
        <v>-2.0000000000010232E-2</v>
      </c>
      <c r="J676" s="51">
        <f t="shared" si="3637"/>
        <v>0.12000000000000455</v>
      </c>
      <c r="K676" s="51">
        <f t="shared" si="3637"/>
        <v>2.0000000000003126E-2</v>
      </c>
      <c r="L676" s="51">
        <f t="shared" si="3637"/>
        <v>6.0000000000002274E-2</v>
      </c>
      <c r="M676" s="42">
        <f t="shared" si="3637"/>
        <v>-2.3499999999999943</v>
      </c>
      <c r="N676" s="69">
        <f t="shared" ref="N676:R676" si="3638">N675</f>
        <v>131.572</v>
      </c>
      <c r="O676" s="69">
        <f t="shared" si="3638"/>
        <v>93.91</v>
      </c>
      <c r="P676" s="69">
        <f t="shared" si="3638"/>
        <v>73.318000000000012</v>
      </c>
      <c r="Q676" s="69">
        <f t="shared" si="3638"/>
        <v>52.236000000000004</v>
      </c>
      <c r="R676" s="69">
        <f t="shared" si="3638"/>
        <v>32.340000000000003</v>
      </c>
      <c r="S676" s="51">
        <f t="shared" ref="S676:T676" si="3639">(B675+B676)/2</f>
        <v>131.61000000000001</v>
      </c>
      <c r="T676" s="51">
        <f t="shared" si="3639"/>
        <v>93.92</v>
      </c>
      <c r="U676" s="51">
        <f t="shared" si="2884"/>
        <v>73.34</v>
      </c>
      <c r="V676" s="51">
        <f t="shared" ref="V676:W676" si="3640">(E675+E676)/2</f>
        <v>52.33</v>
      </c>
      <c r="W676" s="51">
        <f t="shared" si="3640"/>
        <v>32.4</v>
      </c>
      <c r="X676" s="51">
        <f t="shared" ref="X676:AB676" si="3641">(SUM(B673:B676))/4</f>
        <v>131.14500000000001</v>
      </c>
      <c r="Y676" s="51">
        <f t="shared" si="3641"/>
        <v>93.872500000000002</v>
      </c>
      <c r="Z676" s="51">
        <f t="shared" si="3641"/>
        <v>73.344999999999999</v>
      </c>
      <c r="AA676" s="51">
        <f t="shared" si="3641"/>
        <v>52.297499999999999</v>
      </c>
      <c r="AB676" s="51">
        <f t="shared" si="3641"/>
        <v>32.342500000000001</v>
      </c>
      <c r="AC676" s="51">
        <f t="shared" ref="AC676:AF676" si="3642">(B676+C676)/2</f>
        <v>112.77499999999999</v>
      </c>
      <c r="AD676" s="51">
        <f t="shared" si="3642"/>
        <v>83.655000000000001</v>
      </c>
      <c r="AE676" s="51">
        <f t="shared" si="3642"/>
        <v>62.870000000000005</v>
      </c>
      <c r="AF676" s="51">
        <f t="shared" si="3642"/>
        <v>42.385000000000005</v>
      </c>
      <c r="AG676" s="51">
        <f t="shared" si="3360"/>
        <v>74.954999999999998</v>
      </c>
      <c r="AH676" s="51">
        <f t="shared" si="3361"/>
        <v>66.400000000000006</v>
      </c>
      <c r="AI676" s="51">
        <f t="shared" si="3554"/>
        <v>73.818000000000012</v>
      </c>
      <c r="AJ676" s="51">
        <f t="shared" si="3363"/>
        <v>71.911199999999994</v>
      </c>
      <c r="AK676" s="51">
        <f t="shared" si="2093"/>
        <v>37.014999999999993</v>
      </c>
      <c r="AL676" s="51">
        <f t="shared" si="3364"/>
        <v>39.82309999999999</v>
      </c>
      <c r="AM676" s="7"/>
      <c r="AN676" s="52">
        <f t="shared" si="3499"/>
        <v>51.33</v>
      </c>
      <c r="AO676" s="51">
        <f t="shared" si="3366"/>
        <v>50.084047619047617</v>
      </c>
      <c r="AP676" s="76">
        <f t="shared" si="3628"/>
        <v>740693.33333333326</v>
      </c>
      <c r="AQ676" s="51">
        <f t="shared" ref="AQ676:AR676" si="3643">Z676+1.45</f>
        <v>74.795000000000002</v>
      </c>
      <c r="AR676" s="51">
        <f t="shared" si="3643"/>
        <v>53.747500000000002</v>
      </c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8"/>
      <c r="BK676" s="8"/>
      <c r="BL676" s="8"/>
      <c r="BM676" s="8"/>
    </row>
    <row r="677" spans="1:65" ht="30" hidden="1" customHeight="1" x14ac:dyDescent="0.45">
      <c r="A677" s="55">
        <f t="shared" si="3561"/>
        <v>45618</v>
      </c>
      <c r="B677" s="56">
        <v>132.31</v>
      </c>
      <c r="C677" s="56">
        <v>93.85</v>
      </c>
      <c r="D677" s="56">
        <v>73.31</v>
      </c>
      <c r="E677" s="56">
        <v>52.19</v>
      </c>
      <c r="F677" s="56">
        <v>32.369999999999997</v>
      </c>
      <c r="G677" s="56">
        <v>139.44999999999999</v>
      </c>
      <c r="H677" s="51">
        <f t="shared" ref="H677:M677" si="3644">B677-B676</f>
        <v>0.67000000000001592</v>
      </c>
      <c r="I677" s="51">
        <f t="shared" si="3644"/>
        <v>-6.0000000000002274E-2</v>
      </c>
      <c r="J677" s="51">
        <f t="shared" si="3644"/>
        <v>-9.0000000000003411E-2</v>
      </c>
      <c r="K677" s="51">
        <f t="shared" si="3644"/>
        <v>-0.15000000000000568</v>
      </c>
      <c r="L677" s="51">
        <f t="shared" si="3644"/>
        <v>-6.0000000000002274E-2</v>
      </c>
      <c r="M677" s="42">
        <f t="shared" si="3644"/>
        <v>-1.5200000000000102</v>
      </c>
      <c r="N677" s="69">
        <f t="shared" ref="N677:R677" si="3645">N676</f>
        <v>131.572</v>
      </c>
      <c r="O677" s="69">
        <f t="shared" si="3645"/>
        <v>93.91</v>
      </c>
      <c r="P677" s="69">
        <f t="shared" si="3645"/>
        <v>73.318000000000012</v>
      </c>
      <c r="Q677" s="69">
        <f t="shared" si="3645"/>
        <v>52.236000000000004</v>
      </c>
      <c r="R677" s="69">
        <f t="shared" si="3645"/>
        <v>32.340000000000003</v>
      </c>
      <c r="S677" s="51">
        <f t="shared" ref="S677:T677" si="3646">(B676+B677)/2</f>
        <v>131.97499999999999</v>
      </c>
      <c r="T677" s="51">
        <f t="shared" si="3646"/>
        <v>93.88</v>
      </c>
      <c r="U677" s="51">
        <f t="shared" si="2884"/>
        <v>73.355000000000004</v>
      </c>
      <c r="V677" s="51">
        <f t="shared" ref="V677:W677" si="3647">(E676+E677)/2</f>
        <v>52.265000000000001</v>
      </c>
      <c r="W677" s="51">
        <f t="shared" si="3647"/>
        <v>32.4</v>
      </c>
      <c r="X677" s="51">
        <f t="shared" ref="X677:AB677" si="3648">(SUM(B674:B677))/4</f>
        <v>131.6275</v>
      </c>
      <c r="Y677" s="51">
        <f t="shared" si="3648"/>
        <v>93.884999999999991</v>
      </c>
      <c r="Z677" s="51">
        <f t="shared" si="3648"/>
        <v>73.31</v>
      </c>
      <c r="AA677" s="51">
        <f t="shared" si="3648"/>
        <v>52.267499999999998</v>
      </c>
      <c r="AB677" s="51">
        <f t="shared" si="3648"/>
        <v>32.362500000000004</v>
      </c>
      <c r="AC677" s="51">
        <f t="shared" ref="AC677:AF677" si="3649">(B677+C677)/2</f>
        <v>113.08</v>
      </c>
      <c r="AD677" s="51">
        <f t="shared" si="3649"/>
        <v>83.58</v>
      </c>
      <c r="AE677" s="51">
        <f t="shared" si="3649"/>
        <v>62.75</v>
      </c>
      <c r="AF677" s="51">
        <f t="shared" si="3649"/>
        <v>42.28</v>
      </c>
      <c r="AG677" s="51">
        <f t="shared" si="3360"/>
        <v>74.88</v>
      </c>
      <c r="AH677" s="51">
        <f t="shared" si="3361"/>
        <v>66.31</v>
      </c>
      <c r="AI677" s="51">
        <f t="shared" si="3554"/>
        <v>73.818000000000012</v>
      </c>
      <c r="AJ677" s="51">
        <f t="shared" si="3363"/>
        <v>71.877600000000001</v>
      </c>
      <c r="AK677" s="51">
        <f t="shared" ref="AK677:AK744" si="3650">((V677+W677)/2)-5.35</f>
        <v>36.982499999999995</v>
      </c>
      <c r="AL677" s="51">
        <f t="shared" si="3364"/>
        <v>39.792549999999991</v>
      </c>
      <c r="AM677" s="78">
        <v>51.33</v>
      </c>
      <c r="AN677" s="52">
        <f t="shared" si="3499"/>
        <v>51.265000000000001</v>
      </c>
      <c r="AO677" s="51">
        <f t="shared" si="3366"/>
        <v>50.02059523809524</v>
      </c>
      <c r="AP677" s="76">
        <f t="shared" si="3628"/>
        <v>740533.33333333326</v>
      </c>
      <c r="AQ677" s="51">
        <f t="shared" ref="AQ677:AR677" si="3651">Z677+1.45</f>
        <v>74.760000000000005</v>
      </c>
      <c r="AR677" s="51">
        <f t="shared" si="3651"/>
        <v>53.717500000000001</v>
      </c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8"/>
      <c r="BK677" s="8"/>
      <c r="BL677" s="8"/>
      <c r="BM677" s="8"/>
    </row>
    <row r="678" spans="1:65" ht="30" hidden="1" customHeight="1" x14ac:dyDescent="0.45">
      <c r="A678" s="55">
        <f t="shared" si="3561"/>
        <v>45625</v>
      </c>
      <c r="B678" s="56">
        <v>131.35</v>
      </c>
      <c r="C678" s="56">
        <v>94.01</v>
      </c>
      <c r="D678" s="56">
        <v>73.349999999999994</v>
      </c>
      <c r="E678" s="56">
        <v>52.11</v>
      </c>
      <c r="F678" s="56">
        <v>32.25</v>
      </c>
      <c r="G678" s="56">
        <v>138.83000000000001</v>
      </c>
      <c r="H678" s="51">
        <f t="shared" ref="H678:M678" si="3652">B678-B677</f>
        <v>-0.96000000000000796</v>
      </c>
      <c r="I678" s="51">
        <f t="shared" si="3652"/>
        <v>0.1600000000000108</v>
      </c>
      <c r="J678" s="51">
        <f t="shared" si="3652"/>
        <v>3.9999999999992042E-2</v>
      </c>
      <c r="K678" s="51">
        <f t="shared" si="3652"/>
        <v>-7.9999999999998295E-2</v>
      </c>
      <c r="L678" s="51">
        <f t="shared" si="3652"/>
        <v>-0.11999999999999744</v>
      </c>
      <c r="M678" s="42">
        <f t="shared" si="3652"/>
        <v>-0.61999999999997613</v>
      </c>
      <c r="N678" s="51">
        <f t="shared" ref="N678:R678" si="3653">N677</f>
        <v>131.572</v>
      </c>
      <c r="O678" s="51">
        <f t="shared" si="3653"/>
        <v>93.91</v>
      </c>
      <c r="P678" s="51">
        <f t="shared" si="3653"/>
        <v>73.318000000000012</v>
      </c>
      <c r="Q678" s="51">
        <f t="shared" si="3653"/>
        <v>52.236000000000004</v>
      </c>
      <c r="R678" s="51">
        <f t="shared" si="3653"/>
        <v>32.340000000000003</v>
      </c>
      <c r="S678" s="51">
        <f t="shared" ref="S678:T678" si="3654">(B677+B678)/2</f>
        <v>131.82999999999998</v>
      </c>
      <c r="T678" s="51">
        <f t="shared" si="3654"/>
        <v>93.93</v>
      </c>
      <c r="U678" s="51">
        <f t="shared" si="2884"/>
        <v>73.33</v>
      </c>
      <c r="V678" s="51">
        <f t="shared" ref="V678:W678" si="3655">(E677+E678)/2</f>
        <v>52.15</v>
      </c>
      <c r="W678" s="51">
        <f t="shared" si="3655"/>
        <v>32.31</v>
      </c>
      <c r="X678" s="51">
        <f t="shared" ref="X678:AB678" si="3656">(SUM(B675:B678))/4</f>
        <v>131.72</v>
      </c>
      <c r="Y678" s="51">
        <f t="shared" si="3656"/>
        <v>93.924999999999997</v>
      </c>
      <c r="Z678" s="51">
        <f t="shared" si="3656"/>
        <v>73.335000000000008</v>
      </c>
      <c r="AA678" s="51">
        <f t="shared" si="3656"/>
        <v>52.239999999999995</v>
      </c>
      <c r="AB678" s="51">
        <f t="shared" si="3656"/>
        <v>32.354999999999997</v>
      </c>
      <c r="AC678" s="51">
        <f t="shared" ref="AC678:AF678" si="3657">(B678+C678)/2</f>
        <v>112.68</v>
      </c>
      <c r="AD678" s="51">
        <f t="shared" si="3657"/>
        <v>83.68</v>
      </c>
      <c r="AE678" s="51">
        <f t="shared" si="3657"/>
        <v>62.73</v>
      </c>
      <c r="AF678" s="51">
        <f t="shared" si="3657"/>
        <v>42.18</v>
      </c>
      <c r="AG678" s="51">
        <f t="shared" si="3360"/>
        <v>74.98</v>
      </c>
      <c r="AH678" s="51">
        <f t="shared" si="3361"/>
        <v>66.349999999999994</v>
      </c>
      <c r="AI678" s="51">
        <f t="shared" si="3554"/>
        <v>73.818000000000012</v>
      </c>
      <c r="AJ678" s="51">
        <f t="shared" si="3363"/>
        <v>71.901600000000016</v>
      </c>
      <c r="AK678" s="51">
        <f t="shared" si="3650"/>
        <v>36.880000000000003</v>
      </c>
      <c r="AL678" s="51">
        <f t="shared" si="3364"/>
        <v>39.696200000000005</v>
      </c>
      <c r="AM678" s="7"/>
      <c r="AN678" s="52">
        <f t="shared" si="3499"/>
        <v>51.15</v>
      </c>
      <c r="AO678" s="51">
        <f t="shared" si="3366"/>
        <v>49.908333333333331</v>
      </c>
      <c r="AP678" s="76">
        <f t="shared" si="3628"/>
        <v>739413.33333333326</v>
      </c>
      <c r="AQ678" s="51">
        <f t="shared" ref="AQ678:AR678" si="3658">Z678+1.45</f>
        <v>74.785000000000011</v>
      </c>
      <c r="AR678" s="51">
        <f t="shared" si="3658"/>
        <v>53.69</v>
      </c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8"/>
      <c r="BK678" s="8"/>
      <c r="BL678" s="8"/>
      <c r="BM678" s="8"/>
    </row>
    <row r="679" spans="1:65" ht="30" hidden="1" customHeight="1" x14ac:dyDescent="0.45">
      <c r="A679" s="55">
        <f t="shared" si="3561"/>
        <v>45632</v>
      </c>
      <c r="B679" s="56">
        <v>130.66</v>
      </c>
      <c r="C679" s="56">
        <v>94.33</v>
      </c>
      <c r="D679" s="56">
        <v>72.989999999999995</v>
      </c>
      <c r="E679" s="56">
        <v>51.84</v>
      </c>
      <c r="F679" s="56">
        <v>31.93</v>
      </c>
      <c r="G679" s="56">
        <v>133.07</v>
      </c>
      <c r="H679" s="51">
        <f t="shared" ref="H679:M679" si="3659">B679-B678</f>
        <v>-0.68999999999999773</v>
      </c>
      <c r="I679" s="51">
        <f t="shared" si="3659"/>
        <v>0.31999999999999318</v>
      </c>
      <c r="J679" s="51">
        <f t="shared" si="3659"/>
        <v>-0.35999999999999943</v>
      </c>
      <c r="K679" s="51">
        <f t="shared" si="3659"/>
        <v>-0.26999999999999602</v>
      </c>
      <c r="L679" s="51">
        <f t="shared" si="3659"/>
        <v>-0.32000000000000028</v>
      </c>
      <c r="M679" s="42">
        <f t="shared" si="3659"/>
        <v>-5.7600000000000193</v>
      </c>
      <c r="N679" s="69">
        <f t="shared" ref="N679:R679" si="3660">AVERAGE(B679:B682)</f>
        <v>127.42750000000001</v>
      </c>
      <c r="O679" s="69">
        <f t="shared" si="3660"/>
        <v>92.507499999999993</v>
      </c>
      <c r="P679" s="69">
        <f t="shared" si="3660"/>
        <v>72.454999999999998</v>
      </c>
      <c r="Q679" s="69">
        <f t="shared" si="3660"/>
        <v>50.942500000000003</v>
      </c>
      <c r="R679" s="69">
        <f t="shared" si="3660"/>
        <v>31.407499999999999</v>
      </c>
      <c r="S679" s="51">
        <f t="shared" ref="S679:T679" si="3661">(B678+B679)/2</f>
        <v>131.005</v>
      </c>
      <c r="T679" s="51">
        <f t="shared" si="3661"/>
        <v>94.17</v>
      </c>
      <c r="U679" s="51">
        <f t="shared" si="2884"/>
        <v>73.169999999999987</v>
      </c>
      <c r="V679" s="51">
        <f t="shared" ref="V679:W679" si="3662">(E678+E679)/2</f>
        <v>51.975000000000001</v>
      </c>
      <c r="W679" s="51">
        <f t="shared" si="3662"/>
        <v>32.090000000000003</v>
      </c>
      <c r="X679" s="51">
        <f t="shared" ref="X679:AB679" si="3663">(SUM(B676:B679))/4</f>
        <v>131.48999999999998</v>
      </c>
      <c r="Y679" s="51">
        <f t="shared" si="3663"/>
        <v>94.024999999999991</v>
      </c>
      <c r="Z679" s="51">
        <f t="shared" si="3663"/>
        <v>73.262500000000003</v>
      </c>
      <c r="AA679" s="51">
        <f t="shared" si="3663"/>
        <v>52.12</v>
      </c>
      <c r="AB679" s="51">
        <f t="shared" si="3663"/>
        <v>32.244999999999997</v>
      </c>
      <c r="AC679" s="51">
        <f t="shared" ref="AC679:AF679" si="3664">(B679+C679)/2</f>
        <v>112.495</v>
      </c>
      <c r="AD679" s="51">
        <f t="shared" si="3664"/>
        <v>83.66</v>
      </c>
      <c r="AE679" s="51">
        <f t="shared" si="3664"/>
        <v>62.414999999999999</v>
      </c>
      <c r="AF679" s="51">
        <f t="shared" si="3664"/>
        <v>41.885000000000005</v>
      </c>
      <c r="AG679" s="51">
        <f t="shared" si="3360"/>
        <v>74.959999999999994</v>
      </c>
      <c r="AH679" s="51">
        <f t="shared" si="3361"/>
        <v>65.989999999999995</v>
      </c>
      <c r="AI679" s="51">
        <f t="shared" si="3554"/>
        <v>72.954999999999998</v>
      </c>
      <c r="AJ679" s="51">
        <f t="shared" si="3363"/>
        <v>71.831999999999994</v>
      </c>
      <c r="AK679" s="51">
        <f t="shared" si="3650"/>
        <v>36.682499999999997</v>
      </c>
      <c r="AL679" s="51">
        <f t="shared" si="3364"/>
        <v>39.510549999999995</v>
      </c>
      <c r="AM679" s="7"/>
      <c r="AN679" s="52">
        <f t="shared" si="3499"/>
        <v>50.975000000000001</v>
      </c>
      <c r="AO679" s="51">
        <f t="shared" si="3366"/>
        <v>49.737499999999997</v>
      </c>
      <c r="AP679" s="76">
        <f t="shared" si="3628"/>
        <v>736746.66666666651</v>
      </c>
      <c r="AQ679" s="51">
        <f t="shared" ref="AQ679:AR679" si="3665">Z679+1.45</f>
        <v>74.712500000000006</v>
      </c>
      <c r="AR679" s="51">
        <f t="shared" si="3665"/>
        <v>53.57</v>
      </c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8"/>
      <c r="BK679" s="8"/>
      <c r="BL679" s="8"/>
      <c r="BM679" s="8"/>
    </row>
    <row r="680" spans="1:65" ht="30" hidden="1" customHeight="1" x14ac:dyDescent="0.45">
      <c r="A680" s="55">
        <f t="shared" si="3561"/>
        <v>45639</v>
      </c>
      <c r="B680" s="56">
        <v>128.78</v>
      </c>
      <c r="C680" s="56">
        <v>93.3</v>
      </c>
      <c r="D680" s="56">
        <v>72.8</v>
      </c>
      <c r="E680" s="56">
        <v>51.29</v>
      </c>
      <c r="F680" s="56">
        <v>31.57</v>
      </c>
      <c r="G680" s="56">
        <v>128.35</v>
      </c>
      <c r="H680" s="51">
        <f t="shared" ref="H680:M680" si="3666">B680-B679</f>
        <v>-1.8799999999999955</v>
      </c>
      <c r="I680" s="51">
        <f t="shared" si="3666"/>
        <v>-1.0300000000000011</v>
      </c>
      <c r="J680" s="51">
        <f t="shared" si="3666"/>
        <v>-0.18999999999999773</v>
      </c>
      <c r="K680" s="51">
        <f t="shared" si="3666"/>
        <v>-0.55000000000000426</v>
      </c>
      <c r="L680" s="51">
        <f t="shared" si="3666"/>
        <v>-0.35999999999999943</v>
      </c>
      <c r="M680" s="42">
        <f t="shared" si="3666"/>
        <v>-4.7199999999999989</v>
      </c>
      <c r="N680" s="69">
        <f t="shared" ref="N680:R680" si="3667">N679</f>
        <v>127.42750000000001</v>
      </c>
      <c r="O680" s="69">
        <f t="shared" si="3667"/>
        <v>92.507499999999993</v>
      </c>
      <c r="P680" s="69">
        <f t="shared" si="3667"/>
        <v>72.454999999999998</v>
      </c>
      <c r="Q680" s="69">
        <f t="shared" si="3667"/>
        <v>50.942500000000003</v>
      </c>
      <c r="R680" s="69">
        <f t="shared" si="3667"/>
        <v>31.407499999999999</v>
      </c>
      <c r="S680" s="51">
        <f t="shared" ref="S680:T680" si="3668">(B679+B680)/2</f>
        <v>129.72</v>
      </c>
      <c r="T680" s="51">
        <f t="shared" si="3668"/>
        <v>93.814999999999998</v>
      </c>
      <c r="U680" s="51">
        <f t="shared" si="2884"/>
        <v>72.894999999999996</v>
      </c>
      <c r="V680" s="51">
        <f t="shared" ref="V680:W680" si="3669">(E679+E680)/2</f>
        <v>51.564999999999998</v>
      </c>
      <c r="W680" s="51">
        <f t="shared" si="3669"/>
        <v>31.75</v>
      </c>
      <c r="X680" s="51">
        <f t="shared" ref="X680:AB680" si="3670">(SUM(B677:B680))/4</f>
        <v>130.77499999999998</v>
      </c>
      <c r="Y680" s="51">
        <f t="shared" si="3670"/>
        <v>93.872500000000002</v>
      </c>
      <c r="Z680" s="51">
        <f t="shared" si="3670"/>
        <v>73.112499999999997</v>
      </c>
      <c r="AA680" s="51">
        <f t="shared" si="3670"/>
        <v>51.857499999999995</v>
      </c>
      <c r="AB680" s="51">
        <f t="shared" si="3670"/>
        <v>32.03</v>
      </c>
      <c r="AC680" s="51">
        <f t="shared" ref="AC680:AF680" si="3671">(B680+C680)/2</f>
        <v>111.03999999999999</v>
      </c>
      <c r="AD680" s="51">
        <f t="shared" si="3671"/>
        <v>83.05</v>
      </c>
      <c r="AE680" s="51">
        <f t="shared" si="3671"/>
        <v>62.045000000000002</v>
      </c>
      <c r="AF680" s="51">
        <f t="shared" si="3671"/>
        <v>41.43</v>
      </c>
      <c r="AG680" s="51">
        <f t="shared" si="3360"/>
        <v>74.349999999999994</v>
      </c>
      <c r="AH680" s="51">
        <f t="shared" si="3361"/>
        <v>65.8</v>
      </c>
      <c r="AI680" s="51">
        <f t="shared" si="3554"/>
        <v>72.954999999999998</v>
      </c>
      <c r="AJ680" s="51">
        <f t="shared" si="3363"/>
        <v>71.688000000000002</v>
      </c>
      <c r="AK680" s="51">
        <f t="shared" si="3650"/>
        <v>36.307499999999997</v>
      </c>
      <c r="AL680" s="51">
        <f t="shared" si="3364"/>
        <v>39.158049999999996</v>
      </c>
      <c r="AM680" s="7"/>
      <c r="AN680" s="52">
        <f t="shared" si="3499"/>
        <v>50.564999999999998</v>
      </c>
      <c r="AO680" s="51">
        <f t="shared" si="3366"/>
        <v>49.337261904761903</v>
      </c>
      <c r="AP680" s="76">
        <f t="shared" si="3628"/>
        <v>731946.66666666674</v>
      </c>
      <c r="AQ680" s="51">
        <f t="shared" ref="AQ680:AR680" si="3672">Z680+1.45</f>
        <v>74.5625</v>
      </c>
      <c r="AR680" s="51">
        <f t="shared" si="3672"/>
        <v>53.307499999999997</v>
      </c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8"/>
      <c r="BK680" s="8"/>
      <c r="BL680" s="8"/>
      <c r="BM680" s="8"/>
    </row>
    <row r="681" spans="1:65" ht="30" hidden="1" customHeight="1" x14ac:dyDescent="0.45">
      <c r="A681" s="55">
        <f t="shared" si="3561"/>
        <v>45646</v>
      </c>
      <c r="B681" s="56">
        <v>126.05</v>
      </c>
      <c r="C681" s="56">
        <v>91.65</v>
      </c>
      <c r="D681" s="56">
        <v>72.290000000000006</v>
      </c>
      <c r="E681" s="56">
        <v>50.61</v>
      </c>
      <c r="F681" s="56">
        <v>31.2</v>
      </c>
      <c r="G681" s="56">
        <v>122.84</v>
      </c>
      <c r="H681" s="69">
        <f t="shared" ref="H681:M681" si="3673">B681-B680</f>
        <v>-2.730000000000004</v>
      </c>
      <c r="I681" s="69">
        <f t="shared" si="3673"/>
        <v>-1.6499999999999915</v>
      </c>
      <c r="J681" s="69">
        <f t="shared" si="3673"/>
        <v>-0.50999999999999091</v>
      </c>
      <c r="K681" s="69">
        <f t="shared" si="3673"/>
        <v>-0.67999999999999972</v>
      </c>
      <c r="L681" s="69">
        <f t="shared" si="3673"/>
        <v>-0.37000000000000099</v>
      </c>
      <c r="M681" s="42">
        <f t="shared" si="3673"/>
        <v>-5.5099999999999909</v>
      </c>
      <c r="N681" s="69">
        <f t="shared" ref="N681:R681" si="3674">N680</f>
        <v>127.42750000000001</v>
      </c>
      <c r="O681" s="69">
        <f t="shared" si="3674"/>
        <v>92.507499999999993</v>
      </c>
      <c r="P681" s="69">
        <f t="shared" si="3674"/>
        <v>72.454999999999998</v>
      </c>
      <c r="Q681" s="69">
        <f t="shared" si="3674"/>
        <v>50.942500000000003</v>
      </c>
      <c r="R681" s="69">
        <f t="shared" si="3674"/>
        <v>31.407499999999999</v>
      </c>
      <c r="S681" s="69">
        <f t="shared" ref="S681:T681" si="3675">(B680+B681)/2</f>
        <v>127.41499999999999</v>
      </c>
      <c r="T681" s="69">
        <f t="shared" si="3675"/>
        <v>92.474999999999994</v>
      </c>
      <c r="U681" s="69">
        <f t="shared" si="2884"/>
        <v>72.545000000000002</v>
      </c>
      <c r="V681" s="69">
        <f t="shared" ref="V681:W681" si="3676">(E680+E681)/2</f>
        <v>50.95</v>
      </c>
      <c r="W681" s="69">
        <f t="shared" si="3676"/>
        <v>31.384999999999998</v>
      </c>
      <c r="X681" s="69">
        <f t="shared" ref="X681:AB681" si="3677">(SUM(B678:B681))/4</f>
        <v>129.20999999999998</v>
      </c>
      <c r="Y681" s="69">
        <f t="shared" si="3677"/>
        <v>93.322499999999991</v>
      </c>
      <c r="Z681" s="69">
        <f t="shared" si="3677"/>
        <v>72.857500000000002</v>
      </c>
      <c r="AA681" s="69">
        <f t="shared" si="3677"/>
        <v>51.462500000000006</v>
      </c>
      <c r="AB681" s="69">
        <f t="shared" si="3677"/>
        <v>31.737500000000001</v>
      </c>
      <c r="AC681" s="69">
        <f t="shared" ref="AC681:AF681" si="3678">(B681+C681)/2</f>
        <v>108.85</v>
      </c>
      <c r="AD681" s="69">
        <f t="shared" si="3678"/>
        <v>81.97</v>
      </c>
      <c r="AE681" s="69">
        <f t="shared" si="3678"/>
        <v>61.45</v>
      </c>
      <c r="AF681" s="69">
        <f t="shared" si="3678"/>
        <v>40.905000000000001</v>
      </c>
      <c r="AG681" s="69">
        <f t="shared" si="3360"/>
        <v>73.27</v>
      </c>
      <c r="AH681" s="69">
        <f t="shared" si="3361"/>
        <v>65.290000000000006</v>
      </c>
      <c r="AI681" s="51">
        <f t="shared" si="3554"/>
        <v>72.954999999999998</v>
      </c>
      <c r="AJ681" s="69">
        <f t="shared" si="3363"/>
        <v>71.443200000000004</v>
      </c>
      <c r="AK681" s="69">
        <f t="shared" si="3650"/>
        <v>35.817500000000003</v>
      </c>
      <c r="AL681" s="69">
        <f t="shared" si="3364"/>
        <v>38.697450000000003</v>
      </c>
      <c r="AM681" s="7"/>
      <c r="AN681" s="79">
        <f t="shared" si="3499"/>
        <v>49.95</v>
      </c>
      <c r="AO681" s="69">
        <f t="shared" si="3366"/>
        <v>48.736904761904761</v>
      </c>
      <c r="AP681" s="76">
        <f t="shared" si="3628"/>
        <v>723946.66666666674</v>
      </c>
      <c r="AQ681" s="51">
        <f t="shared" ref="AQ681:AR681" si="3679">Z681+1.45</f>
        <v>74.307500000000005</v>
      </c>
      <c r="AR681" s="51">
        <f t="shared" si="3679"/>
        <v>52.912500000000009</v>
      </c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8"/>
      <c r="BK681" s="8"/>
      <c r="BL681" s="8"/>
      <c r="BM681" s="8"/>
    </row>
    <row r="682" spans="1:65" ht="30" hidden="1" customHeight="1" x14ac:dyDescent="0.45">
      <c r="A682" s="55">
        <f t="shared" si="3561"/>
        <v>45653</v>
      </c>
      <c r="B682" s="56">
        <v>124.22</v>
      </c>
      <c r="C682" s="56">
        <v>90.75</v>
      </c>
      <c r="D682" s="56">
        <v>71.739999999999995</v>
      </c>
      <c r="E682" s="56">
        <v>50.03</v>
      </c>
      <c r="F682" s="56">
        <v>30.93</v>
      </c>
      <c r="G682" s="56">
        <v>122.25</v>
      </c>
      <c r="H682" s="51">
        <f t="shared" ref="H682:M682" si="3680">B682-B681</f>
        <v>-1.8299999999999983</v>
      </c>
      <c r="I682" s="51">
        <f t="shared" si="3680"/>
        <v>-0.90000000000000568</v>
      </c>
      <c r="J682" s="51">
        <f t="shared" si="3680"/>
        <v>-0.55000000000001137</v>
      </c>
      <c r="K682" s="51">
        <f t="shared" si="3680"/>
        <v>-0.57999999999999829</v>
      </c>
      <c r="L682" s="51">
        <f t="shared" si="3680"/>
        <v>-0.26999999999999957</v>
      </c>
      <c r="M682" s="42">
        <f t="shared" si="3680"/>
        <v>-0.59000000000000341</v>
      </c>
      <c r="N682" s="51">
        <f t="shared" ref="N682:R682" si="3681">N681</f>
        <v>127.42750000000001</v>
      </c>
      <c r="O682" s="51">
        <f t="shared" si="3681"/>
        <v>92.507499999999993</v>
      </c>
      <c r="P682" s="51">
        <f t="shared" si="3681"/>
        <v>72.454999999999998</v>
      </c>
      <c r="Q682" s="51">
        <f t="shared" si="3681"/>
        <v>50.942500000000003</v>
      </c>
      <c r="R682" s="51">
        <f t="shared" si="3681"/>
        <v>31.407499999999999</v>
      </c>
      <c r="S682" s="51">
        <f t="shared" ref="S682:T682" si="3682">(B681+B682)/2</f>
        <v>125.13499999999999</v>
      </c>
      <c r="T682" s="51">
        <f t="shared" si="3682"/>
        <v>91.2</v>
      </c>
      <c r="U682" s="51">
        <f t="shared" si="2884"/>
        <v>72.015000000000001</v>
      </c>
      <c r="V682" s="51">
        <f t="shared" ref="V682:W682" si="3683">(E681+E682)/2</f>
        <v>50.32</v>
      </c>
      <c r="W682" s="51">
        <f t="shared" si="3683"/>
        <v>31.064999999999998</v>
      </c>
      <c r="X682" s="51">
        <f t="shared" ref="X682:AB682" si="3684">(SUM(B679:B682))/4</f>
        <v>127.42750000000001</v>
      </c>
      <c r="Y682" s="51">
        <f t="shared" si="3684"/>
        <v>92.507499999999993</v>
      </c>
      <c r="Z682" s="51">
        <f t="shared" si="3684"/>
        <v>72.454999999999998</v>
      </c>
      <c r="AA682" s="51">
        <f t="shared" si="3684"/>
        <v>50.942500000000003</v>
      </c>
      <c r="AB682" s="51">
        <f t="shared" si="3684"/>
        <v>31.407499999999999</v>
      </c>
      <c r="AC682" s="51">
        <f t="shared" ref="AC682:AF682" si="3685">(B682+C682)/2</f>
        <v>107.485</v>
      </c>
      <c r="AD682" s="51">
        <f t="shared" si="3685"/>
        <v>81.245000000000005</v>
      </c>
      <c r="AE682" s="51">
        <f t="shared" si="3685"/>
        <v>60.884999999999998</v>
      </c>
      <c r="AF682" s="51">
        <f t="shared" si="3685"/>
        <v>40.480000000000004</v>
      </c>
      <c r="AG682" s="51">
        <f t="shared" si="3360"/>
        <v>72.545000000000002</v>
      </c>
      <c r="AH682" s="51">
        <f t="shared" si="3361"/>
        <v>64.739999999999995</v>
      </c>
      <c r="AI682" s="51">
        <f t="shared" ref="AI682:AI686" si="3686">P682+0.75</f>
        <v>73.204999999999998</v>
      </c>
      <c r="AJ682" s="51">
        <f t="shared" si="3363"/>
        <v>71.056799999999996</v>
      </c>
      <c r="AK682" s="51">
        <f t="shared" si="3650"/>
        <v>35.342499999999994</v>
      </c>
      <c r="AL682" s="51">
        <f t="shared" si="3364"/>
        <v>38.250949999999996</v>
      </c>
      <c r="AM682" s="7"/>
      <c r="AN682" s="52">
        <f t="shared" si="3499"/>
        <v>49.32</v>
      </c>
      <c r="AO682" s="51">
        <f t="shared" si="3366"/>
        <v>48.121904761904759</v>
      </c>
      <c r="AP682" s="76">
        <f t="shared" si="3628"/>
        <v>714293.33333333337</v>
      </c>
      <c r="AQ682" s="51">
        <f t="shared" ref="AQ682:AR682" si="3687">Z682+1.45</f>
        <v>73.905000000000001</v>
      </c>
      <c r="AR682" s="51">
        <f t="shared" si="3687"/>
        <v>52.392500000000005</v>
      </c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8"/>
      <c r="BK682" s="8"/>
      <c r="BL682" s="8"/>
      <c r="BM682" s="8"/>
    </row>
    <row r="683" spans="1:65" ht="30" hidden="1" customHeight="1" x14ac:dyDescent="0.45">
      <c r="A683" s="55">
        <f t="shared" si="3561"/>
        <v>45660</v>
      </c>
      <c r="B683" s="56">
        <v>122.82</v>
      </c>
      <c r="C683" s="56">
        <v>89.52</v>
      </c>
      <c r="D683" s="56">
        <v>71.36</v>
      </c>
      <c r="E683" s="56">
        <v>49.97</v>
      </c>
      <c r="F683" s="56">
        <v>30.75</v>
      </c>
      <c r="G683" s="56">
        <v>120.97</v>
      </c>
      <c r="H683" s="51">
        <f t="shared" ref="H683:M683" si="3688">B683-B682</f>
        <v>-1.4000000000000057</v>
      </c>
      <c r="I683" s="51">
        <f t="shared" si="3688"/>
        <v>-1.230000000000004</v>
      </c>
      <c r="J683" s="51">
        <f t="shared" si="3688"/>
        <v>-0.37999999999999545</v>
      </c>
      <c r="K683" s="51">
        <f t="shared" si="3688"/>
        <v>-6.0000000000002274E-2</v>
      </c>
      <c r="L683" s="51">
        <f t="shared" si="3688"/>
        <v>-0.17999999999999972</v>
      </c>
      <c r="M683" s="42">
        <f t="shared" si="3688"/>
        <v>-1.2800000000000011</v>
      </c>
      <c r="N683" s="69">
        <f t="shared" ref="N683:R683" si="3689">AVERAGE(B683:B687)</f>
        <v>119.06199999999998</v>
      </c>
      <c r="O683" s="69">
        <f t="shared" si="3689"/>
        <v>88.081999999999994</v>
      </c>
      <c r="P683" s="69">
        <f t="shared" si="3689"/>
        <v>70.191999999999993</v>
      </c>
      <c r="Q683" s="69">
        <f t="shared" si="3689"/>
        <v>49.213999999999999</v>
      </c>
      <c r="R683" s="69">
        <f t="shared" si="3689"/>
        <v>30.153999999999996</v>
      </c>
      <c r="S683" s="51">
        <f t="shared" ref="S683:T683" si="3690">(B682+B683)/2</f>
        <v>123.52</v>
      </c>
      <c r="T683" s="51">
        <f t="shared" si="3690"/>
        <v>90.134999999999991</v>
      </c>
      <c r="U683" s="51">
        <f t="shared" si="2884"/>
        <v>71.55</v>
      </c>
      <c r="V683" s="51">
        <f t="shared" ref="V683:W683" si="3691">(E682+E683)/2</f>
        <v>50</v>
      </c>
      <c r="W683" s="51">
        <f t="shared" si="3691"/>
        <v>30.84</v>
      </c>
      <c r="X683" s="51">
        <f t="shared" ref="X683:AB683" si="3692">(SUM(B680:B683))/4</f>
        <v>125.46749999999999</v>
      </c>
      <c r="Y683" s="51">
        <f t="shared" si="3692"/>
        <v>91.304999999999993</v>
      </c>
      <c r="Z683" s="51">
        <f t="shared" si="3692"/>
        <v>72.047499999999999</v>
      </c>
      <c r="AA683" s="51">
        <f t="shared" si="3692"/>
        <v>50.475000000000001</v>
      </c>
      <c r="AB683" s="51">
        <f t="shared" si="3692"/>
        <v>31.112499999999997</v>
      </c>
      <c r="AC683" s="80">
        <f t="shared" ref="AC683:AF683" si="3693">(B683+C683)/2</f>
        <v>106.16999999999999</v>
      </c>
      <c r="AD683" s="80">
        <f t="shared" si="3693"/>
        <v>80.44</v>
      </c>
      <c r="AE683" s="80">
        <f t="shared" si="3693"/>
        <v>60.664999999999999</v>
      </c>
      <c r="AF683" s="80">
        <f t="shared" si="3693"/>
        <v>40.36</v>
      </c>
      <c r="AG683" s="51">
        <f t="shared" si="3360"/>
        <v>71.739999999999995</v>
      </c>
      <c r="AH683" s="51">
        <f t="shared" si="3361"/>
        <v>64.36</v>
      </c>
      <c r="AI683" s="51">
        <f t="shared" si="3686"/>
        <v>70.941999999999993</v>
      </c>
      <c r="AJ683" s="51">
        <f t="shared" si="3363"/>
        <v>70.665599999999998</v>
      </c>
      <c r="AK683" s="51">
        <f t="shared" si="3650"/>
        <v>35.07</v>
      </c>
      <c r="AL683" s="51">
        <f t="shared" si="3364"/>
        <v>37.994799999999998</v>
      </c>
      <c r="AM683" s="7"/>
      <c r="AN683" s="52">
        <f t="shared" si="3499"/>
        <v>49</v>
      </c>
      <c r="AO683" s="51">
        <f t="shared" si="3366"/>
        <v>47.80952380952381</v>
      </c>
      <c r="AP683" s="76">
        <f t="shared" si="3628"/>
        <v>707253.33333333349</v>
      </c>
      <c r="AQ683" s="51">
        <f t="shared" ref="AQ683:AQ744" si="3694">Z683+1.45</f>
        <v>73.497500000000002</v>
      </c>
      <c r="AR683" s="51">
        <f t="shared" ref="AR683:AR744" si="3695">(Z683*(5100/5000))+3</f>
        <v>76.48845</v>
      </c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8"/>
      <c r="BK683" s="8"/>
      <c r="BL683" s="8"/>
      <c r="BM683" s="8"/>
    </row>
    <row r="684" spans="1:65" ht="33.75" hidden="1" customHeight="1" x14ac:dyDescent="0.45">
      <c r="A684" s="55">
        <f t="shared" si="3561"/>
        <v>45667</v>
      </c>
      <c r="B684" s="56">
        <v>120.46</v>
      </c>
      <c r="C684" s="56">
        <v>88.76</v>
      </c>
      <c r="D684" s="56">
        <v>70.92</v>
      </c>
      <c r="E684" s="56">
        <v>49.67</v>
      </c>
      <c r="F684" s="56">
        <v>30.43</v>
      </c>
      <c r="G684" s="56">
        <v>115.51</v>
      </c>
      <c r="H684" s="51">
        <f t="shared" ref="H684:M684" si="3696">B684-B683</f>
        <v>-2.3599999999999994</v>
      </c>
      <c r="I684" s="51">
        <f t="shared" si="3696"/>
        <v>-0.75999999999999091</v>
      </c>
      <c r="J684" s="51">
        <f t="shared" si="3696"/>
        <v>-0.43999999999999773</v>
      </c>
      <c r="K684" s="51">
        <f t="shared" si="3696"/>
        <v>-0.29999999999999716</v>
      </c>
      <c r="L684" s="51">
        <f t="shared" si="3696"/>
        <v>-0.32000000000000028</v>
      </c>
      <c r="M684" s="42">
        <f t="shared" si="3696"/>
        <v>-5.4599999999999937</v>
      </c>
      <c r="N684" s="51">
        <f t="shared" ref="N684:R684" si="3697">N683</f>
        <v>119.06199999999998</v>
      </c>
      <c r="O684" s="51">
        <f t="shared" si="3697"/>
        <v>88.081999999999994</v>
      </c>
      <c r="P684" s="51">
        <f t="shared" si="3697"/>
        <v>70.191999999999993</v>
      </c>
      <c r="Q684" s="51">
        <f t="shared" si="3697"/>
        <v>49.213999999999999</v>
      </c>
      <c r="R684" s="51">
        <f t="shared" si="3697"/>
        <v>30.153999999999996</v>
      </c>
      <c r="S684" s="51">
        <f t="shared" ref="S684:T684" si="3698">(B683+B684)/2</f>
        <v>121.63999999999999</v>
      </c>
      <c r="T684" s="51">
        <f t="shared" si="3698"/>
        <v>89.14</v>
      </c>
      <c r="U684" s="51">
        <f t="shared" si="2884"/>
        <v>71.14</v>
      </c>
      <c r="V684" s="51">
        <f t="shared" ref="V684:W684" si="3699">(E683+E684)/2</f>
        <v>49.82</v>
      </c>
      <c r="W684" s="51">
        <f t="shared" si="3699"/>
        <v>30.59</v>
      </c>
      <c r="X684" s="51">
        <f t="shared" ref="X684:AB684" si="3700">(SUM(B681:B684))/4</f>
        <v>123.38749999999999</v>
      </c>
      <c r="Y684" s="51">
        <f t="shared" si="3700"/>
        <v>90.17</v>
      </c>
      <c r="Z684" s="51">
        <f t="shared" si="3700"/>
        <v>71.577500000000001</v>
      </c>
      <c r="AA684" s="51">
        <f t="shared" si="3700"/>
        <v>50.070000000000007</v>
      </c>
      <c r="AB684" s="51">
        <f t="shared" si="3700"/>
        <v>30.827500000000001</v>
      </c>
      <c r="AC684" s="80">
        <f t="shared" ref="AC684:AF684" si="3701">(B684+C684)/2</f>
        <v>104.61</v>
      </c>
      <c r="AD684" s="80">
        <f t="shared" si="3701"/>
        <v>79.84</v>
      </c>
      <c r="AE684" s="80">
        <f t="shared" si="3701"/>
        <v>60.295000000000002</v>
      </c>
      <c r="AF684" s="80">
        <f t="shared" si="3701"/>
        <v>40.049999999999997</v>
      </c>
      <c r="AG684" s="51">
        <f t="shared" si="3360"/>
        <v>71.14</v>
      </c>
      <c r="AH684" s="51">
        <f t="shared" si="3361"/>
        <v>63.92</v>
      </c>
      <c r="AI684" s="51">
        <f t="shared" si="3686"/>
        <v>70.941999999999993</v>
      </c>
      <c r="AJ684" s="51">
        <f t="shared" si="3363"/>
        <v>70.214399999999998</v>
      </c>
      <c r="AK684" s="51">
        <f t="shared" si="3650"/>
        <v>34.854999999999997</v>
      </c>
      <c r="AL684" s="51">
        <f t="shared" si="3364"/>
        <v>37.792699999999996</v>
      </c>
      <c r="AM684" s="7"/>
      <c r="AN684" s="52">
        <f t="shared" si="3499"/>
        <v>48.82</v>
      </c>
      <c r="AO684" s="51">
        <f t="shared" si="3366"/>
        <v>47.633809523809525</v>
      </c>
      <c r="AP684" s="76">
        <f t="shared" si="3628"/>
        <v>702240.00000000012</v>
      </c>
      <c r="AQ684" s="51">
        <f t="shared" si="3694"/>
        <v>73.027500000000003</v>
      </c>
      <c r="AR684" s="51">
        <f t="shared" si="3695"/>
        <v>76.009050000000002</v>
      </c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8"/>
      <c r="BK684" s="8"/>
      <c r="BL684" s="8"/>
      <c r="BM684" s="8"/>
    </row>
    <row r="685" spans="1:65" ht="30" hidden="1" customHeight="1" x14ac:dyDescent="0.45">
      <c r="A685" s="55">
        <f t="shared" si="3561"/>
        <v>45674</v>
      </c>
      <c r="B685" s="56">
        <v>118.16</v>
      </c>
      <c r="C685" s="56">
        <v>87.99</v>
      </c>
      <c r="D685" s="56">
        <v>70.09</v>
      </c>
      <c r="E685" s="56">
        <v>49.11</v>
      </c>
      <c r="F685" s="56">
        <v>30.07</v>
      </c>
      <c r="G685" s="56">
        <v>110.54</v>
      </c>
      <c r="H685" s="51">
        <f t="shared" ref="H685:M685" si="3702">B685-B684</f>
        <v>-2.2999999999999972</v>
      </c>
      <c r="I685" s="51">
        <f t="shared" si="3702"/>
        <v>-0.77000000000001023</v>
      </c>
      <c r="J685" s="51">
        <f t="shared" si="3702"/>
        <v>-0.82999999999999829</v>
      </c>
      <c r="K685" s="51">
        <f t="shared" si="3702"/>
        <v>-0.56000000000000227</v>
      </c>
      <c r="L685" s="51">
        <f t="shared" si="3702"/>
        <v>-0.35999999999999943</v>
      </c>
      <c r="M685" s="42">
        <f t="shared" si="3702"/>
        <v>-4.9699999999999989</v>
      </c>
      <c r="N685" s="51">
        <f t="shared" ref="N685:R685" si="3703">N684</f>
        <v>119.06199999999998</v>
      </c>
      <c r="O685" s="51">
        <f t="shared" si="3703"/>
        <v>88.081999999999994</v>
      </c>
      <c r="P685" s="51">
        <f t="shared" si="3703"/>
        <v>70.191999999999993</v>
      </c>
      <c r="Q685" s="51">
        <f t="shared" si="3703"/>
        <v>49.213999999999999</v>
      </c>
      <c r="R685" s="51">
        <f t="shared" si="3703"/>
        <v>30.153999999999996</v>
      </c>
      <c r="S685" s="51">
        <f t="shared" ref="S685:T685" si="3704">(B684+B685)/2</f>
        <v>119.31</v>
      </c>
      <c r="T685" s="51">
        <f t="shared" si="3704"/>
        <v>88.375</v>
      </c>
      <c r="U685" s="51">
        <f t="shared" si="2884"/>
        <v>70.504999999999995</v>
      </c>
      <c r="V685" s="51">
        <f t="shared" ref="V685:W685" si="3705">(E684+E685)/2</f>
        <v>49.39</v>
      </c>
      <c r="W685" s="51">
        <f t="shared" si="3705"/>
        <v>30.25</v>
      </c>
      <c r="X685" s="51">
        <f t="shared" ref="X685:AB685" si="3706">(SUM(B682:B685))/4</f>
        <v>121.41499999999999</v>
      </c>
      <c r="Y685" s="51">
        <f t="shared" si="3706"/>
        <v>89.254999999999995</v>
      </c>
      <c r="Z685" s="51">
        <f t="shared" si="3706"/>
        <v>71.027500000000003</v>
      </c>
      <c r="AA685" s="51">
        <f t="shared" si="3706"/>
        <v>49.695000000000007</v>
      </c>
      <c r="AB685" s="51">
        <f t="shared" si="3706"/>
        <v>30.545000000000002</v>
      </c>
      <c r="AC685" s="80">
        <f t="shared" ref="AC685:AF685" si="3707">(B685+C685)/2</f>
        <v>103.07499999999999</v>
      </c>
      <c r="AD685" s="80">
        <f t="shared" si="3707"/>
        <v>79.039999999999992</v>
      </c>
      <c r="AE685" s="80">
        <f t="shared" si="3707"/>
        <v>59.6</v>
      </c>
      <c r="AF685" s="80">
        <f t="shared" si="3707"/>
        <v>39.590000000000003</v>
      </c>
      <c r="AG685" s="51">
        <f t="shared" si="3360"/>
        <v>70.339999999999989</v>
      </c>
      <c r="AH685" s="51">
        <f t="shared" si="3361"/>
        <v>63.09</v>
      </c>
      <c r="AI685" s="51">
        <f t="shared" si="3686"/>
        <v>70.941999999999993</v>
      </c>
      <c r="AJ685" s="51">
        <f t="shared" si="3363"/>
        <v>69.686400000000006</v>
      </c>
      <c r="AK685" s="51">
        <f t="shared" si="3650"/>
        <v>34.47</v>
      </c>
      <c r="AL685" s="51">
        <f t="shared" si="3364"/>
        <v>37.430799999999998</v>
      </c>
      <c r="AM685" s="7"/>
      <c r="AN685" s="52">
        <f t="shared" si="3499"/>
        <v>48.39</v>
      </c>
      <c r="AO685" s="51">
        <f t="shared" si="3366"/>
        <v>47.214047619047619</v>
      </c>
      <c r="AP685" s="76">
        <f t="shared" si="3628"/>
        <v>697333.33333333337</v>
      </c>
      <c r="AQ685" s="51">
        <f t="shared" si="3694"/>
        <v>72.477500000000006</v>
      </c>
      <c r="AR685" s="51">
        <f t="shared" si="3695"/>
        <v>75.448050000000009</v>
      </c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8"/>
      <c r="BK685" s="8"/>
      <c r="BL685" s="8"/>
      <c r="BM685" s="8"/>
    </row>
    <row r="686" spans="1:65" ht="30" hidden="1" customHeight="1" x14ac:dyDescent="0.45">
      <c r="A686" s="72">
        <f t="shared" si="3561"/>
        <v>45681</v>
      </c>
      <c r="B686" s="56">
        <v>117.56</v>
      </c>
      <c r="C686" s="56">
        <v>87.31</v>
      </c>
      <c r="D686" s="56">
        <v>69.45</v>
      </c>
      <c r="E686" s="56">
        <v>48.76</v>
      </c>
      <c r="F686" s="56">
        <v>29.82</v>
      </c>
      <c r="G686" s="56">
        <v>115.54</v>
      </c>
      <c r="H686" s="69">
        <f t="shared" ref="H686:M686" si="3708">B686-B685</f>
        <v>-0.59999999999999432</v>
      </c>
      <c r="I686" s="69">
        <f t="shared" si="3708"/>
        <v>-0.67999999999999261</v>
      </c>
      <c r="J686" s="69">
        <f t="shared" si="3708"/>
        <v>-0.64000000000000057</v>
      </c>
      <c r="K686" s="69">
        <f t="shared" si="3708"/>
        <v>-0.35000000000000142</v>
      </c>
      <c r="L686" s="69">
        <f t="shared" si="3708"/>
        <v>-0.25</v>
      </c>
      <c r="M686" s="42">
        <f t="shared" si="3708"/>
        <v>5</v>
      </c>
      <c r="N686" s="51">
        <f t="shared" ref="N686:R686" si="3709">N685</f>
        <v>119.06199999999998</v>
      </c>
      <c r="O686" s="51">
        <f t="shared" si="3709"/>
        <v>88.081999999999994</v>
      </c>
      <c r="P686" s="51">
        <f t="shared" si="3709"/>
        <v>70.191999999999993</v>
      </c>
      <c r="Q686" s="51">
        <f t="shared" si="3709"/>
        <v>49.213999999999999</v>
      </c>
      <c r="R686" s="51">
        <f t="shared" si="3709"/>
        <v>30.153999999999996</v>
      </c>
      <c r="S686" s="69">
        <f t="shared" ref="S686:T686" si="3710">(B685+B686)/2</f>
        <v>117.86</v>
      </c>
      <c r="T686" s="69">
        <f t="shared" si="3710"/>
        <v>87.65</v>
      </c>
      <c r="U686" s="69">
        <f t="shared" si="2884"/>
        <v>69.77000000000001</v>
      </c>
      <c r="V686" s="69">
        <f t="shared" ref="V686:W686" si="3711">(E685+E686)/2</f>
        <v>48.935000000000002</v>
      </c>
      <c r="W686" s="69">
        <f t="shared" si="3711"/>
        <v>29.945</v>
      </c>
      <c r="X686" s="69">
        <f t="shared" ref="X686:AB686" si="3712">(SUM(B683:B686))/4</f>
        <v>119.74999999999999</v>
      </c>
      <c r="Y686" s="69">
        <f t="shared" si="3712"/>
        <v>88.394999999999996</v>
      </c>
      <c r="Z686" s="69">
        <f t="shared" si="3712"/>
        <v>70.454999999999998</v>
      </c>
      <c r="AA686" s="69">
        <f t="shared" si="3712"/>
        <v>49.377499999999998</v>
      </c>
      <c r="AB686" s="69">
        <f t="shared" si="3712"/>
        <v>30.267499999999998</v>
      </c>
      <c r="AC686" s="80">
        <f t="shared" ref="AC686:AF686" si="3713">(B686+C686)/2</f>
        <v>102.435</v>
      </c>
      <c r="AD686" s="80">
        <f t="shared" si="3713"/>
        <v>78.38</v>
      </c>
      <c r="AE686" s="80">
        <f t="shared" si="3713"/>
        <v>59.105000000000004</v>
      </c>
      <c r="AF686" s="80">
        <f t="shared" si="3713"/>
        <v>39.29</v>
      </c>
      <c r="AG686" s="69">
        <f t="shared" si="3360"/>
        <v>69.679999999999993</v>
      </c>
      <c r="AH686" s="69">
        <f t="shared" si="3361"/>
        <v>62.45</v>
      </c>
      <c r="AI686" s="51">
        <f t="shared" si="3686"/>
        <v>70.941999999999993</v>
      </c>
      <c r="AJ686" s="69">
        <f t="shared" si="3363"/>
        <v>69.136799999999994</v>
      </c>
      <c r="AK686" s="69">
        <f t="shared" si="3650"/>
        <v>34.089999999999996</v>
      </c>
      <c r="AL686" s="69">
        <f t="shared" si="3364"/>
        <v>37.073599999999999</v>
      </c>
      <c r="AM686" s="7"/>
      <c r="AN686" s="79">
        <f t="shared" si="3499"/>
        <v>47.935000000000002</v>
      </c>
      <c r="AO686" s="69">
        <f t="shared" si="3366"/>
        <v>46.769880952380952</v>
      </c>
      <c r="AP686" s="76">
        <f t="shared" si="3628"/>
        <v>690880</v>
      </c>
      <c r="AQ686" s="51">
        <f t="shared" si="3694"/>
        <v>71.905000000000001</v>
      </c>
      <c r="AR686" s="51">
        <f t="shared" si="3695"/>
        <v>74.864099999999993</v>
      </c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8"/>
      <c r="BK686" s="8"/>
      <c r="BL686" s="8"/>
      <c r="BM686" s="8"/>
    </row>
    <row r="687" spans="1:65" ht="30" hidden="1" customHeight="1" x14ac:dyDescent="0.45">
      <c r="A687" s="55">
        <f t="shared" si="3561"/>
        <v>45688</v>
      </c>
      <c r="B687" s="56">
        <v>116.31</v>
      </c>
      <c r="C687" s="56">
        <v>86.83</v>
      </c>
      <c r="D687" s="56">
        <v>69.14</v>
      </c>
      <c r="E687" s="56">
        <v>48.56</v>
      </c>
      <c r="F687" s="56">
        <v>29.7</v>
      </c>
      <c r="G687" s="56">
        <v>113.34</v>
      </c>
      <c r="H687" s="51">
        <f t="shared" ref="H687:M687" si="3714">B687-B686</f>
        <v>-1.25</v>
      </c>
      <c r="I687" s="51">
        <f t="shared" si="3714"/>
        <v>-0.48000000000000398</v>
      </c>
      <c r="J687" s="51">
        <f t="shared" si="3714"/>
        <v>-0.31000000000000227</v>
      </c>
      <c r="K687" s="51">
        <f t="shared" si="3714"/>
        <v>-0.19999999999999574</v>
      </c>
      <c r="L687" s="51">
        <f t="shared" si="3714"/>
        <v>-0.12000000000000099</v>
      </c>
      <c r="M687" s="42">
        <f t="shared" si="3714"/>
        <v>-2.2000000000000028</v>
      </c>
      <c r="N687" s="51">
        <f t="shared" ref="N687:R687" si="3715">N686</f>
        <v>119.06199999999998</v>
      </c>
      <c r="O687" s="51">
        <f t="shared" si="3715"/>
        <v>88.081999999999994</v>
      </c>
      <c r="P687" s="51">
        <f t="shared" si="3715"/>
        <v>70.191999999999993</v>
      </c>
      <c r="Q687" s="51">
        <f t="shared" si="3715"/>
        <v>49.213999999999999</v>
      </c>
      <c r="R687" s="51">
        <f t="shared" si="3715"/>
        <v>30.153999999999996</v>
      </c>
      <c r="S687" s="51">
        <f t="shared" ref="S687:T687" si="3716">(B686+B687)/2</f>
        <v>116.935</v>
      </c>
      <c r="T687" s="51">
        <f t="shared" si="3716"/>
        <v>87.07</v>
      </c>
      <c r="U687" s="51">
        <f t="shared" si="2884"/>
        <v>69.295000000000002</v>
      </c>
      <c r="V687" s="51">
        <f t="shared" ref="V687:W687" si="3717">(E686+E687)/2</f>
        <v>48.66</v>
      </c>
      <c r="W687" s="51">
        <f t="shared" si="3717"/>
        <v>29.759999999999998</v>
      </c>
      <c r="X687" s="51">
        <f t="shared" ref="X687:AB687" si="3718">(SUM(B684:B687))/4</f>
        <v>118.1225</v>
      </c>
      <c r="Y687" s="51">
        <f t="shared" si="3718"/>
        <v>87.722499999999997</v>
      </c>
      <c r="Z687" s="51">
        <f t="shared" si="3718"/>
        <v>69.899999999999991</v>
      </c>
      <c r="AA687" s="51">
        <f t="shared" si="3718"/>
        <v>49.024999999999999</v>
      </c>
      <c r="AB687" s="51">
        <f t="shared" si="3718"/>
        <v>30.004999999999999</v>
      </c>
      <c r="AC687" s="80">
        <f t="shared" ref="AC687:AF687" si="3719">(B687+C687)/2</f>
        <v>101.57</v>
      </c>
      <c r="AD687" s="80">
        <f t="shared" si="3719"/>
        <v>77.984999999999999</v>
      </c>
      <c r="AE687" s="80">
        <f t="shared" si="3719"/>
        <v>58.85</v>
      </c>
      <c r="AF687" s="80">
        <f t="shared" si="3719"/>
        <v>39.130000000000003</v>
      </c>
      <c r="AG687" s="51">
        <f t="shared" si="3360"/>
        <v>69.284999999999997</v>
      </c>
      <c r="AH687" s="51">
        <f t="shared" si="3361"/>
        <v>62.14</v>
      </c>
      <c r="AI687" s="51">
        <f>P686+0.75</f>
        <v>70.941999999999993</v>
      </c>
      <c r="AJ687" s="51">
        <f t="shared" si="3363"/>
        <v>68.603999999999985</v>
      </c>
      <c r="AK687" s="51">
        <f t="shared" si="3650"/>
        <v>33.859999999999992</v>
      </c>
      <c r="AL687" s="51">
        <f t="shared" si="3364"/>
        <v>36.857399999999991</v>
      </c>
      <c r="AM687" s="7"/>
      <c r="AN687" s="52">
        <f t="shared" si="3499"/>
        <v>47.66</v>
      </c>
      <c r="AO687" s="51">
        <f t="shared" si="3366"/>
        <v>46.501428571428569</v>
      </c>
      <c r="AP687" s="76">
        <f t="shared" si="3628"/>
        <v>684960</v>
      </c>
      <c r="AQ687" s="51">
        <f t="shared" si="3694"/>
        <v>71.349999999999994</v>
      </c>
      <c r="AR687" s="51">
        <f t="shared" si="3695"/>
        <v>74.297999999999988</v>
      </c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8"/>
      <c r="BK687" s="8"/>
      <c r="BL687" s="8"/>
      <c r="BM687" s="8"/>
    </row>
    <row r="688" spans="1:65" ht="30" hidden="1" customHeight="1" x14ac:dyDescent="0.45">
      <c r="A688" s="55">
        <f t="shared" si="3561"/>
        <v>45695</v>
      </c>
      <c r="B688" s="56">
        <v>115.17</v>
      </c>
      <c r="C688" s="56">
        <v>86.42</v>
      </c>
      <c r="D688" s="56">
        <v>68.78</v>
      </c>
      <c r="E688" s="56">
        <v>48.48</v>
      </c>
      <c r="F688" s="56">
        <v>29.5</v>
      </c>
      <c r="G688" s="56">
        <v>105.39</v>
      </c>
      <c r="H688" s="51">
        <f t="shared" ref="H688:M688" si="3720">B688-B687</f>
        <v>-1.1400000000000006</v>
      </c>
      <c r="I688" s="51">
        <f t="shared" si="3720"/>
        <v>-0.40999999999999659</v>
      </c>
      <c r="J688" s="51">
        <f t="shared" si="3720"/>
        <v>-0.35999999999999943</v>
      </c>
      <c r="K688" s="51">
        <f t="shared" si="3720"/>
        <v>-8.00000000000054E-2</v>
      </c>
      <c r="L688" s="51">
        <f t="shared" si="3720"/>
        <v>-0.19999999999999929</v>
      </c>
      <c r="M688" s="42">
        <f t="shared" si="3720"/>
        <v>-7.9500000000000028</v>
      </c>
      <c r="N688" s="69">
        <f t="shared" ref="N688:R688" si="3721">AVERAGE(B688:B691)</f>
        <v>112.57250000000001</v>
      </c>
      <c r="O688" s="69">
        <f t="shared" si="3721"/>
        <v>85.752499999999998</v>
      </c>
      <c r="P688" s="69">
        <f t="shared" si="3721"/>
        <v>68.710000000000008</v>
      </c>
      <c r="Q688" s="69">
        <f t="shared" si="3721"/>
        <v>48.927500000000002</v>
      </c>
      <c r="R688" s="69">
        <f t="shared" si="3721"/>
        <v>30.4925</v>
      </c>
      <c r="S688" s="51">
        <f t="shared" ref="S688:T688" si="3722">(B687+B688)/2</f>
        <v>115.74000000000001</v>
      </c>
      <c r="T688" s="51">
        <f t="shared" si="3722"/>
        <v>86.625</v>
      </c>
      <c r="U688" s="51">
        <f t="shared" si="2884"/>
        <v>68.960000000000008</v>
      </c>
      <c r="V688" s="51">
        <f t="shared" ref="V688:W688" si="3723">(E687+E688)/2</f>
        <v>48.519999999999996</v>
      </c>
      <c r="W688" s="51">
        <f t="shared" si="3723"/>
        <v>29.6</v>
      </c>
      <c r="X688" s="51">
        <f t="shared" ref="X688:AB688" si="3724">(SUM(B685:B688))/4</f>
        <v>116.8</v>
      </c>
      <c r="Y688" s="51">
        <f t="shared" si="3724"/>
        <v>87.137500000000003</v>
      </c>
      <c r="Z688" s="51">
        <f t="shared" si="3724"/>
        <v>69.365000000000009</v>
      </c>
      <c r="AA688" s="51">
        <f t="shared" si="3724"/>
        <v>48.727499999999999</v>
      </c>
      <c r="AB688" s="51">
        <f t="shared" si="3724"/>
        <v>29.772500000000001</v>
      </c>
      <c r="AC688" s="80">
        <f t="shared" ref="AC688:AF688" si="3725">(B688+C688)/2</f>
        <v>100.795</v>
      </c>
      <c r="AD688" s="80">
        <f t="shared" si="3725"/>
        <v>77.599999999999994</v>
      </c>
      <c r="AE688" s="80">
        <f t="shared" si="3725"/>
        <v>58.629999999999995</v>
      </c>
      <c r="AF688" s="80">
        <f t="shared" si="3725"/>
        <v>38.989999999999995</v>
      </c>
      <c r="AG688" s="51">
        <f t="shared" si="3360"/>
        <v>68.899999999999991</v>
      </c>
      <c r="AH688" s="51">
        <f t="shared" si="3361"/>
        <v>61.78</v>
      </c>
      <c r="AI688" s="51">
        <f t="shared" ref="AI688:AI734" si="3726">P688+0.75</f>
        <v>69.460000000000008</v>
      </c>
      <c r="AJ688" s="51">
        <f t="shared" si="3363"/>
        <v>68.090400000000017</v>
      </c>
      <c r="AK688" s="51">
        <f t="shared" si="3650"/>
        <v>33.71</v>
      </c>
      <c r="AL688" s="51">
        <f t="shared" si="3364"/>
        <v>36.7164</v>
      </c>
      <c r="AM688" s="7"/>
      <c r="AN688" s="52">
        <f t="shared" si="3499"/>
        <v>47.519999999999996</v>
      </c>
      <c r="AO688" s="51">
        <f t="shared" si="3366"/>
        <v>46.364761904761899</v>
      </c>
      <c r="AP688" s="76">
        <f t="shared" si="3628"/>
        <v>681599.99999999988</v>
      </c>
      <c r="AQ688" s="51">
        <f t="shared" si="3694"/>
        <v>70.815000000000012</v>
      </c>
      <c r="AR688" s="51">
        <f t="shared" si="3695"/>
        <v>73.752300000000005</v>
      </c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8"/>
      <c r="BK688" s="8"/>
      <c r="BL688" s="8"/>
      <c r="BM688" s="8"/>
    </row>
    <row r="689" spans="1:65" ht="30" hidden="1" customHeight="1" x14ac:dyDescent="0.45">
      <c r="A689" s="72">
        <f t="shared" si="3561"/>
        <v>45702</v>
      </c>
      <c r="B689" s="56">
        <v>113.02</v>
      </c>
      <c r="C689" s="56">
        <v>86.1</v>
      </c>
      <c r="D689" s="56">
        <v>67.72</v>
      </c>
      <c r="E689" s="56">
        <v>48.7</v>
      </c>
      <c r="F689" s="56">
        <v>30.06</v>
      </c>
      <c r="G689" s="56">
        <v>101.8</v>
      </c>
      <c r="H689" s="69">
        <f t="shared" ref="H689:M689" si="3727">B689-B688</f>
        <v>-2.1500000000000057</v>
      </c>
      <c r="I689" s="69">
        <f t="shared" si="3727"/>
        <v>-0.32000000000000739</v>
      </c>
      <c r="J689" s="69">
        <f t="shared" si="3727"/>
        <v>-1.0600000000000023</v>
      </c>
      <c r="K689" s="69">
        <f t="shared" si="3727"/>
        <v>0.22000000000000597</v>
      </c>
      <c r="L689" s="69">
        <f t="shared" si="3727"/>
        <v>0.55999999999999872</v>
      </c>
      <c r="M689" s="42">
        <f t="shared" si="3727"/>
        <v>-3.5900000000000034</v>
      </c>
      <c r="N689" s="69">
        <f t="shared" ref="N689:R689" si="3728">N688</f>
        <v>112.57250000000001</v>
      </c>
      <c r="O689" s="69">
        <f t="shared" si="3728"/>
        <v>85.752499999999998</v>
      </c>
      <c r="P689" s="69">
        <f t="shared" si="3728"/>
        <v>68.710000000000008</v>
      </c>
      <c r="Q689" s="69">
        <f t="shared" si="3728"/>
        <v>48.927500000000002</v>
      </c>
      <c r="R689" s="69">
        <f t="shared" si="3728"/>
        <v>30.4925</v>
      </c>
      <c r="S689" s="69">
        <f t="shared" ref="S689:T689" si="3729">(B688+B689)/2</f>
        <v>114.095</v>
      </c>
      <c r="T689" s="69">
        <f t="shared" si="3729"/>
        <v>86.259999999999991</v>
      </c>
      <c r="U689" s="69">
        <f t="shared" si="2884"/>
        <v>68.25</v>
      </c>
      <c r="V689" s="69">
        <f t="shared" ref="V689:W689" si="3730">(E688+E689)/2</f>
        <v>48.59</v>
      </c>
      <c r="W689" s="69">
        <f t="shared" si="3730"/>
        <v>29.78</v>
      </c>
      <c r="X689" s="69">
        <f t="shared" ref="X689:AB689" si="3731">(SUM(B686:B689))/4</f>
        <v>115.515</v>
      </c>
      <c r="Y689" s="69">
        <f t="shared" si="3731"/>
        <v>86.664999999999992</v>
      </c>
      <c r="Z689" s="69">
        <f t="shared" si="3731"/>
        <v>68.772500000000008</v>
      </c>
      <c r="AA689" s="69">
        <f t="shared" si="3731"/>
        <v>48.625</v>
      </c>
      <c r="AB689" s="69">
        <f t="shared" si="3731"/>
        <v>29.77</v>
      </c>
      <c r="AC689" s="80">
        <f t="shared" ref="AC689:AF689" si="3732">(B689+C689)/2</f>
        <v>99.56</v>
      </c>
      <c r="AD689" s="80">
        <f t="shared" si="3732"/>
        <v>76.91</v>
      </c>
      <c r="AE689" s="80">
        <f t="shared" si="3732"/>
        <v>58.21</v>
      </c>
      <c r="AF689" s="80">
        <f t="shared" si="3732"/>
        <v>39.380000000000003</v>
      </c>
      <c r="AG689" s="69">
        <f t="shared" si="3360"/>
        <v>68.209999999999994</v>
      </c>
      <c r="AH689" s="69">
        <f t="shared" si="3361"/>
        <v>60.72</v>
      </c>
      <c r="AI689" s="51">
        <f t="shared" si="3726"/>
        <v>69.460000000000008</v>
      </c>
      <c r="AJ689" s="69">
        <f t="shared" si="3363"/>
        <v>67.521600000000007</v>
      </c>
      <c r="AK689" s="69">
        <f t="shared" si="3650"/>
        <v>33.835000000000001</v>
      </c>
      <c r="AL689" s="69">
        <f t="shared" si="3364"/>
        <v>36.8339</v>
      </c>
      <c r="AM689" s="7"/>
      <c r="AN689" s="79">
        <f t="shared" si="3499"/>
        <v>47.59</v>
      </c>
      <c r="AO689" s="69">
        <f t="shared" si="3366"/>
        <v>46.433095238095241</v>
      </c>
      <c r="AP689" s="81">
        <f t="shared" ref="AP689:AP699" si="3733">((AVERAGE(E687:E689)-1)*16300)-80000</f>
        <v>695554.00000000012</v>
      </c>
      <c r="AQ689" s="51">
        <f t="shared" si="3694"/>
        <v>70.222500000000011</v>
      </c>
      <c r="AR689" s="51">
        <f t="shared" si="3695"/>
        <v>73.147950000000009</v>
      </c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8"/>
      <c r="BK689" s="8"/>
      <c r="BL689" s="8"/>
      <c r="BM689" s="8"/>
    </row>
    <row r="690" spans="1:65" ht="30" hidden="1" customHeight="1" x14ac:dyDescent="0.45">
      <c r="A690" s="55">
        <f t="shared" si="3561"/>
        <v>45709</v>
      </c>
      <c r="B690" s="56">
        <v>111.68</v>
      </c>
      <c r="C690" s="56">
        <v>85.74</v>
      </c>
      <c r="D690" s="56">
        <v>69.12</v>
      </c>
      <c r="E690" s="56">
        <v>49.13</v>
      </c>
      <c r="F690" s="56">
        <v>30.82</v>
      </c>
      <c r="G690" s="56">
        <v>101.9</v>
      </c>
      <c r="H690" s="51">
        <f t="shared" ref="H690:M690" si="3734">B690-B689</f>
        <v>-1.3399999999999892</v>
      </c>
      <c r="I690" s="51">
        <f t="shared" si="3734"/>
        <v>-0.35999999999999943</v>
      </c>
      <c r="J690" s="51">
        <f t="shared" si="3734"/>
        <v>1.4000000000000057</v>
      </c>
      <c r="K690" s="51">
        <f t="shared" si="3734"/>
        <v>0.42999999999999972</v>
      </c>
      <c r="L690" s="51">
        <f t="shared" si="3734"/>
        <v>0.76000000000000156</v>
      </c>
      <c r="M690" s="42">
        <f t="shared" si="3734"/>
        <v>0.10000000000000853</v>
      </c>
      <c r="N690" s="69">
        <f t="shared" ref="N690:R690" si="3735">N689</f>
        <v>112.57250000000001</v>
      </c>
      <c r="O690" s="69">
        <f t="shared" si="3735"/>
        <v>85.752499999999998</v>
      </c>
      <c r="P690" s="69">
        <f t="shared" si="3735"/>
        <v>68.710000000000008</v>
      </c>
      <c r="Q690" s="69">
        <f t="shared" si="3735"/>
        <v>48.927500000000002</v>
      </c>
      <c r="R690" s="69">
        <f t="shared" si="3735"/>
        <v>30.4925</v>
      </c>
      <c r="S690" s="51">
        <f t="shared" ref="S690:T690" si="3736">(B689+B690)/2</f>
        <v>112.35</v>
      </c>
      <c r="T690" s="51">
        <f t="shared" si="3736"/>
        <v>85.919999999999987</v>
      </c>
      <c r="U690" s="51">
        <f t="shared" si="2884"/>
        <v>68.42</v>
      </c>
      <c r="V690" s="51">
        <f t="shared" ref="V690:W690" si="3737">(E689+E690)/2</f>
        <v>48.915000000000006</v>
      </c>
      <c r="W690" s="51">
        <f t="shared" si="3737"/>
        <v>30.439999999999998</v>
      </c>
      <c r="X690" s="51">
        <f t="shared" ref="X690:AB690" si="3738">(SUM(B687:B690))/4</f>
        <v>114.045</v>
      </c>
      <c r="Y690" s="51">
        <f t="shared" si="3738"/>
        <v>86.272500000000008</v>
      </c>
      <c r="Z690" s="51">
        <f t="shared" si="3738"/>
        <v>68.69</v>
      </c>
      <c r="AA690" s="51">
        <f t="shared" si="3738"/>
        <v>48.717500000000001</v>
      </c>
      <c r="AB690" s="51">
        <f t="shared" si="3738"/>
        <v>30.020000000000003</v>
      </c>
      <c r="AC690" s="80">
        <f t="shared" ref="AC690:AF690" si="3739">(B690+C690)/2</f>
        <v>98.710000000000008</v>
      </c>
      <c r="AD690" s="80">
        <f t="shared" si="3739"/>
        <v>77.430000000000007</v>
      </c>
      <c r="AE690" s="80">
        <f t="shared" si="3739"/>
        <v>59.125</v>
      </c>
      <c r="AF690" s="80">
        <f t="shared" si="3739"/>
        <v>39.975000000000001</v>
      </c>
      <c r="AG690" s="51">
        <f t="shared" si="3360"/>
        <v>68.73</v>
      </c>
      <c r="AH690" s="51">
        <f t="shared" si="3361"/>
        <v>62.120000000000005</v>
      </c>
      <c r="AI690" s="51">
        <f t="shared" si="3726"/>
        <v>69.460000000000008</v>
      </c>
      <c r="AJ690" s="51">
        <f t="shared" si="3363"/>
        <v>67.442400000000006</v>
      </c>
      <c r="AK690" s="51">
        <f t="shared" si="3650"/>
        <v>34.327500000000001</v>
      </c>
      <c r="AL690" s="51">
        <f t="shared" si="3364"/>
        <v>37.296849999999999</v>
      </c>
      <c r="AM690" s="7"/>
      <c r="AN690" s="52">
        <f t="shared" si="3499"/>
        <v>47.915000000000006</v>
      </c>
      <c r="AO690" s="51">
        <f t="shared" si="3366"/>
        <v>46.750357142857148</v>
      </c>
      <c r="AP690" s="76">
        <f t="shared" si="3733"/>
        <v>698651</v>
      </c>
      <c r="AQ690" s="51">
        <f t="shared" si="3694"/>
        <v>70.14</v>
      </c>
      <c r="AR690" s="51">
        <f t="shared" si="3695"/>
        <v>73.063800000000001</v>
      </c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82"/>
      <c r="BK690" s="8"/>
      <c r="BL690" s="8"/>
      <c r="BM690" s="8"/>
    </row>
    <row r="691" spans="1:65" ht="30" hidden="1" customHeight="1" x14ac:dyDescent="0.45">
      <c r="A691" s="72">
        <f t="shared" si="3561"/>
        <v>45716</v>
      </c>
      <c r="B691" s="56">
        <v>110.42</v>
      </c>
      <c r="C691" s="56">
        <v>84.75</v>
      </c>
      <c r="D691" s="56">
        <v>69.22</v>
      </c>
      <c r="E691" s="56">
        <v>49.4</v>
      </c>
      <c r="F691" s="56">
        <v>31.59</v>
      </c>
      <c r="G691" s="56">
        <v>98.46</v>
      </c>
      <c r="H691" s="69">
        <f t="shared" ref="H691:M691" si="3740">B691-B690</f>
        <v>-1.2600000000000051</v>
      </c>
      <c r="I691" s="69">
        <f t="shared" si="3740"/>
        <v>-0.98999999999999488</v>
      </c>
      <c r="J691" s="69">
        <f t="shared" si="3740"/>
        <v>9.9999999999994316E-2</v>
      </c>
      <c r="K691" s="69">
        <f t="shared" si="3740"/>
        <v>0.26999999999999602</v>
      </c>
      <c r="L691" s="69">
        <f t="shared" si="3740"/>
        <v>0.76999999999999957</v>
      </c>
      <c r="M691" s="42">
        <f t="shared" si="3740"/>
        <v>-3.4400000000000119</v>
      </c>
      <c r="N691" s="69">
        <f t="shared" ref="N691:R691" si="3741">N690</f>
        <v>112.57250000000001</v>
      </c>
      <c r="O691" s="69">
        <f t="shared" si="3741"/>
        <v>85.752499999999998</v>
      </c>
      <c r="P691" s="69">
        <f t="shared" si="3741"/>
        <v>68.710000000000008</v>
      </c>
      <c r="Q691" s="69">
        <f t="shared" si="3741"/>
        <v>48.927500000000002</v>
      </c>
      <c r="R691" s="69">
        <f t="shared" si="3741"/>
        <v>30.4925</v>
      </c>
      <c r="S691" s="69">
        <f t="shared" ref="S691:T691" si="3742">(B690+B691)/2</f>
        <v>111.05000000000001</v>
      </c>
      <c r="T691" s="69">
        <f t="shared" si="3742"/>
        <v>85.245000000000005</v>
      </c>
      <c r="U691" s="69">
        <f t="shared" si="2884"/>
        <v>69.17</v>
      </c>
      <c r="V691" s="69">
        <f t="shared" ref="V691:W691" si="3743">(E690+E691)/2</f>
        <v>49.265000000000001</v>
      </c>
      <c r="W691" s="69">
        <f t="shared" si="3743"/>
        <v>31.204999999999998</v>
      </c>
      <c r="X691" s="69">
        <f t="shared" ref="X691:AB691" si="3744">(SUM(B688:B691))/4</f>
        <v>112.57250000000001</v>
      </c>
      <c r="Y691" s="69">
        <f t="shared" si="3744"/>
        <v>85.752499999999998</v>
      </c>
      <c r="Z691" s="69">
        <f t="shared" si="3744"/>
        <v>68.710000000000008</v>
      </c>
      <c r="AA691" s="69">
        <f t="shared" si="3744"/>
        <v>48.927500000000002</v>
      </c>
      <c r="AB691" s="69">
        <f t="shared" si="3744"/>
        <v>30.4925</v>
      </c>
      <c r="AC691" s="80">
        <f t="shared" ref="AC691:AF691" si="3745">(B691+C691)/2</f>
        <v>97.585000000000008</v>
      </c>
      <c r="AD691" s="80">
        <f t="shared" si="3745"/>
        <v>76.984999999999999</v>
      </c>
      <c r="AE691" s="80">
        <f t="shared" si="3745"/>
        <v>59.31</v>
      </c>
      <c r="AF691" s="80">
        <f t="shared" si="3745"/>
        <v>40.494999999999997</v>
      </c>
      <c r="AG691" s="69">
        <f t="shared" si="3360"/>
        <v>68.284999999999997</v>
      </c>
      <c r="AH691" s="69">
        <f t="shared" si="3361"/>
        <v>62.22</v>
      </c>
      <c r="AI691" s="69">
        <f t="shared" si="3726"/>
        <v>69.460000000000008</v>
      </c>
      <c r="AJ691" s="69">
        <f t="shared" si="3363"/>
        <v>67.461600000000018</v>
      </c>
      <c r="AK691" s="69">
        <f t="shared" si="3650"/>
        <v>34.884999999999998</v>
      </c>
      <c r="AL691" s="69">
        <f t="shared" si="3364"/>
        <v>37.820899999999995</v>
      </c>
      <c r="AM691" s="7"/>
      <c r="AN691" s="79">
        <f t="shared" si="3499"/>
        <v>48.265000000000001</v>
      </c>
      <c r="AO691" s="69">
        <f t="shared" si="3366"/>
        <v>47.092023809523809</v>
      </c>
      <c r="AP691" s="81">
        <f t="shared" si="3733"/>
        <v>703649.66666666686</v>
      </c>
      <c r="AQ691" s="51">
        <f t="shared" si="3694"/>
        <v>70.160000000000011</v>
      </c>
      <c r="AR691" s="51">
        <f t="shared" si="3695"/>
        <v>73.08420000000001</v>
      </c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8"/>
      <c r="BK691" s="8"/>
      <c r="BL691" s="8"/>
      <c r="BM691" s="8"/>
    </row>
    <row r="692" spans="1:65" ht="30" hidden="1" customHeight="1" x14ac:dyDescent="0.45">
      <c r="A692" s="55">
        <f t="shared" si="3561"/>
        <v>45723</v>
      </c>
      <c r="B692" s="56">
        <v>110.31</v>
      </c>
      <c r="C692" s="56">
        <v>85.23</v>
      </c>
      <c r="D692" s="56">
        <v>69.97</v>
      </c>
      <c r="E692" s="56">
        <v>49.86</v>
      </c>
      <c r="F692" s="56">
        <v>32.03</v>
      </c>
      <c r="G692" s="56">
        <v>96.41</v>
      </c>
      <c r="H692" s="83">
        <f t="shared" ref="H692:M692" si="3746">B692-B691</f>
        <v>-0.10999999999999943</v>
      </c>
      <c r="I692" s="51">
        <f t="shared" si="3746"/>
        <v>0.48000000000000398</v>
      </c>
      <c r="J692" s="51">
        <f t="shared" si="3746"/>
        <v>0.75</v>
      </c>
      <c r="K692" s="51">
        <f t="shared" si="3746"/>
        <v>0.46000000000000085</v>
      </c>
      <c r="L692" s="51">
        <f t="shared" si="3746"/>
        <v>0.44000000000000128</v>
      </c>
      <c r="M692" s="42">
        <f t="shared" si="3746"/>
        <v>-2.0499999999999972</v>
      </c>
      <c r="N692" s="69">
        <f t="shared" ref="N692:R692" si="3747">AVERAGE(B692:B695)</f>
        <v>110.41250000000001</v>
      </c>
      <c r="O692" s="69">
        <f t="shared" si="3747"/>
        <v>84.965000000000003</v>
      </c>
      <c r="P692" s="69">
        <f t="shared" si="3747"/>
        <v>69.215000000000003</v>
      </c>
      <c r="Q692" s="69">
        <f t="shared" si="3747"/>
        <v>49.78</v>
      </c>
      <c r="R692" s="69">
        <f t="shared" si="3747"/>
        <v>32.375</v>
      </c>
      <c r="S692" s="51">
        <f t="shared" ref="S692:T692" si="3748">(B691+B692)/2</f>
        <v>110.36500000000001</v>
      </c>
      <c r="T692" s="51">
        <f t="shared" si="3748"/>
        <v>84.990000000000009</v>
      </c>
      <c r="U692" s="51">
        <f t="shared" si="2884"/>
        <v>69.594999999999999</v>
      </c>
      <c r="V692" s="51">
        <f t="shared" ref="V692:W692" si="3749">(E691+E692)/2</f>
        <v>49.629999999999995</v>
      </c>
      <c r="W692" s="51">
        <f t="shared" si="3749"/>
        <v>31.810000000000002</v>
      </c>
      <c r="X692" s="51">
        <f t="shared" ref="X692:AB692" si="3750">(SUM(B689:B692))/4</f>
        <v>111.3575</v>
      </c>
      <c r="Y692" s="51">
        <f t="shared" si="3750"/>
        <v>85.454999999999998</v>
      </c>
      <c r="Z692" s="51">
        <f t="shared" si="3750"/>
        <v>69.007499999999993</v>
      </c>
      <c r="AA692" s="51">
        <f t="shared" si="3750"/>
        <v>49.272500000000008</v>
      </c>
      <c r="AB692" s="51">
        <f t="shared" si="3750"/>
        <v>31.125</v>
      </c>
      <c r="AC692" s="80">
        <f t="shared" ref="AC692:AF692" si="3751">(B692+C692)/2</f>
        <v>97.77000000000001</v>
      </c>
      <c r="AD692" s="80">
        <f t="shared" si="3751"/>
        <v>77.599999999999994</v>
      </c>
      <c r="AE692" s="80">
        <f t="shared" si="3751"/>
        <v>59.914999999999999</v>
      </c>
      <c r="AF692" s="80">
        <f t="shared" si="3751"/>
        <v>40.945</v>
      </c>
      <c r="AG692" s="51">
        <f t="shared" si="3360"/>
        <v>68.899999999999991</v>
      </c>
      <c r="AH692" s="51">
        <f t="shared" si="3361"/>
        <v>62.97</v>
      </c>
      <c r="AI692" s="51">
        <f t="shared" si="3726"/>
        <v>69.965000000000003</v>
      </c>
      <c r="AJ692" s="51">
        <f t="shared" si="3363"/>
        <v>67.747199999999992</v>
      </c>
      <c r="AK692" s="51">
        <f t="shared" si="3650"/>
        <v>35.369999999999997</v>
      </c>
      <c r="AL692" s="51">
        <f t="shared" si="3364"/>
        <v>38.276799999999994</v>
      </c>
      <c r="AM692" s="7"/>
      <c r="AN692" s="52">
        <f t="shared" si="3499"/>
        <v>48.629999999999995</v>
      </c>
      <c r="AO692" s="51">
        <f t="shared" si="3366"/>
        <v>47.448333333333323</v>
      </c>
      <c r="AP692" s="76">
        <f t="shared" si="3733"/>
        <v>709952.33333333326</v>
      </c>
      <c r="AQ692" s="51">
        <f t="shared" si="3694"/>
        <v>70.457499999999996</v>
      </c>
      <c r="AR692" s="51">
        <f t="shared" si="3695"/>
        <v>73.387649999999994</v>
      </c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8"/>
      <c r="BK692" s="8"/>
      <c r="BL692" s="8"/>
      <c r="BM692" s="8"/>
    </row>
    <row r="693" spans="1:65" ht="30" hidden="1" customHeight="1" x14ac:dyDescent="0.45">
      <c r="A693" s="55">
        <f t="shared" si="3561"/>
        <v>45730</v>
      </c>
      <c r="B693" s="56">
        <v>110.89</v>
      </c>
      <c r="C693" s="56">
        <v>85.37</v>
      </c>
      <c r="D693" s="56">
        <v>69.58</v>
      </c>
      <c r="E693" s="56">
        <v>49.92</v>
      </c>
      <c r="F693" s="56">
        <v>32.28</v>
      </c>
      <c r="G693" s="56">
        <v>101.09</v>
      </c>
      <c r="H693" s="83">
        <f t="shared" ref="H693:M693" si="3752">B693-B692</f>
        <v>0.57999999999999829</v>
      </c>
      <c r="I693" s="51">
        <f t="shared" si="3752"/>
        <v>0.14000000000000057</v>
      </c>
      <c r="J693" s="51">
        <f t="shared" si="3752"/>
        <v>-0.39000000000000057</v>
      </c>
      <c r="K693" s="51">
        <f t="shared" si="3752"/>
        <v>6.0000000000002274E-2</v>
      </c>
      <c r="L693" s="51">
        <f t="shared" si="3752"/>
        <v>0.25</v>
      </c>
      <c r="M693" s="42">
        <f t="shared" si="3752"/>
        <v>4.6800000000000068</v>
      </c>
      <c r="N693" s="69">
        <f t="shared" ref="N693:R693" si="3753">N692</f>
        <v>110.41250000000001</v>
      </c>
      <c r="O693" s="69">
        <f t="shared" si="3753"/>
        <v>84.965000000000003</v>
      </c>
      <c r="P693" s="69">
        <f t="shared" si="3753"/>
        <v>69.215000000000003</v>
      </c>
      <c r="Q693" s="69">
        <f t="shared" si="3753"/>
        <v>49.78</v>
      </c>
      <c r="R693" s="69">
        <f t="shared" si="3753"/>
        <v>32.375</v>
      </c>
      <c r="S693" s="51">
        <f t="shared" ref="S693:T693" si="3754">(B692+B693)/2</f>
        <v>110.6</v>
      </c>
      <c r="T693" s="51">
        <f t="shared" si="3754"/>
        <v>85.300000000000011</v>
      </c>
      <c r="U693" s="51">
        <f t="shared" si="2884"/>
        <v>69.775000000000006</v>
      </c>
      <c r="V693" s="51">
        <f t="shared" ref="V693:W693" si="3755">(E692+E693)/2</f>
        <v>49.89</v>
      </c>
      <c r="W693" s="51">
        <f t="shared" si="3755"/>
        <v>32.155000000000001</v>
      </c>
      <c r="X693" s="51">
        <f t="shared" ref="X693:AB693" si="3756">(SUM(B690:B693))/4</f>
        <v>110.825</v>
      </c>
      <c r="Y693" s="51">
        <f t="shared" si="3756"/>
        <v>85.272500000000008</v>
      </c>
      <c r="Z693" s="51">
        <f t="shared" si="3756"/>
        <v>69.472499999999997</v>
      </c>
      <c r="AA693" s="51">
        <f t="shared" si="3756"/>
        <v>49.577500000000001</v>
      </c>
      <c r="AB693" s="51">
        <f t="shared" si="3756"/>
        <v>31.68</v>
      </c>
      <c r="AC693" s="80">
        <f t="shared" ref="AC693:AF693" si="3757">(B693+C693)/2</f>
        <v>98.13</v>
      </c>
      <c r="AD693" s="80">
        <f t="shared" si="3757"/>
        <v>77.474999999999994</v>
      </c>
      <c r="AE693" s="80">
        <f t="shared" si="3757"/>
        <v>59.75</v>
      </c>
      <c r="AF693" s="80">
        <f t="shared" si="3757"/>
        <v>41.1</v>
      </c>
      <c r="AG693" s="51">
        <f t="shared" si="3360"/>
        <v>68.774999999999991</v>
      </c>
      <c r="AH693" s="51">
        <f t="shared" si="3361"/>
        <v>62.58</v>
      </c>
      <c r="AI693" s="51">
        <f t="shared" si="3726"/>
        <v>69.965000000000003</v>
      </c>
      <c r="AJ693" s="51">
        <f t="shared" si="3363"/>
        <v>68.193600000000004</v>
      </c>
      <c r="AK693" s="51">
        <f t="shared" si="3650"/>
        <v>35.672499999999999</v>
      </c>
      <c r="AL693" s="51">
        <f t="shared" si="3364"/>
        <v>38.561149999999998</v>
      </c>
      <c r="AM693" s="7"/>
      <c r="AN693" s="52">
        <f t="shared" si="3499"/>
        <v>48.89</v>
      </c>
      <c r="AO693" s="51">
        <f t="shared" si="3366"/>
        <v>47.70214285714286</v>
      </c>
      <c r="AP693" s="76">
        <f t="shared" si="3733"/>
        <v>714244.66666666663</v>
      </c>
      <c r="AQ693" s="51">
        <f t="shared" si="3694"/>
        <v>70.922499999999999</v>
      </c>
      <c r="AR693" s="51">
        <f t="shared" si="3695"/>
        <v>73.861949999999993</v>
      </c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82"/>
      <c r="BK693" s="8"/>
      <c r="BL693" s="8"/>
      <c r="BM693" s="8"/>
    </row>
    <row r="694" spans="1:65" ht="30" hidden="1" customHeight="1" x14ac:dyDescent="0.45">
      <c r="A694" s="72">
        <f t="shared" si="3561"/>
        <v>45737</v>
      </c>
      <c r="B694" s="56">
        <v>111.03</v>
      </c>
      <c r="C694" s="56">
        <v>85.13</v>
      </c>
      <c r="D694" s="56">
        <v>69.349999999999994</v>
      </c>
      <c r="E694" s="56">
        <v>49.68</v>
      </c>
      <c r="F694" s="56">
        <v>32.36</v>
      </c>
      <c r="G694" s="56">
        <v>93.93</v>
      </c>
      <c r="H694" s="84">
        <f t="shared" ref="H694:M694" si="3758">B694-B693</f>
        <v>0.14000000000000057</v>
      </c>
      <c r="I694" s="69">
        <f t="shared" si="3758"/>
        <v>-0.24000000000000909</v>
      </c>
      <c r="J694" s="69">
        <f t="shared" si="3758"/>
        <v>-0.23000000000000398</v>
      </c>
      <c r="K694" s="69">
        <f t="shared" si="3758"/>
        <v>-0.24000000000000199</v>
      </c>
      <c r="L694" s="69">
        <f t="shared" si="3758"/>
        <v>7.9999999999998295E-2</v>
      </c>
      <c r="M694" s="42">
        <f t="shared" si="3758"/>
        <v>-7.1599999999999966</v>
      </c>
      <c r="N694" s="69">
        <f t="shared" ref="N694:R694" si="3759">N693</f>
        <v>110.41250000000001</v>
      </c>
      <c r="O694" s="69">
        <f t="shared" si="3759"/>
        <v>84.965000000000003</v>
      </c>
      <c r="P694" s="69">
        <f t="shared" si="3759"/>
        <v>69.215000000000003</v>
      </c>
      <c r="Q694" s="69">
        <f t="shared" si="3759"/>
        <v>49.78</v>
      </c>
      <c r="R694" s="69">
        <f t="shared" si="3759"/>
        <v>32.375</v>
      </c>
      <c r="S694" s="69">
        <f t="shared" ref="S694:W694" si="3760">(B693+B694)/2</f>
        <v>110.96000000000001</v>
      </c>
      <c r="T694" s="69">
        <f t="shared" si="3760"/>
        <v>85.25</v>
      </c>
      <c r="U694" s="69">
        <f t="shared" si="3760"/>
        <v>69.465000000000003</v>
      </c>
      <c r="V694" s="69">
        <f t="shared" si="3760"/>
        <v>49.8</v>
      </c>
      <c r="W694" s="69">
        <f t="shared" si="3760"/>
        <v>32.32</v>
      </c>
      <c r="X694" s="69">
        <f t="shared" ref="X694:AB694" si="3761">(SUM(B691:B694))/4</f>
        <v>110.66249999999999</v>
      </c>
      <c r="Y694" s="69">
        <f t="shared" si="3761"/>
        <v>85.12</v>
      </c>
      <c r="Z694" s="69">
        <f t="shared" si="3761"/>
        <v>69.53</v>
      </c>
      <c r="AA694" s="69">
        <f t="shared" si="3761"/>
        <v>49.715000000000003</v>
      </c>
      <c r="AB694" s="69">
        <f t="shared" si="3761"/>
        <v>32.064999999999998</v>
      </c>
      <c r="AC694" s="80">
        <f t="shared" ref="AC694:AF694" si="3762">(B694+C694)/2</f>
        <v>98.08</v>
      </c>
      <c r="AD694" s="80">
        <f t="shared" si="3762"/>
        <v>77.239999999999995</v>
      </c>
      <c r="AE694" s="80">
        <f t="shared" si="3762"/>
        <v>59.515000000000001</v>
      </c>
      <c r="AF694" s="80">
        <f t="shared" si="3762"/>
        <v>41.019999999999996</v>
      </c>
      <c r="AG694" s="69">
        <f t="shared" si="3360"/>
        <v>68.539999999999992</v>
      </c>
      <c r="AH694" s="69">
        <f t="shared" si="3361"/>
        <v>62.349999999999994</v>
      </c>
      <c r="AI694" s="51">
        <f t="shared" si="3726"/>
        <v>69.965000000000003</v>
      </c>
      <c r="AJ694" s="69">
        <f t="shared" si="3363"/>
        <v>68.248800000000003</v>
      </c>
      <c r="AK694" s="69">
        <f t="shared" si="3650"/>
        <v>35.71</v>
      </c>
      <c r="AL694" s="69">
        <f t="shared" si="3364"/>
        <v>38.596400000000003</v>
      </c>
      <c r="AM694" s="7"/>
      <c r="AN694" s="79">
        <f t="shared" si="3499"/>
        <v>48.8</v>
      </c>
      <c r="AO694" s="69">
        <f t="shared" si="3366"/>
        <v>47.614285714285714</v>
      </c>
      <c r="AP694" s="81">
        <f t="shared" si="3733"/>
        <v>715766</v>
      </c>
      <c r="AQ694" s="51">
        <f t="shared" si="3694"/>
        <v>70.98</v>
      </c>
      <c r="AR694" s="51">
        <f t="shared" si="3695"/>
        <v>73.920600000000007</v>
      </c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8"/>
      <c r="BK694" s="8"/>
      <c r="BL694" s="8"/>
      <c r="BM694" s="8"/>
    </row>
    <row r="695" spans="1:65" ht="30" hidden="1" customHeight="1" x14ac:dyDescent="0.45">
      <c r="A695" s="55">
        <f t="shared" si="3561"/>
        <v>45744</v>
      </c>
      <c r="B695" s="56">
        <v>109.42</v>
      </c>
      <c r="C695" s="56">
        <v>84.13</v>
      </c>
      <c r="D695" s="56">
        <v>67.959999999999994</v>
      </c>
      <c r="E695" s="56">
        <v>49.66</v>
      </c>
      <c r="F695" s="56">
        <v>32.83</v>
      </c>
      <c r="G695" s="56">
        <v>94.98</v>
      </c>
      <c r="H695" s="83">
        <f t="shared" ref="H695:M695" si="3763">B695-B694</f>
        <v>-1.6099999999999994</v>
      </c>
      <c r="I695" s="51">
        <f t="shared" si="3763"/>
        <v>-1</v>
      </c>
      <c r="J695" s="51">
        <f t="shared" si="3763"/>
        <v>-1.3900000000000006</v>
      </c>
      <c r="K695" s="51">
        <f t="shared" si="3763"/>
        <v>-2.0000000000003126E-2</v>
      </c>
      <c r="L695" s="51">
        <f t="shared" si="3763"/>
        <v>0.46999999999999886</v>
      </c>
      <c r="M695" s="42">
        <f t="shared" si="3763"/>
        <v>1.0499999999999972</v>
      </c>
      <c r="N695" s="51">
        <f t="shared" ref="N695:R695" si="3764">N694</f>
        <v>110.41250000000001</v>
      </c>
      <c r="O695" s="51">
        <f t="shared" si="3764"/>
        <v>84.965000000000003</v>
      </c>
      <c r="P695" s="51">
        <f t="shared" si="3764"/>
        <v>69.215000000000003</v>
      </c>
      <c r="Q695" s="51">
        <f t="shared" si="3764"/>
        <v>49.78</v>
      </c>
      <c r="R695" s="51">
        <f t="shared" si="3764"/>
        <v>32.375</v>
      </c>
      <c r="S695" s="51">
        <f t="shared" ref="S695:W695" si="3765">(B694+B695)/2</f>
        <v>110.22499999999999</v>
      </c>
      <c r="T695" s="51">
        <f t="shared" si="3765"/>
        <v>84.63</v>
      </c>
      <c r="U695" s="51">
        <f t="shared" si="3765"/>
        <v>68.655000000000001</v>
      </c>
      <c r="V695" s="51">
        <f t="shared" si="3765"/>
        <v>49.67</v>
      </c>
      <c r="W695" s="51">
        <f t="shared" si="3765"/>
        <v>32.594999999999999</v>
      </c>
      <c r="X695" s="51">
        <f t="shared" ref="X695:AB695" si="3766">(SUM(B692:B695))/4</f>
        <v>110.41250000000001</v>
      </c>
      <c r="Y695" s="51">
        <f t="shared" si="3766"/>
        <v>84.965000000000003</v>
      </c>
      <c r="Z695" s="51">
        <f t="shared" si="3766"/>
        <v>69.215000000000003</v>
      </c>
      <c r="AA695" s="51">
        <f t="shared" si="3766"/>
        <v>49.78</v>
      </c>
      <c r="AB695" s="51">
        <f t="shared" si="3766"/>
        <v>32.375</v>
      </c>
      <c r="AC695" s="80">
        <f t="shared" ref="AC695:AF695" si="3767">(B695+C695)/2</f>
        <v>96.775000000000006</v>
      </c>
      <c r="AD695" s="80">
        <f t="shared" si="3767"/>
        <v>76.044999999999987</v>
      </c>
      <c r="AE695" s="80">
        <f t="shared" si="3767"/>
        <v>58.809999999999995</v>
      </c>
      <c r="AF695" s="80">
        <f t="shared" si="3767"/>
        <v>41.244999999999997</v>
      </c>
      <c r="AG695" s="51">
        <f t="shared" si="3360"/>
        <v>67.344999999999985</v>
      </c>
      <c r="AH695" s="51">
        <f t="shared" si="3361"/>
        <v>60.959999999999994</v>
      </c>
      <c r="AI695" s="51">
        <f t="shared" si="3726"/>
        <v>69.965000000000003</v>
      </c>
      <c r="AJ695" s="51">
        <f t="shared" si="3363"/>
        <v>67.946399999999997</v>
      </c>
      <c r="AK695" s="51">
        <f t="shared" si="3650"/>
        <v>35.782499999999999</v>
      </c>
      <c r="AL695" s="51">
        <f t="shared" si="3364"/>
        <v>38.664549999999998</v>
      </c>
      <c r="AM695" s="7"/>
      <c r="AN695" s="52">
        <f t="shared" si="3499"/>
        <v>48.67</v>
      </c>
      <c r="AO695" s="51">
        <f t="shared" si="3366"/>
        <v>47.487380952380953</v>
      </c>
      <c r="AP695" s="76">
        <f t="shared" si="3733"/>
        <v>714679.33333333326</v>
      </c>
      <c r="AQ695" s="51">
        <f t="shared" si="3694"/>
        <v>70.665000000000006</v>
      </c>
      <c r="AR695" s="51">
        <f t="shared" si="3695"/>
        <v>73.599299999999999</v>
      </c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8"/>
      <c r="BK695" s="8"/>
      <c r="BL695" s="8"/>
      <c r="BM695" s="8"/>
    </row>
    <row r="696" spans="1:65" ht="30" hidden="1" customHeight="1" x14ac:dyDescent="0.45">
      <c r="A696" s="72">
        <f t="shared" si="3561"/>
        <v>45751</v>
      </c>
      <c r="B696" s="56">
        <v>109.04</v>
      </c>
      <c r="C696" s="56">
        <v>82.91</v>
      </c>
      <c r="D696" s="56">
        <v>67.150000000000006</v>
      </c>
      <c r="E696" s="56">
        <v>49.86</v>
      </c>
      <c r="F696" s="56">
        <v>33.04</v>
      </c>
      <c r="G696" s="56">
        <v>97.84</v>
      </c>
      <c r="H696" s="84">
        <f t="shared" ref="H696:M696" si="3768">B696-B695</f>
        <v>-0.37999999999999545</v>
      </c>
      <c r="I696" s="69">
        <f t="shared" si="3768"/>
        <v>-1.2199999999999989</v>
      </c>
      <c r="J696" s="69">
        <f t="shared" si="3768"/>
        <v>-0.80999999999998806</v>
      </c>
      <c r="K696" s="69">
        <f t="shared" si="3768"/>
        <v>0.20000000000000284</v>
      </c>
      <c r="L696" s="69">
        <f t="shared" si="3768"/>
        <v>0.21000000000000085</v>
      </c>
      <c r="M696" s="85">
        <f t="shared" si="3768"/>
        <v>2.8599999999999994</v>
      </c>
      <c r="N696" s="69">
        <f t="shared" ref="N696:R696" si="3769">AVERAGE(B696:B699)</f>
        <v>107.44</v>
      </c>
      <c r="O696" s="69">
        <f t="shared" si="3769"/>
        <v>81.962500000000006</v>
      </c>
      <c r="P696" s="69">
        <f t="shared" si="3769"/>
        <v>65.092500000000001</v>
      </c>
      <c r="Q696" s="69">
        <f t="shared" si="3769"/>
        <v>49.59</v>
      </c>
      <c r="R696" s="69">
        <f t="shared" si="3769"/>
        <v>33.252499999999998</v>
      </c>
      <c r="S696" s="69">
        <f t="shared" ref="S696:W696" si="3770">(B695+B696)/2</f>
        <v>109.23</v>
      </c>
      <c r="T696" s="69">
        <f t="shared" si="3770"/>
        <v>83.52</v>
      </c>
      <c r="U696" s="69">
        <f t="shared" si="3770"/>
        <v>67.555000000000007</v>
      </c>
      <c r="V696" s="69">
        <f t="shared" si="3770"/>
        <v>49.76</v>
      </c>
      <c r="W696" s="69">
        <f t="shared" si="3770"/>
        <v>32.935000000000002</v>
      </c>
      <c r="X696" s="69">
        <f t="shared" ref="X696:AB696" si="3771">(SUM(B693:B696))/4</f>
        <v>110.09500000000001</v>
      </c>
      <c r="Y696" s="69">
        <f t="shared" si="3771"/>
        <v>84.384999999999991</v>
      </c>
      <c r="Z696" s="69">
        <f t="shared" si="3771"/>
        <v>68.509999999999991</v>
      </c>
      <c r="AA696" s="69">
        <f t="shared" si="3771"/>
        <v>49.78</v>
      </c>
      <c r="AB696" s="69">
        <f t="shared" si="3771"/>
        <v>32.627499999999998</v>
      </c>
      <c r="AC696" s="80">
        <f t="shared" ref="AC696:AF696" si="3772">(B696+C696)/2</f>
        <v>95.974999999999994</v>
      </c>
      <c r="AD696" s="80">
        <f t="shared" si="3772"/>
        <v>75.03</v>
      </c>
      <c r="AE696" s="80">
        <f t="shared" si="3772"/>
        <v>58.505000000000003</v>
      </c>
      <c r="AF696" s="80">
        <f t="shared" si="3772"/>
        <v>41.45</v>
      </c>
      <c r="AG696" s="69">
        <f t="shared" si="3360"/>
        <v>66.33</v>
      </c>
      <c r="AH696" s="69">
        <f t="shared" si="3361"/>
        <v>60.150000000000006</v>
      </c>
      <c r="AI696" s="51">
        <f t="shared" si="3726"/>
        <v>65.842500000000001</v>
      </c>
      <c r="AJ696" s="51">
        <f t="shared" ref="AJ696:AJ744" si="3773">(Z696*4800/5000)+1.15</f>
        <v>66.919599999999988</v>
      </c>
      <c r="AK696" s="69">
        <f t="shared" si="3650"/>
        <v>35.997499999999995</v>
      </c>
      <c r="AL696" s="69">
        <f t="shared" si="3364"/>
        <v>38.866649999999993</v>
      </c>
      <c r="AM696" s="7"/>
      <c r="AN696" s="79">
        <f t="shared" si="3499"/>
        <v>48.76</v>
      </c>
      <c r="AO696" s="69">
        <f t="shared" si="3366"/>
        <v>47.575238095238092</v>
      </c>
      <c r="AP696" s="81">
        <f t="shared" si="3733"/>
        <v>714353.33333333326</v>
      </c>
      <c r="AQ696" s="51">
        <f t="shared" si="3694"/>
        <v>69.959999999999994</v>
      </c>
      <c r="AR696" s="51">
        <f t="shared" si="3695"/>
        <v>72.880199999999988</v>
      </c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8"/>
      <c r="BK696" s="8"/>
      <c r="BL696" s="8"/>
      <c r="BM696" s="8"/>
    </row>
    <row r="697" spans="1:65" ht="30" hidden="1" customHeight="1" x14ac:dyDescent="0.45">
      <c r="A697" s="55">
        <f t="shared" si="3561"/>
        <v>45758</v>
      </c>
      <c r="B697" s="56">
        <v>108.14</v>
      </c>
      <c r="C697" s="56">
        <v>82.52</v>
      </c>
      <c r="D697" s="56">
        <v>65.45</v>
      </c>
      <c r="E697" s="56">
        <v>49.89</v>
      </c>
      <c r="F697" s="56">
        <v>33.090000000000003</v>
      </c>
      <c r="G697" s="56">
        <v>94.44</v>
      </c>
      <c r="H697" s="83">
        <f t="shared" ref="H697:M697" si="3774">B697-B696</f>
        <v>-0.90000000000000568</v>
      </c>
      <c r="I697" s="51">
        <f t="shared" si="3774"/>
        <v>-0.39000000000000057</v>
      </c>
      <c r="J697" s="51">
        <f t="shared" si="3774"/>
        <v>-1.7000000000000028</v>
      </c>
      <c r="K697" s="51">
        <f t="shared" si="3774"/>
        <v>3.0000000000001137E-2</v>
      </c>
      <c r="L697" s="51">
        <f t="shared" si="3774"/>
        <v>5.0000000000004263E-2</v>
      </c>
      <c r="M697" s="85">
        <f t="shared" si="3774"/>
        <v>-3.4000000000000057</v>
      </c>
      <c r="N697" s="69">
        <f t="shared" ref="N697:R697" si="3775">N696</f>
        <v>107.44</v>
      </c>
      <c r="O697" s="69">
        <f t="shared" si="3775"/>
        <v>81.962500000000006</v>
      </c>
      <c r="P697" s="69">
        <f t="shared" si="3775"/>
        <v>65.092500000000001</v>
      </c>
      <c r="Q697" s="69">
        <f t="shared" si="3775"/>
        <v>49.59</v>
      </c>
      <c r="R697" s="69">
        <f t="shared" si="3775"/>
        <v>33.252499999999998</v>
      </c>
      <c r="S697" s="51">
        <f t="shared" ref="S697:W697" si="3776">(B696+B697)/2</f>
        <v>108.59</v>
      </c>
      <c r="T697" s="51">
        <f t="shared" si="3776"/>
        <v>82.715000000000003</v>
      </c>
      <c r="U697" s="51">
        <f t="shared" si="3776"/>
        <v>66.300000000000011</v>
      </c>
      <c r="V697" s="51">
        <f t="shared" si="3776"/>
        <v>49.875</v>
      </c>
      <c r="W697" s="51">
        <f t="shared" si="3776"/>
        <v>33.064999999999998</v>
      </c>
      <c r="X697" s="51">
        <f t="shared" ref="X697:AB697" si="3777">(SUM(B694:B697))/4</f>
        <v>109.4075</v>
      </c>
      <c r="Y697" s="51">
        <f t="shared" si="3777"/>
        <v>83.672499999999999</v>
      </c>
      <c r="Z697" s="51">
        <f t="shared" si="3777"/>
        <v>67.477500000000006</v>
      </c>
      <c r="AA697" s="51">
        <f t="shared" si="3777"/>
        <v>49.772499999999994</v>
      </c>
      <c r="AB697" s="51">
        <f t="shared" si="3777"/>
        <v>32.83</v>
      </c>
      <c r="AC697" s="80">
        <f t="shared" ref="AC697:AF697" si="3778">(B697+C697)/2</f>
        <v>95.33</v>
      </c>
      <c r="AD697" s="80">
        <f t="shared" si="3778"/>
        <v>73.984999999999999</v>
      </c>
      <c r="AE697" s="80">
        <f t="shared" si="3778"/>
        <v>57.67</v>
      </c>
      <c r="AF697" s="80">
        <f t="shared" si="3778"/>
        <v>41.49</v>
      </c>
      <c r="AG697" s="51">
        <f t="shared" si="3360"/>
        <v>65.284999999999997</v>
      </c>
      <c r="AH697" s="51">
        <f t="shared" si="3361"/>
        <v>58.45</v>
      </c>
      <c r="AI697" s="51">
        <f t="shared" si="3726"/>
        <v>65.842500000000001</v>
      </c>
      <c r="AJ697" s="51">
        <f t="shared" si="3773"/>
        <v>65.928400000000011</v>
      </c>
      <c r="AK697" s="51">
        <f t="shared" si="3650"/>
        <v>36.119999999999997</v>
      </c>
      <c r="AL697" s="51">
        <f t="shared" si="3364"/>
        <v>38.9818</v>
      </c>
      <c r="AM697" s="7"/>
      <c r="AN697" s="52">
        <f t="shared" si="3499"/>
        <v>48.875</v>
      </c>
      <c r="AO697" s="51">
        <f t="shared" si="3366"/>
        <v>47.6875</v>
      </c>
      <c r="AP697" s="76">
        <f t="shared" si="3733"/>
        <v>715494.33333333337</v>
      </c>
      <c r="AQ697" s="51">
        <f t="shared" si="3694"/>
        <v>68.927500000000009</v>
      </c>
      <c r="AR697" s="51">
        <f t="shared" si="3695"/>
        <v>71.827050000000014</v>
      </c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8"/>
      <c r="BK697" s="8"/>
      <c r="BL697" s="8"/>
      <c r="BM697" s="8"/>
    </row>
    <row r="698" spans="1:65" ht="30" hidden="1" customHeight="1" x14ac:dyDescent="0.45">
      <c r="A698" s="55">
        <v>45764</v>
      </c>
      <c r="B698" s="56">
        <v>106.88</v>
      </c>
      <c r="C698" s="56">
        <v>81.59</v>
      </c>
      <c r="D698" s="56">
        <v>64.62</v>
      </c>
      <c r="E698" s="56">
        <v>49.62</v>
      </c>
      <c r="F698" s="56">
        <v>33.15</v>
      </c>
      <c r="G698" s="56">
        <v>92.19</v>
      </c>
      <c r="H698" s="83">
        <f t="shared" ref="H698:M698" si="3779">B698-B697</f>
        <v>-1.2600000000000051</v>
      </c>
      <c r="I698" s="51">
        <f t="shared" si="3779"/>
        <v>-0.92999999999999261</v>
      </c>
      <c r="J698" s="51">
        <f t="shared" si="3779"/>
        <v>-0.82999999999999829</v>
      </c>
      <c r="K698" s="51">
        <f t="shared" si="3779"/>
        <v>-0.27000000000000313</v>
      </c>
      <c r="L698" s="51">
        <f t="shared" si="3779"/>
        <v>5.9999999999995168E-2</v>
      </c>
      <c r="M698" s="85">
        <f t="shared" si="3779"/>
        <v>-2.25</v>
      </c>
      <c r="N698" s="69">
        <f t="shared" ref="N698:R698" si="3780">N697</f>
        <v>107.44</v>
      </c>
      <c r="O698" s="69">
        <f t="shared" si="3780"/>
        <v>81.962500000000006</v>
      </c>
      <c r="P698" s="69">
        <f t="shared" si="3780"/>
        <v>65.092500000000001</v>
      </c>
      <c r="Q698" s="69">
        <f t="shared" si="3780"/>
        <v>49.59</v>
      </c>
      <c r="R698" s="69">
        <f t="shared" si="3780"/>
        <v>33.252499999999998</v>
      </c>
      <c r="S698" s="51">
        <f t="shared" ref="S698:W698" si="3781">(B697+B698)/2</f>
        <v>107.50999999999999</v>
      </c>
      <c r="T698" s="51">
        <f t="shared" si="3781"/>
        <v>82.055000000000007</v>
      </c>
      <c r="U698" s="51">
        <f t="shared" si="3781"/>
        <v>65.034999999999997</v>
      </c>
      <c r="V698" s="51">
        <f t="shared" si="3781"/>
        <v>49.754999999999995</v>
      </c>
      <c r="W698" s="51">
        <f t="shared" si="3781"/>
        <v>33.120000000000005</v>
      </c>
      <c r="X698" s="51">
        <f t="shared" ref="X698:AB698" si="3782">(SUM(B695:B698))/4</f>
        <v>108.37</v>
      </c>
      <c r="Y698" s="51">
        <f t="shared" si="3782"/>
        <v>82.787499999999994</v>
      </c>
      <c r="Z698" s="51">
        <f t="shared" si="3782"/>
        <v>66.295000000000002</v>
      </c>
      <c r="AA698" s="51">
        <f t="shared" si="3782"/>
        <v>49.7575</v>
      </c>
      <c r="AB698" s="51">
        <f t="shared" si="3782"/>
        <v>33.027500000000003</v>
      </c>
      <c r="AC698" s="80">
        <f t="shared" ref="AC698:AF698" si="3783">(B698+C698)/2</f>
        <v>94.234999999999999</v>
      </c>
      <c r="AD698" s="80">
        <f t="shared" si="3783"/>
        <v>73.105000000000004</v>
      </c>
      <c r="AE698" s="80">
        <f t="shared" si="3783"/>
        <v>57.120000000000005</v>
      </c>
      <c r="AF698" s="80">
        <f t="shared" si="3783"/>
        <v>41.384999999999998</v>
      </c>
      <c r="AG698" s="51">
        <f t="shared" si="3360"/>
        <v>64.405000000000001</v>
      </c>
      <c r="AH698" s="51">
        <f t="shared" si="3361"/>
        <v>57.620000000000005</v>
      </c>
      <c r="AI698" s="51">
        <f t="shared" si="3726"/>
        <v>65.842500000000001</v>
      </c>
      <c r="AJ698" s="51">
        <f t="shared" si="3773"/>
        <v>64.793199999999999</v>
      </c>
      <c r="AK698" s="51">
        <f t="shared" si="3650"/>
        <v>36.087499999999999</v>
      </c>
      <c r="AL698" s="51">
        <f t="shared" si="3364"/>
        <v>38.951249999999995</v>
      </c>
      <c r="AM698" s="7"/>
      <c r="AN698" s="52">
        <f t="shared" si="3499"/>
        <v>48.754999999999995</v>
      </c>
      <c r="AO698" s="51">
        <f t="shared" si="3366"/>
        <v>47.570357142857134</v>
      </c>
      <c r="AP698" s="76">
        <f t="shared" si="3733"/>
        <v>715277</v>
      </c>
      <c r="AQ698" s="51">
        <f t="shared" si="3694"/>
        <v>67.745000000000005</v>
      </c>
      <c r="AR698" s="51">
        <f t="shared" si="3695"/>
        <v>70.620900000000006</v>
      </c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8"/>
      <c r="BK698" s="8"/>
      <c r="BL698" s="8"/>
      <c r="BM698" s="8"/>
    </row>
    <row r="699" spans="1:65" ht="30" hidden="1" customHeight="1" x14ac:dyDescent="0.45">
      <c r="A699" s="55">
        <v>45772</v>
      </c>
      <c r="B699" s="56">
        <v>105.7</v>
      </c>
      <c r="C699" s="56">
        <v>80.83</v>
      </c>
      <c r="D699" s="56">
        <v>63.15</v>
      </c>
      <c r="E699" s="56">
        <v>48.99</v>
      </c>
      <c r="F699" s="56">
        <v>33.729999999999997</v>
      </c>
      <c r="G699" s="56">
        <v>91.69</v>
      </c>
      <c r="H699" s="83">
        <f t="shared" ref="H699:M699" si="3784">B699-B698</f>
        <v>-1.1799999999999926</v>
      </c>
      <c r="I699" s="51">
        <f t="shared" si="3784"/>
        <v>-0.76000000000000512</v>
      </c>
      <c r="J699" s="51">
        <f t="shared" si="3784"/>
        <v>-1.470000000000006</v>
      </c>
      <c r="K699" s="51">
        <f t="shared" si="3784"/>
        <v>-0.62999999999999545</v>
      </c>
      <c r="L699" s="51">
        <f t="shared" si="3784"/>
        <v>0.57999999999999829</v>
      </c>
      <c r="M699" s="85">
        <f t="shared" si="3784"/>
        <v>-0.5</v>
      </c>
      <c r="N699" s="51">
        <f t="shared" ref="N699:R699" si="3785">N698</f>
        <v>107.44</v>
      </c>
      <c r="O699" s="51">
        <f t="shared" si="3785"/>
        <v>81.962500000000006</v>
      </c>
      <c r="P699" s="51">
        <f t="shared" si="3785"/>
        <v>65.092500000000001</v>
      </c>
      <c r="Q699" s="51">
        <f t="shared" si="3785"/>
        <v>49.59</v>
      </c>
      <c r="R699" s="51">
        <f t="shared" si="3785"/>
        <v>33.252499999999998</v>
      </c>
      <c r="S699" s="51">
        <f t="shared" ref="S699:W699" si="3786">(B698+B699)/2</f>
        <v>106.28999999999999</v>
      </c>
      <c r="T699" s="51">
        <f t="shared" si="3786"/>
        <v>81.210000000000008</v>
      </c>
      <c r="U699" s="51">
        <f t="shared" si="3786"/>
        <v>63.885000000000005</v>
      </c>
      <c r="V699" s="51">
        <f t="shared" si="3786"/>
        <v>49.305</v>
      </c>
      <c r="W699" s="51">
        <f t="shared" si="3786"/>
        <v>33.44</v>
      </c>
      <c r="X699" s="51">
        <f t="shared" ref="X699:AB699" si="3787">(SUM(B696:B699))/4</f>
        <v>107.44</v>
      </c>
      <c r="Y699" s="51">
        <f t="shared" si="3787"/>
        <v>81.962500000000006</v>
      </c>
      <c r="Z699" s="51">
        <f t="shared" si="3787"/>
        <v>65.092500000000001</v>
      </c>
      <c r="AA699" s="51">
        <f t="shared" si="3787"/>
        <v>49.59</v>
      </c>
      <c r="AB699" s="51">
        <f t="shared" si="3787"/>
        <v>33.252499999999998</v>
      </c>
      <c r="AC699" s="80">
        <f t="shared" ref="AC699:AF699" si="3788">(B699+C699)/2</f>
        <v>93.265000000000001</v>
      </c>
      <c r="AD699" s="80">
        <f t="shared" si="3788"/>
        <v>71.989999999999995</v>
      </c>
      <c r="AE699" s="80">
        <f t="shared" si="3788"/>
        <v>56.07</v>
      </c>
      <c r="AF699" s="80">
        <f t="shared" si="3788"/>
        <v>41.36</v>
      </c>
      <c r="AG699" s="51">
        <f t="shared" si="3360"/>
        <v>63.289999999999992</v>
      </c>
      <c r="AH699" s="51">
        <f t="shared" si="3361"/>
        <v>56.15</v>
      </c>
      <c r="AI699" s="51">
        <f t="shared" si="3726"/>
        <v>65.842500000000001</v>
      </c>
      <c r="AJ699" s="51">
        <f t="shared" si="3773"/>
        <v>63.638799999999996</v>
      </c>
      <c r="AK699" s="51">
        <f t="shared" si="3650"/>
        <v>36.022500000000001</v>
      </c>
      <c r="AL699" s="51">
        <f t="shared" si="3364"/>
        <v>38.890149999999998</v>
      </c>
      <c r="AM699" s="7"/>
      <c r="AN699" s="52">
        <f t="shared" si="3499"/>
        <v>48.305</v>
      </c>
      <c r="AO699" s="51">
        <f t="shared" si="3366"/>
        <v>47.131071428571431</v>
      </c>
      <c r="AP699" s="86">
        <f t="shared" si="3733"/>
        <v>710550</v>
      </c>
      <c r="AQ699" s="51">
        <f t="shared" si="3694"/>
        <v>66.542500000000004</v>
      </c>
      <c r="AR699" s="51">
        <f t="shared" si="3695"/>
        <v>69.394350000000003</v>
      </c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8"/>
      <c r="BK699" s="8"/>
      <c r="BL699" s="8"/>
      <c r="BM699" s="8"/>
    </row>
    <row r="700" spans="1:65" ht="30" hidden="1" customHeight="1" x14ac:dyDescent="0.45">
      <c r="A700" s="55">
        <f t="shared" ref="A700:A733" si="3789">A699+7</f>
        <v>45779</v>
      </c>
      <c r="B700" s="56">
        <v>104.3</v>
      </c>
      <c r="C700" s="56">
        <v>80.31</v>
      </c>
      <c r="D700" s="56">
        <v>62.47</v>
      </c>
      <c r="E700" s="56">
        <v>48.42</v>
      </c>
      <c r="F700" s="56">
        <v>33.299999999999997</v>
      </c>
      <c r="G700" s="56">
        <v>94.61</v>
      </c>
      <c r="H700" s="83">
        <f t="shared" ref="H700:M700" si="3790">B700-B699</f>
        <v>-1.4000000000000057</v>
      </c>
      <c r="I700" s="51">
        <f t="shared" si="3790"/>
        <v>-0.51999999999999602</v>
      </c>
      <c r="J700" s="51">
        <f t="shared" si="3790"/>
        <v>-0.67999999999999972</v>
      </c>
      <c r="K700" s="51">
        <f t="shared" si="3790"/>
        <v>-0.57000000000000028</v>
      </c>
      <c r="L700" s="51">
        <f t="shared" si="3790"/>
        <v>-0.42999999999999972</v>
      </c>
      <c r="M700" s="42">
        <f t="shared" si="3790"/>
        <v>2.9200000000000017</v>
      </c>
      <c r="N700" s="69">
        <f t="shared" ref="N700:R700" si="3791">AVERAGE(B700:B704)</f>
        <v>103.02200000000001</v>
      </c>
      <c r="O700" s="69">
        <f t="shared" si="3791"/>
        <v>78.254000000000005</v>
      </c>
      <c r="P700" s="69">
        <f t="shared" si="3791"/>
        <v>61.422000000000004</v>
      </c>
      <c r="Q700" s="69">
        <f t="shared" si="3791"/>
        <v>47.790000000000006</v>
      </c>
      <c r="R700" s="69">
        <f t="shared" si="3791"/>
        <v>33.327999999999996</v>
      </c>
      <c r="S700" s="51">
        <f t="shared" ref="S700:W700" si="3792">(B699+B700)/2</f>
        <v>105</v>
      </c>
      <c r="T700" s="51">
        <f t="shared" si="3792"/>
        <v>80.569999999999993</v>
      </c>
      <c r="U700" s="51">
        <f t="shared" si="3792"/>
        <v>62.81</v>
      </c>
      <c r="V700" s="51">
        <f t="shared" si="3792"/>
        <v>48.704999999999998</v>
      </c>
      <c r="W700" s="51">
        <f t="shared" si="3792"/>
        <v>33.515000000000001</v>
      </c>
      <c r="X700" s="51">
        <f t="shared" ref="X700:AB700" si="3793">(SUM(B697:B700))/4</f>
        <v>106.255</v>
      </c>
      <c r="Y700" s="51">
        <f t="shared" si="3793"/>
        <v>81.3125</v>
      </c>
      <c r="Z700" s="51">
        <f t="shared" si="3793"/>
        <v>63.922499999999999</v>
      </c>
      <c r="AA700" s="51">
        <f t="shared" si="3793"/>
        <v>49.230000000000004</v>
      </c>
      <c r="AB700" s="51">
        <f t="shared" si="3793"/>
        <v>33.317499999999995</v>
      </c>
      <c r="AC700" s="80">
        <f t="shared" ref="AC700:AF700" si="3794">(B700+C700)/2</f>
        <v>92.305000000000007</v>
      </c>
      <c r="AD700" s="80">
        <f t="shared" si="3794"/>
        <v>71.39</v>
      </c>
      <c r="AE700" s="80">
        <f t="shared" si="3794"/>
        <v>55.445</v>
      </c>
      <c r="AF700" s="80">
        <f t="shared" si="3794"/>
        <v>40.86</v>
      </c>
      <c r="AG700" s="51">
        <f t="shared" si="3360"/>
        <v>62.69</v>
      </c>
      <c r="AH700" s="51">
        <f t="shared" si="3361"/>
        <v>55.47</v>
      </c>
      <c r="AI700" s="51">
        <f t="shared" si="3726"/>
        <v>62.172000000000004</v>
      </c>
      <c r="AJ700" s="51">
        <f t="shared" si="3773"/>
        <v>62.515599999999999</v>
      </c>
      <c r="AK700" s="51">
        <f t="shared" si="3650"/>
        <v>35.76</v>
      </c>
      <c r="AL700" s="51">
        <f t="shared" si="3364"/>
        <v>38.6434</v>
      </c>
      <c r="AM700" s="7"/>
      <c r="AN700" s="52">
        <f t="shared" si="3499"/>
        <v>47.704999999999998</v>
      </c>
      <c r="AO700" s="51">
        <f t="shared" si="3366"/>
        <v>46.545357142857142</v>
      </c>
      <c r="AP700" s="87"/>
      <c r="AQ700" s="51">
        <f t="shared" si="3694"/>
        <v>65.372500000000002</v>
      </c>
      <c r="AR700" s="51">
        <f t="shared" si="3695"/>
        <v>68.200950000000006</v>
      </c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8"/>
      <c r="BK700" s="8"/>
      <c r="BL700" s="8"/>
      <c r="BM700" s="8"/>
    </row>
    <row r="701" spans="1:65" ht="30" hidden="1" customHeight="1" x14ac:dyDescent="0.45">
      <c r="A701" s="55">
        <f t="shared" si="3789"/>
        <v>45786</v>
      </c>
      <c r="B701" s="56">
        <v>103.59</v>
      </c>
      <c r="C701" s="56">
        <v>79.92</v>
      </c>
      <c r="D701" s="56">
        <v>62.51</v>
      </c>
      <c r="E701" s="56">
        <v>48.23</v>
      </c>
      <c r="F701" s="56">
        <v>33.42</v>
      </c>
      <c r="G701" s="56">
        <v>99.58</v>
      </c>
      <c r="H701" s="83">
        <f t="shared" ref="H701:M701" si="3795">B701-B700</f>
        <v>-0.70999999999999375</v>
      </c>
      <c r="I701" s="51">
        <f t="shared" si="3795"/>
        <v>-0.39000000000000057</v>
      </c>
      <c r="J701" s="51">
        <f t="shared" si="3795"/>
        <v>3.9999999999999147E-2</v>
      </c>
      <c r="K701" s="51">
        <f t="shared" si="3795"/>
        <v>-0.19000000000000483</v>
      </c>
      <c r="L701" s="51">
        <f t="shared" si="3795"/>
        <v>0.12000000000000455</v>
      </c>
      <c r="M701" s="42">
        <f t="shared" si="3795"/>
        <v>4.9699999999999989</v>
      </c>
      <c r="N701" s="51">
        <f t="shared" ref="N701:R701" si="3796">N700</f>
        <v>103.02200000000001</v>
      </c>
      <c r="O701" s="51">
        <f t="shared" si="3796"/>
        <v>78.254000000000005</v>
      </c>
      <c r="P701" s="51">
        <f t="shared" si="3796"/>
        <v>61.422000000000004</v>
      </c>
      <c r="Q701" s="51">
        <f t="shared" si="3796"/>
        <v>47.790000000000006</v>
      </c>
      <c r="R701" s="51">
        <f t="shared" si="3796"/>
        <v>33.327999999999996</v>
      </c>
      <c r="S701" s="51">
        <f t="shared" ref="S701:W701" si="3797">(B700+B701)/2</f>
        <v>103.94499999999999</v>
      </c>
      <c r="T701" s="51">
        <f t="shared" si="3797"/>
        <v>80.115000000000009</v>
      </c>
      <c r="U701" s="51">
        <f t="shared" si="3797"/>
        <v>62.489999999999995</v>
      </c>
      <c r="V701" s="51">
        <f t="shared" si="3797"/>
        <v>48.325000000000003</v>
      </c>
      <c r="W701" s="51">
        <f t="shared" si="3797"/>
        <v>33.36</v>
      </c>
      <c r="X701" s="51">
        <f t="shared" ref="X701:AB701" si="3798">(SUM(B698:B701))/4</f>
        <v>105.11750000000001</v>
      </c>
      <c r="Y701" s="51">
        <f t="shared" si="3798"/>
        <v>80.662500000000009</v>
      </c>
      <c r="Z701" s="51">
        <f t="shared" si="3798"/>
        <v>63.1875</v>
      </c>
      <c r="AA701" s="51">
        <f t="shared" si="3798"/>
        <v>48.814999999999998</v>
      </c>
      <c r="AB701" s="51">
        <f t="shared" si="3798"/>
        <v>33.4</v>
      </c>
      <c r="AC701" s="80">
        <f t="shared" ref="AC701:AF701" si="3799">(B701+C701)/2</f>
        <v>91.754999999999995</v>
      </c>
      <c r="AD701" s="80">
        <f t="shared" si="3799"/>
        <v>71.215000000000003</v>
      </c>
      <c r="AE701" s="80">
        <f t="shared" si="3799"/>
        <v>55.37</v>
      </c>
      <c r="AF701" s="80">
        <f t="shared" si="3799"/>
        <v>40.825000000000003</v>
      </c>
      <c r="AG701" s="51">
        <f t="shared" si="3360"/>
        <v>62.515000000000001</v>
      </c>
      <c r="AH701" s="51">
        <f t="shared" si="3361"/>
        <v>55.51</v>
      </c>
      <c r="AI701" s="51">
        <f t="shared" si="3726"/>
        <v>62.172000000000004</v>
      </c>
      <c r="AJ701" s="51">
        <f t="shared" si="3773"/>
        <v>61.809999999999995</v>
      </c>
      <c r="AK701" s="51">
        <f t="shared" si="3650"/>
        <v>35.4925</v>
      </c>
      <c r="AL701" s="51">
        <f t="shared" si="3364"/>
        <v>38.391950000000001</v>
      </c>
      <c r="AM701" s="7"/>
      <c r="AN701" s="52">
        <f t="shared" si="3499"/>
        <v>47.325000000000003</v>
      </c>
      <c r="AO701" s="51">
        <f t="shared" si="3366"/>
        <v>46.174404761904761</v>
      </c>
      <c r="AP701" s="87"/>
      <c r="AQ701" s="51">
        <f t="shared" si="3694"/>
        <v>64.637500000000003</v>
      </c>
      <c r="AR701" s="51">
        <f t="shared" si="3695"/>
        <v>67.451250000000002</v>
      </c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8"/>
      <c r="BK701" s="8"/>
      <c r="BL701" s="8"/>
      <c r="BM701" s="8"/>
    </row>
    <row r="702" spans="1:65" ht="30" hidden="1" customHeight="1" x14ac:dyDescent="0.45">
      <c r="A702" s="72">
        <f t="shared" si="3789"/>
        <v>45793</v>
      </c>
      <c r="B702" s="56">
        <v>103.31</v>
      </c>
      <c r="C702" s="56">
        <v>77.92</v>
      </c>
      <c r="D702" s="56">
        <v>61.99</v>
      </c>
      <c r="E702" s="56">
        <v>48.64</v>
      </c>
      <c r="F702" s="56">
        <v>33.85</v>
      </c>
      <c r="G702" s="56">
        <v>102.14</v>
      </c>
      <c r="H702" s="84">
        <f t="shared" ref="H702:M702" si="3800">B702-B701</f>
        <v>-0.28000000000000114</v>
      </c>
      <c r="I702" s="69">
        <f t="shared" si="3800"/>
        <v>-2</v>
      </c>
      <c r="J702" s="69">
        <f t="shared" si="3800"/>
        <v>-0.51999999999999602</v>
      </c>
      <c r="K702" s="69">
        <f t="shared" si="3800"/>
        <v>0.41000000000000369</v>
      </c>
      <c r="L702" s="69">
        <f t="shared" si="3800"/>
        <v>0.42999999999999972</v>
      </c>
      <c r="M702" s="85">
        <f t="shared" si="3800"/>
        <v>2.5600000000000023</v>
      </c>
      <c r="N702" s="51">
        <f t="shared" ref="N702:R702" si="3801">N701</f>
        <v>103.02200000000001</v>
      </c>
      <c r="O702" s="51">
        <f t="shared" si="3801"/>
        <v>78.254000000000005</v>
      </c>
      <c r="P702" s="51">
        <f t="shared" si="3801"/>
        <v>61.422000000000004</v>
      </c>
      <c r="Q702" s="51">
        <f t="shared" si="3801"/>
        <v>47.790000000000006</v>
      </c>
      <c r="R702" s="51">
        <f t="shared" si="3801"/>
        <v>33.327999999999996</v>
      </c>
      <c r="S702" s="69">
        <f t="shared" ref="S702:W702" si="3802">(B701+B702)/2</f>
        <v>103.45</v>
      </c>
      <c r="T702" s="69">
        <f t="shared" si="3802"/>
        <v>78.92</v>
      </c>
      <c r="U702" s="69">
        <f t="shared" si="3802"/>
        <v>62.25</v>
      </c>
      <c r="V702" s="69">
        <f t="shared" si="3802"/>
        <v>48.435000000000002</v>
      </c>
      <c r="W702" s="69">
        <f t="shared" si="3802"/>
        <v>33.635000000000005</v>
      </c>
      <c r="X702" s="69">
        <f t="shared" ref="X702:AB702" si="3803">(SUM(B699:B702))/4</f>
        <v>104.22500000000001</v>
      </c>
      <c r="Y702" s="69">
        <f t="shared" si="3803"/>
        <v>79.745000000000005</v>
      </c>
      <c r="Z702" s="69">
        <f t="shared" si="3803"/>
        <v>62.53</v>
      </c>
      <c r="AA702" s="69">
        <f t="shared" si="3803"/>
        <v>48.569999999999993</v>
      </c>
      <c r="AB702" s="69">
        <f t="shared" si="3803"/>
        <v>33.575000000000003</v>
      </c>
      <c r="AC702" s="80">
        <f t="shared" ref="AC702:AF702" si="3804">(B702+C702)/2</f>
        <v>90.615000000000009</v>
      </c>
      <c r="AD702" s="80">
        <f t="shared" si="3804"/>
        <v>69.954999999999998</v>
      </c>
      <c r="AE702" s="80">
        <f t="shared" si="3804"/>
        <v>55.314999999999998</v>
      </c>
      <c r="AF702" s="80">
        <f t="shared" si="3804"/>
        <v>41.245000000000005</v>
      </c>
      <c r="AG702" s="69">
        <f t="shared" si="3360"/>
        <v>61.254999999999995</v>
      </c>
      <c r="AH702" s="69">
        <f t="shared" si="3361"/>
        <v>54.99</v>
      </c>
      <c r="AI702" s="51">
        <f t="shared" si="3726"/>
        <v>62.172000000000004</v>
      </c>
      <c r="AJ702" s="69">
        <f t="shared" si="3773"/>
        <v>61.178799999999995</v>
      </c>
      <c r="AK702" s="69">
        <f t="shared" si="3650"/>
        <v>35.685000000000002</v>
      </c>
      <c r="AL702" s="69">
        <f t="shared" si="3364"/>
        <v>38.572900000000004</v>
      </c>
      <c r="AM702" s="88"/>
      <c r="AN702" s="79">
        <f t="shared" si="3499"/>
        <v>47.435000000000002</v>
      </c>
      <c r="AO702" s="69">
        <f t="shared" si="3366"/>
        <v>46.281785714285711</v>
      </c>
      <c r="AP702" s="89"/>
      <c r="AQ702" s="69">
        <f t="shared" si="3694"/>
        <v>63.980000000000004</v>
      </c>
      <c r="AR702" s="51">
        <f t="shared" si="3695"/>
        <v>66.780599999999993</v>
      </c>
      <c r="AS702" s="7"/>
      <c r="AT702" s="40">
        <f>AR702*16313</f>
        <v>1089391.9277999999</v>
      </c>
      <c r="AU702" s="7">
        <v>1.02</v>
      </c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8"/>
      <c r="BK702" s="8"/>
      <c r="BL702" s="8"/>
      <c r="BM702" s="8"/>
    </row>
    <row r="703" spans="1:65" ht="30" hidden="1" customHeight="1" x14ac:dyDescent="0.45">
      <c r="A703" s="55">
        <f t="shared" si="3789"/>
        <v>45800</v>
      </c>
      <c r="B703" s="56">
        <v>102.68</v>
      </c>
      <c r="C703" s="56">
        <v>77.19</v>
      </c>
      <c r="D703" s="56">
        <v>60.99</v>
      </c>
      <c r="E703" s="56">
        <v>47.46</v>
      </c>
      <c r="F703" s="56">
        <v>33.409999999999997</v>
      </c>
      <c r="G703" s="56">
        <v>102.03</v>
      </c>
      <c r="H703" s="83">
        <f t="shared" ref="H703:M703" si="3805">B703-B702</f>
        <v>-0.62999999999999545</v>
      </c>
      <c r="I703" s="51">
        <f t="shared" si="3805"/>
        <v>-0.73000000000000398</v>
      </c>
      <c r="J703" s="51">
        <f t="shared" si="3805"/>
        <v>-1</v>
      </c>
      <c r="K703" s="51">
        <f t="shared" si="3805"/>
        <v>-1.1799999999999997</v>
      </c>
      <c r="L703" s="51">
        <f t="shared" si="3805"/>
        <v>-0.44000000000000483</v>
      </c>
      <c r="M703" s="85">
        <f t="shared" si="3805"/>
        <v>-0.10999999999999943</v>
      </c>
      <c r="N703" s="51">
        <f t="shared" ref="N703:R703" si="3806">N702</f>
        <v>103.02200000000001</v>
      </c>
      <c r="O703" s="51">
        <f t="shared" si="3806"/>
        <v>78.254000000000005</v>
      </c>
      <c r="P703" s="51">
        <f t="shared" si="3806"/>
        <v>61.422000000000004</v>
      </c>
      <c r="Q703" s="51">
        <f t="shared" si="3806"/>
        <v>47.790000000000006</v>
      </c>
      <c r="R703" s="51">
        <f t="shared" si="3806"/>
        <v>33.327999999999996</v>
      </c>
      <c r="S703" s="51">
        <f t="shared" ref="S703:W703" si="3807">(B702+B703)/2</f>
        <v>102.995</v>
      </c>
      <c r="T703" s="51">
        <f t="shared" si="3807"/>
        <v>77.555000000000007</v>
      </c>
      <c r="U703" s="51">
        <f t="shared" si="3807"/>
        <v>61.49</v>
      </c>
      <c r="V703" s="51">
        <f t="shared" si="3807"/>
        <v>48.05</v>
      </c>
      <c r="W703" s="51">
        <f t="shared" si="3807"/>
        <v>33.629999999999995</v>
      </c>
      <c r="X703" s="51">
        <f t="shared" ref="X703:AB703" si="3808">(SUM(B700:B703))/4</f>
        <v>103.47</v>
      </c>
      <c r="Y703" s="51">
        <f t="shared" si="3808"/>
        <v>78.835000000000008</v>
      </c>
      <c r="Z703" s="51">
        <f t="shared" si="3808"/>
        <v>61.99</v>
      </c>
      <c r="AA703" s="51">
        <f t="shared" si="3808"/>
        <v>48.187500000000007</v>
      </c>
      <c r="AB703" s="51">
        <f t="shared" si="3808"/>
        <v>33.494999999999997</v>
      </c>
      <c r="AC703" s="80">
        <f t="shared" ref="AC703:AF703" si="3809">(B703+C703)/2</f>
        <v>89.935000000000002</v>
      </c>
      <c r="AD703" s="80">
        <f t="shared" si="3809"/>
        <v>69.09</v>
      </c>
      <c r="AE703" s="80">
        <f t="shared" si="3809"/>
        <v>54.225000000000001</v>
      </c>
      <c r="AF703" s="80">
        <f t="shared" si="3809"/>
        <v>40.435000000000002</v>
      </c>
      <c r="AG703" s="51">
        <f t="shared" si="3360"/>
        <v>60.39</v>
      </c>
      <c r="AH703" s="51">
        <f t="shared" si="3361"/>
        <v>53.99</v>
      </c>
      <c r="AI703" s="51">
        <f t="shared" si="3726"/>
        <v>62.172000000000004</v>
      </c>
      <c r="AJ703" s="51">
        <f t="shared" si="3773"/>
        <v>60.660399999999996</v>
      </c>
      <c r="AK703" s="51">
        <f t="shared" si="3650"/>
        <v>35.489999999999995</v>
      </c>
      <c r="AL703" s="51">
        <f t="shared" si="3364"/>
        <v>38.389599999999994</v>
      </c>
      <c r="AM703" s="7"/>
      <c r="AN703" s="52">
        <f t="shared" si="3499"/>
        <v>47.05</v>
      </c>
      <c r="AO703" s="51">
        <f t="shared" si="3366"/>
        <v>45.905952380952378</v>
      </c>
      <c r="AP703" s="87"/>
      <c r="AQ703" s="51">
        <f t="shared" si="3694"/>
        <v>63.440000000000005</v>
      </c>
      <c r="AR703" s="51">
        <f t="shared" si="3695"/>
        <v>66.229800000000012</v>
      </c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8"/>
      <c r="BK703" s="8"/>
      <c r="BL703" s="8"/>
      <c r="BM703" s="8"/>
    </row>
    <row r="704" spans="1:65" ht="30" hidden="1" customHeight="1" x14ac:dyDescent="0.45">
      <c r="A704" s="72">
        <f t="shared" si="3789"/>
        <v>45807</v>
      </c>
      <c r="B704" s="56">
        <v>101.23</v>
      </c>
      <c r="C704" s="56">
        <v>75.930000000000007</v>
      </c>
      <c r="D704" s="56">
        <v>59.15</v>
      </c>
      <c r="E704" s="56">
        <v>46.2</v>
      </c>
      <c r="F704" s="56">
        <v>32.659999999999997</v>
      </c>
      <c r="G704" s="56">
        <v>105.25</v>
      </c>
      <c r="H704" s="84">
        <f t="shared" ref="H704:M704" si="3810">B704-B703</f>
        <v>-1.4500000000000028</v>
      </c>
      <c r="I704" s="69">
        <f t="shared" si="3810"/>
        <v>-1.2599999999999909</v>
      </c>
      <c r="J704" s="69">
        <f t="shared" si="3810"/>
        <v>-1.8400000000000034</v>
      </c>
      <c r="K704" s="69">
        <f t="shared" si="3810"/>
        <v>-1.259999999999998</v>
      </c>
      <c r="L704" s="69">
        <f t="shared" si="3810"/>
        <v>-0.75</v>
      </c>
      <c r="M704" s="85">
        <f t="shared" si="3810"/>
        <v>3.2199999999999989</v>
      </c>
      <c r="N704" s="51">
        <f t="shared" ref="N704:R704" si="3811">N703</f>
        <v>103.02200000000001</v>
      </c>
      <c r="O704" s="51">
        <f t="shared" si="3811"/>
        <v>78.254000000000005</v>
      </c>
      <c r="P704" s="51">
        <f t="shared" si="3811"/>
        <v>61.422000000000004</v>
      </c>
      <c r="Q704" s="51">
        <f t="shared" si="3811"/>
        <v>47.790000000000006</v>
      </c>
      <c r="R704" s="51">
        <f t="shared" si="3811"/>
        <v>33.327999999999996</v>
      </c>
      <c r="S704" s="69">
        <f t="shared" ref="S704:W704" si="3812">(B703+B704)/2</f>
        <v>101.95500000000001</v>
      </c>
      <c r="T704" s="69">
        <f t="shared" si="3812"/>
        <v>76.56</v>
      </c>
      <c r="U704" s="69">
        <f t="shared" si="3812"/>
        <v>60.07</v>
      </c>
      <c r="V704" s="69">
        <f t="shared" si="3812"/>
        <v>46.83</v>
      </c>
      <c r="W704" s="69">
        <f t="shared" si="3812"/>
        <v>33.034999999999997</v>
      </c>
      <c r="X704" s="69">
        <f t="shared" ref="X704:AB704" si="3813">(SUM(B701:B704))/4</f>
        <v>102.70250000000001</v>
      </c>
      <c r="Y704" s="69">
        <f t="shared" si="3813"/>
        <v>77.740000000000009</v>
      </c>
      <c r="Z704" s="69">
        <f t="shared" si="3813"/>
        <v>61.160000000000004</v>
      </c>
      <c r="AA704" s="69">
        <f t="shared" si="3813"/>
        <v>47.632500000000007</v>
      </c>
      <c r="AB704" s="69">
        <f t="shared" si="3813"/>
        <v>33.335000000000001</v>
      </c>
      <c r="AC704" s="80">
        <f t="shared" ref="AC704:AF704" si="3814">(B704+C704)/2</f>
        <v>88.580000000000013</v>
      </c>
      <c r="AD704" s="80">
        <f t="shared" si="3814"/>
        <v>67.540000000000006</v>
      </c>
      <c r="AE704" s="80">
        <f t="shared" si="3814"/>
        <v>52.674999999999997</v>
      </c>
      <c r="AF704" s="80">
        <f t="shared" si="3814"/>
        <v>39.43</v>
      </c>
      <c r="AG704" s="69">
        <f t="shared" si="3360"/>
        <v>58.84</v>
      </c>
      <c r="AH704" s="69">
        <f t="shared" si="3361"/>
        <v>52.15</v>
      </c>
      <c r="AI704" s="51">
        <f t="shared" si="3726"/>
        <v>62.172000000000004</v>
      </c>
      <c r="AJ704" s="69">
        <f t="shared" si="3773"/>
        <v>59.863599999999998</v>
      </c>
      <c r="AK704" s="69">
        <f t="shared" si="3650"/>
        <v>34.582499999999996</v>
      </c>
      <c r="AL704" s="69">
        <f t="shared" si="3364"/>
        <v>37.536549999999998</v>
      </c>
      <c r="AM704" s="88"/>
      <c r="AN704" s="79">
        <f t="shared" si="3499"/>
        <v>45.83</v>
      </c>
      <c r="AO704" s="69">
        <f t="shared" si="3366"/>
        <v>44.715000000000003</v>
      </c>
      <c r="AP704" s="89"/>
      <c r="AQ704" s="69">
        <f t="shared" si="3694"/>
        <v>62.610000000000007</v>
      </c>
      <c r="AR704" s="51">
        <f t="shared" si="3695"/>
        <v>65.383200000000002</v>
      </c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8"/>
      <c r="BK704" s="8"/>
      <c r="BL704" s="8"/>
      <c r="BM704" s="8"/>
    </row>
    <row r="705" spans="1:65" ht="30" hidden="1" customHeight="1" x14ac:dyDescent="0.45">
      <c r="A705" s="55">
        <f t="shared" si="3789"/>
        <v>45814</v>
      </c>
      <c r="B705" s="56">
        <v>100.43</v>
      </c>
      <c r="C705" s="56">
        <v>75.2</v>
      </c>
      <c r="D705" s="56">
        <v>57.9</v>
      </c>
      <c r="E705" s="56">
        <v>44.21</v>
      </c>
      <c r="F705" s="56">
        <v>32.200000000000003</v>
      </c>
      <c r="G705" s="56">
        <v>103.43</v>
      </c>
      <c r="H705" s="83">
        <f t="shared" ref="H705:M705" si="3815">B705-B704</f>
        <v>-0.79999999999999716</v>
      </c>
      <c r="I705" s="51">
        <f t="shared" si="3815"/>
        <v>-0.73000000000000398</v>
      </c>
      <c r="J705" s="51">
        <f t="shared" si="3815"/>
        <v>-1.25</v>
      </c>
      <c r="K705" s="51">
        <f t="shared" si="3815"/>
        <v>-1.990000000000002</v>
      </c>
      <c r="L705" s="51">
        <f t="shared" si="3815"/>
        <v>-0.45999999999999375</v>
      </c>
      <c r="M705" s="85">
        <f t="shared" si="3815"/>
        <v>-1.8199999999999932</v>
      </c>
      <c r="N705" s="69">
        <f t="shared" ref="N705:R705" si="3816">AVERAGE(B705:B708)</f>
        <v>99.089999999999989</v>
      </c>
      <c r="O705" s="69">
        <f t="shared" si="3816"/>
        <v>73.849999999999994</v>
      </c>
      <c r="P705" s="69">
        <f t="shared" si="3816"/>
        <v>56.234999999999999</v>
      </c>
      <c r="Q705" s="69">
        <f t="shared" si="3816"/>
        <v>41.88</v>
      </c>
      <c r="R705" s="69">
        <f t="shared" si="3816"/>
        <v>30.939999999999998</v>
      </c>
      <c r="S705" s="51">
        <f t="shared" ref="S705:W705" si="3817">(B704+B705)/2</f>
        <v>100.83000000000001</v>
      </c>
      <c r="T705" s="51">
        <f t="shared" si="3817"/>
        <v>75.564999999999998</v>
      </c>
      <c r="U705" s="51">
        <f t="shared" si="3817"/>
        <v>58.524999999999999</v>
      </c>
      <c r="V705" s="51">
        <f t="shared" si="3817"/>
        <v>45.204999999999998</v>
      </c>
      <c r="W705" s="51">
        <f t="shared" si="3817"/>
        <v>32.43</v>
      </c>
      <c r="X705" s="51">
        <f t="shared" ref="X705:AB705" si="3818">(SUM(B702:B705))/4</f>
        <v>101.91250000000001</v>
      </c>
      <c r="Y705" s="51">
        <f t="shared" si="3818"/>
        <v>76.56</v>
      </c>
      <c r="Z705" s="51">
        <f t="shared" si="3818"/>
        <v>60.0075</v>
      </c>
      <c r="AA705" s="51">
        <f t="shared" si="3818"/>
        <v>46.627500000000005</v>
      </c>
      <c r="AB705" s="51">
        <f t="shared" si="3818"/>
        <v>33.03</v>
      </c>
      <c r="AC705" s="80">
        <f t="shared" ref="AC705:AF705" si="3819">(B705+C705)/2</f>
        <v>87.814999999999998</v>
      </c>
      <c r="AD705" s="80">
        <f t="shared" si="3819"/>
        <v>66.55</v>
      </c>
      <c r="AE705" s="80">
        <f t="shared" si="3819"/>
        <v>51.055</v>
      </c>
      <c r="AF705" s="80">
        <f t="shared" si="3819"/>
        <v>38.204999999999998</v>
      </c>
      <c r="AG705" s="51">
        <f t="shared" si="3360"/>
        <v>57.849999999999994</v>
      </c>
      <c r="AH705" s="51">
        <f t="shared" si="3361"/>
        <v>50.9</v>
      </c>
      <c r="AI705" s="51">
        <f t="shared" si="3726"/>
        <v>56.984999999999999</v>
      </c>
      <c r="AJ705" s="51">
        <f t="shared" si="3773"/>
        <v>58.757199999999997</v>
      </c>
      <c r="AK705" s="51">
        <f t="shared" si="3650"/>
        <v>33.467499999999994</v>
      </c>
      <c r="AL705" s="51">
        <f t="shared" si="3364"/>
        <v>36.488449999999993</v>
      </c>
      <c r="AM705" s="7"/>
      <c r="AN705" s="52">
        <f t="shared" si="3499"/>
        <v>44.204999999999998</v>
      </c>
      <c r="AO705" s="51">
        <f t="shared" si="3366"/>
        <v>43.128690476190478</v>
      </c>
      <c r="AP705" s="87"/>
      <c r="AQ705" s="51">
        <f t="shared" si="3694"/>
        <v>61.457500000000003</v>
      </c>
      <c r="AR705" s="51">
        <f t="shared" si="3695"/>
        <v>64.207650000000001</v>
      </c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8"/>
      <c r="BK705" s="8"/>
      <c r="BL705" s="8"/>
      <c r="BM705" s="8"/>
    </row>
    <row r="706" spans="1:65" ht="30" hidden="1" customHeight="1" x14ac:dyDescent="0.45">
      <c r="A706" s="55">
        <f t="shared" si="3789"/>
        <v>45821</v>
      </c>
      <c r="B706" s="56">
        <v>99.33</v>
      </c>
      <c r="C706" s="56">
        <v>74.19</v>
      </c>
      <c r="D706" s="56">
        <v>56.5</v>
      </c>
      <c r="E706" s="56">
        <v>42</v>
      </c>
      <c r="F706" s="56">
        <v>31.43</v>
      </c>
      <c r="G706" s="56">
        <v>104.38</v>
      </c>
      <c r="H706" s="51">
        <f t="shared" ref="H706:M706" si="3820">B706-B705</f>
        <v>-1.1000000000000085</v>
      </c>
      <c r="I706" s="51">
        <f t="shared" si="3820"/>
        <v>-1.0100000000000051</v>
      </c>
      <c r="J706" s="51">
        <f t="shared" si="3820"/>
        <v>-1.3999999999999986</v>
      </c>
      <c r="K706" s="51">
        <f t="shared" si="3820"/>
        <v>-2.2100000000000009</v>
      </c>
      <c r="L706" s="51">
        <f t="shared" si="3820"/>
        <v>-0.77000000000000313</v>
      </c>
      <c r="M706" s="85">
        <f t="shared" si="3820"/>
        <v>0.94999999999998863</v>
      </c>
      <c r="N706" s="51">
        <f t="shared" ref="N706:R706" si="3821">N705</f>
        <v>99.089999999999989</v>
      </c>
      <c r="O706" s="51">
        <f t="shared" si="3821"/>
        <v>73.849999999999994</v>
      </c>
      <c r="P706" s="51">
        <f t="shared" si="3821"/>
        <v>56.234999999999999</v>
      </c>
      <c r="Q706" s="51">
        <f t="shared" si="3821"/>
        <v>41.88</v>
      </c>
      <c r="R706" s="51">
        <f t="shared" si="3821"/>
        <v>30.939999999999998</v>
      </c>
      <c r="S706" s="51">
        <f t="shared" ref="S706:W706" si="3822">(B705+B706)/2</f>
        <v>99.88</v>
      </c>
      <c r="T706" s="51">
        <f t="shared" si="3822"/>
        <v>74.694999999999993</v>
      </c>
      <c r="U706" s="51">
        <f t="shared" si="3822"/>
        <v>57.2</v>
      </c>
      <c r="V706" s="51">
        <f t="shared" si="3822"/>
        <v>43.105000000000004</v>
      </c>
      <c r="W706" s="51">
        <f t="shared" si="3822"/>
        <v>31.815000000000001</v>
      </c>
      <c r="X706" s="51">
        <f t="shared" ref="X706:AB706" si="3823">(SUM(B703:B706))/4</f>
        <v>100.9175</v>
      </c>
      <c r="Y706" s="51">
        <f t="shared" si="3823"/>
        <v>75.627499999999998</v>
      </c>
      <c r="Z706" s="51">
        <f t="shared" si="3823"/>
        <v>58.634999999999998</v>
      </c>
      <c r="AA706" s="51">
        <f t="shared" si="3823"/>
        <v>44.967500000000001</v>
      </c>
      <c r="AB706" s="51">
        <f t="shared" si="3823"/>
        <v>32.424999999999997</v>
      </c>
      <c r="AC706" s="80">
        <f t="shared" ref="AC706:AF706" si="3824">(B706+C706)/2</f>
        <v>86.759999999999991</v>
      </c>
      <c r="AD706" s="80">
        <f t="shared" si="3824"/>
        <v>65.344999999999999</v>
      </c>
      <c r="AE706" s="80">
        <f t="shared" si="3824"/>
        <v>49.25</v>
      </c>
      <c r="AF706" s="80">
        <f t="shared" si="3824"/>
        <v>36.715000000000003</v>
      </c>
      <c r="AG706" s="51">
        <f t="shared" si="3360"/>
        <v>56.644999999999996</v>
      </c>
      <c r="AH706" s="51">
        <f t="shared" si="3361"/>
        <v>49.5</v>
      </c>
      <c r="AI706" s="51">
        <f t="shared" si="3726"/>
        <v>56.984999999999999</v>
      </c>
      <c r="AJ706" s="51">
        <f t="shared" si="3773"/>
        <v>57.439599999999999</v>
      </c>
      <c r="AK706" s="51">
        <f t="shared" si="3650"/>
        <v>32.11</v>
      </c>
      <c r="AL706" s="51">
        <f t="shared" si="3364"/>
        <v>35.212399999999995</v>
      </c>
      <c r="AM706" s="51"/>
      <c r="AN706" s="51">
        <f t="shared" si="3499"/>
        <v>42.105000000000004</v>
      </c>
      <c r="AO706" s="51">
        <f t="shared" si="3366"/>
        <v>41.078690476190481</v>
      </c>
      <c r="AP706" s="51"/>
      <c r="AQ706" s="51">
        <f t="shared" si="3694"/>
        <v>60.085000000000001</v>
      </c>
      <c r="AR706" s="51">
        <f t="shared" si="3695"/>
        <v>62.807699999999997</v>
      </c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8"/>
      <c r="BK706" s="8"/>
      <c r="BL706" s="8"/>
      <c r="BM706" s="8"/>
    </row>
    <row r="707" spans="1:65" ht="30" hidden="1" customHeight="1" x14ac:dyDescent="0.45">
      <c r="A707" s="55">
        <f t="shared" si="3789"/>
        <v>45828</v>
      </c>
      <c r="B707" s="56">
        <v>98.71</v>
      </c>
      <c r="C707" s="56">
        <v>72.98</v>
      </c>
      <c r="D707" s="56">
        <v>55.4</v>
      </c>
      <c r="E707" s="56">
        <v>40.64</v>
      </c>
      <c r="F707" s="56">
        <v>30.22</v>
      </c>
      <c r="G707" s="56">
        <v>109.41</v>
      </c>
      <c r="H707" s="51">
        <f t="shared" ref="H707:M707" si="3825">B707-B706</f>
        <v>-0.62000000000000455</v>
      </c>
      <c r="I707" s="51">
        <f t="shared" si="3825"/>
        <v>-1.2099999999999937</v>
      </c>
      <c r="J707" s="51">
        <f t="shared" si="3825"/>
        <v>-1.1000000000000014</v>
      </c>
      <c r="K707" s="51">
        <f t="shared" si="3825"/>
        <v>-1.3599999999999994</v>
      </c>
      <c r="L707" s="51">
        <f t="shared" si="3825"/>
        <v>-1.2100000000000009</v>
      </c>
      <c r="M707" s="85">
        <f t="shared" si="3825"/>
        <v>5.0300000000000011</v>
      </c>
      <c r="N707" s="51">
        <f t="shared" ref="N707:R707" si="3826">N706</f>
        <v>99.089999999999989</v>
      </c>
      <c r="O707" s="51">
        <f t="shared" si="3826"/>
        <v>73.849999999999994</v>
      </c>
      <c r="P707" s="51">
        <f t="shared" si="3826"/>
        <v>56.234999999999999</v>
      </c>
      <c r="Q707" s="51">
        <f t="shared" si="3826"/>
        <v>41.88</v>
      </c>
      <c r="R707" s="51">
        <f t="shared" si="3826"/>
        <v>30.939999999999998</v>
      </c>
      <c r="S707" s="51">
        <f t="shared" ref="S707:W707" si="3827">(B706+B707)/2</f>
        <v>99.02</v>
      </c>
      <c r="T707" s="51">
        <f t="shared" si="3827"/>
        <v>73.585000000000008</v>
      </c>
      <c r="U707" s="51">
        <f t="shared" si="3827"/>
        <v>55.95</v>
      </c>
      <c r="V707" s="51">
        <f t="shared" si="3827"/>
        <v>41.32</v>
      </c>
      <c r="W707" s="51">
        <f t="shared" si="3827"/>
        <v>30.824999999999999</v>
      </c>
      <c r="X707" s="51">
        <f t="shared" ref="X707:AB707" si="3828">(SUM(B704:B707))/4</f>
        <v>99.924999999999997</v>
      </c>
      <c r="Y707" s="51">
        <f t="shared" si="3828"/>
        <v>74.575000000000003</v>
      </c>
      <c r="Z707" s="51">
        <f t="shared" si="3828"/>
        <v>57.237500000000004</v>
      </c>
      <c r="AA707" s="51">
        <f t="shared" si="3828"/>
        <v>43.262500000000003</v>
      </c>
      <c r="AB707" s="51">
        <f t="shared" si="3828"/>
        <v>31.627499999999998</v>
      </c>
      <c r="AC707" s="80">
        <f t="shared" ref="AC707:AF707" si="3829">(B707+C707)/2</f>
        <v>85.844999999999999</v>
      </c>
      <c r="AD707" s="80">
        <f t="shared" si="3829"/>
        <v>64.19</v>
      </c>
      <c r="AE707" s="80">
        <f t="shared" si="3829"/>
        <v>48.019999999999996</v>
      </c>
      <c r="AF707" s="80">
        <f t="shared" si="3829"/>
        <v>35.43</v>
      </c>
      <c r="AG707" s="51">
        <f t="shared" si="3360"/>
        <v>55.489999999999995</v>
      </c>
      <c r="AH707" s="51">
        <f t="shared" si="3361"/>
        <v>48.4</v>
      </c>
      <c r="AI707" s="51">
        <f t="shared" si="3726"/>
        <v>56.984999999999999</v>
      </c>
      <c r="AJ707" s="51">
        <f t="shared" si="3773"/>
        <v>56.097999999999999</v>
      </c>
      <c r="AK707" s="51">
        <f t="shared" si="3650"/>
        <v>30.722499999999997</v>
      </c>
      <c r="AL707" s="51">
        <f t="shared" si="3364"/>
        <v>33.908149999999999</v>
      </c>
      <c r="AM707" s="51"/>
      <c r="AN707" s="51">
        <f t="shared" si="3499"/>
        <v>40.32</v>
      </c>
      <c r="AO707" s="51">
        <f t="shared" si="3366"/>
        <v>39.336190476190474</v>
      </c>
      <c r="AP707" s="51"/>
      <c r="AQ707" s="51">
        <f t="shared" si="3694"/>
        <v>58.687500000000007</v>
      </c>
      <c r="AR707" s="51">
        <f t="shared" si="3695"/>
        <v>61.382250000000006</v>
      </c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8"/>
      <c r="BK707" s="8"/>
      <c r="BL707" s="8"/>
      <c r="BM707" s="8"/>
    </row>
    <row r="708" spans="1:65" ht="30" hidden="1" customHeight="1" x14ac:dyDescent="0.45">
      <c r="A708" s="55">
        <f t="shared" si="3789"/>
        <v>45835</v>
      </c>
      <c r="B708" s="56">
        <v>97.89</v>
      </c>
      <c r="C708" s="56">
        <v>73.03</v>
      </c>
      <c r="D708" s="56">
        <v>55.14</v>
      </c>
      <c r="E708" s="56">
        <v>40.67</v>
      </c>
      <c r="F708" s="56">
        <v>29.91</v>
      </c>
      <c r="G708" s="56">
        <v>108.87</v>
      </c>
      <c r="H708" s="51">
        <f t="shared" ref="H708:M708" si="3830">B708-B707</f>
        <v>-0.81999999999999318</v>
      </c>
      <c r="I708" s="51">
        <f t="shared" si="3830"/>
        <v>4.9999999999997158E-2</v>
      </c>
      <c r="J708" s="51">
        <f t="shared" si="3830"/>
        <v>-0.25999999999999801</v>
      </c>
      <c r="K708" s="51">
        <f t="shared" si="3830"/>
        <v>3.0000000000001137E-2</v>
      </c>
      <c r="L708" s="51">
        <f t="shared" si="3830"/>
        <v>-0.30999999999999872</v>
      </c>
      <c r="M708" s="85">
        <f t="shared" si="3830"/>
        <v>-0.53999999999999204</v>
      </c>
      <c r="N708" s="51">
        <f t="shared" ref="N708:R708" si="3831">N707</f>
        <v>99.089999999999989</v>
      </c>
      <c r="O708" s="51">
        <f t="shared" si="3831"/>
        <v>73.849999999999994</v>
      </c>
      <c r="P708" s="51">
        <f t="shared" si="3831"/>
        <v>56.234999999999999</v>
      </c>
      <c r="Q708" s="51">
        <f t="shared" si="3831"/>
        <v>41.88</v>
      </c>
      <c r="R708" s="51">
        <f t="shared" si="3831"/>
        <v>30.939999999999998</v>
      </c>
      <c r="S708" s="51">
        <f t="shared" ref="S708:W708" si="3832">(B707+B708)/2</f>
        <v>98.3</v>
      </c>
      <c r="T708" s="51">
        <f t="shared" si="3832"/>
        <v>73.004999999999995</v>
      </c>
      <c r="U708" s="51">
        <f t="shared" si="3832"/>
        <v>55.269999999999996</v>
      </c>
      <c r="V708" s="51">
        <f t="shared" si="3832"/>
        <v>40.655000000000001</v>
      </c>
      <c r="W708" s="51">
        <f t="shared" si="3832"/>
        <v>30.064999999999998</v>
      </c>
      <c r="X708" s="51">
        <f t="shared" ref="X708:AB708" si="3833">(SUM(B705:B708))/4</f>
        <v>99.089999999999989</v>
      </c>
      <c r="Y708" s="51">
        <f t="shared" si="3833"/>
        <v>73.849999999999994</v>
      </c>
      <c r="Z708" s="51">
        <f t="shared" si="3833"/>
        <v>56.234999999999999</v>
      </c>
      <c r="AA708" s="51">
        <f t="shared" si="3833"/>
        <v>41.88</v>
      </c>
      <c r="AB708" s="51">
        <f t="shared" si="3833"/>
        <v>30.939999999999998</v>
      </c>
      <c r="AC708" s="80">
        <f t="shared" ref="AC708:AF708" si="3834">(B708+C708)/2</f>
        <v>85.460000000000008</v>
      </c>
      <c r="AD708" s="80">
        <f t="shared" si="3834"/>
        <v>64.085000000000008</v>
      </c>
      <c r="AE708" s="80">
        <f t="shared" si="3834"/>
        <v>47.905000000000001</v>
      </c>
      <c r="AF708" s="80">
        <f t="shared" si="3834"/>
        <v>35.29</v>
      </c>
      <c r="AG708" s="51">
        <f t="shared" si="3360"/>
        <v>55.385000000000005</v>
      </c>
      <c r="AH708" s="51">
        <f t="shared" si="3361"/>
        <v>48.14</v>
      </c>
      <c r="AI708" s="51">
        <f t="shared" si="3726"/>
        <v>56.984999999999999</v>
      </c>
      <c r="AJ708" s="51">
        <f t="shared" si="3773"/>
        <v>55.135599999999997</v>
      </c>
      <c r="AK708" s="51">
        <f t="shared" si="3650"/>
        <v>30.009999999999998</v>
      </c>
      <c r="AL708" s="51">
        <f t="shared" si="3364"/>
        <v>33.238399999999999</v>
      </c>
      <c r="AM708" s="51"/>
      <c r="AN708" s="51">
        <f t="shared" si="3499"/>
        <v>39.655000000000001</v>
      </c>
      <c r="AO708" s="51">
        <f t="shared" si="3366"/>
        <v>38.687023809523808</v>
      </c>
      <c r="AP708" s="51"/>
      <c r="AQ708" s="51">
        <f t="shared" si="3694"/>
        <v>57.685000000000002</v>
      </c>
      <c r="AR708" s="51">
        <f t="shared" si="3695"/>
        <v>60.359700000000004</v>
      </c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8"/>
      <c r="BK708" s="8"/>
      <c r="BL708" s="8"/>
      <c r="BM708" s="8"/>
    </row>
    <row r="709" spans="1:65" ht="30" hidden="1" customHeight="1" x14ac:dyDescent="0.45">
      <c r="A709" s="55">
        <f t="shared" si="3789"/>
        <v>45842</v>
      </c>
      <c r="B709" s="56">
        <v>97.89</v>
      </c>
      <c r="C709" s="56">
        <v>72.680000000000007</v>
      </c>
      <c r="D709" s="56">
        <v>55.05</v>
      </c>
      <c r="E709" s="56">
        <v>40.450000000000003</v>
      </c>
      <c r="F709" s="56">
        <v>29.48</v>
      </c>
      <c r="G709" s="56">
        <v>109.85</v>
      </c>
      <c r="H709" s="51">
        <f t="shared" ref="H709:M709" si="3835">B709-B708</f>
        <v>0</v>
      </c>
      <c r="I709" s="51">
        <f t="shared" si="3835"/>
        <v>-0.34999999999999432</v>
      </c>
      <c r="J709" s="51">
        <f t="shared" si="3835"/>
        <v>-9.0000000000003411E-2</v>
      </c>
      <c r="K709" s="51">
        <f t="shared" si="3835"/>
        <v>-0.21999999999999886</v>
      </c>
      <c r="L709" s="51">
        <f t="shared" si="3835"/>
        <v>-0.42999999999999972</v>
      </c>
      <c r="M709" s="85">
        <f t="shared" si="3835"/>
        <v>0.97999999999998977</v>
      </c>
      <c r="N709" s="69">
        <f t="shared" ref="N709:R709" si="3836">AVERAGE(B709:B712)</f>
        <v>97.914999999999992</v>
      </c>
      <c r="O709" s="69">
        <f t="shared" si="3836"/>
        <v>73.080000000000013</v>
      </c>
      <c r="P709" s="69">
        <f t="shared" si="3836"/>
        <v>55.4</v>
      </c>
      <c r="Q709" s="69">
        <f t="shared" si="3836"/>
        <v>40.677500000000009</v>
      </c>
      <c r="R709" s="69">
        <f t="shared" si="3836"/>
        <v>29.482500000000002</v>
      </c>
      <c r="S709" s="51">
        <f t="shared" ref="S709:W709" si="3837">(B708+B709)/2</f>
        <v>97.89</v>
      </c>
      <c r="T709" s="51">
        <f t="shared" si="3837"/>
        <v>72.855000000000004</v>
      </c>
      <c r="U709" s="51">
        <f t="shared" si="3837"/>
        <v>55.094999999999999</v>
      </c>
      <c r="V709" s="51">
        <f t="shared" si="3837"/>
        <v>40.56</v>
      </c>
      <c r="W709" s="51">
        <f t="shared" si="3837"/>
        <v>29.695</v>
      </c>
      <c r="X709" s="51">
        <f t="shared" ref="X709:AB709" si="3838">(SUM(B706:B709))/4</f>
        <v>98.454999999999998</v>
      </c>
      <c r="Y709" s="51">
        <f t="shared" si="3838"/>
        <v>73.22</v>
      </c>
      <c r="Z709" s="51">
        <f t="shared" si="3838"/>
        <v>55.522500000000008</v>
      </c>
      <c r="AA709" s="51">
        <f t="shared" si="3838"/>
        <v>40.94</v>
      </c>
      <c r="AB709" s="51">
        <f t="shared" si="3838"/>
        <v>30.26</v>
      </c>
      <c r="AC709" s="80">
        <f t="shared" ref="AC709:AF709" si="3839">(B709+C709)/2</f>
        <v>85.284999999999997</v>
      </c>
      <c r="AD709" s="80">
        <f t="shared" si="3839"/>
        <v>63.865000000000002</v>
      </c>
      <c r="AE709" s="80">
        <f t="shared" si="3839"/>
        <v>47.75</v>
      </c>
      <c r="AF709" s="80">
        <f t="shared" si="3839"/>
        <v>34.965000000000003</v>
      </c>
      <c r="AG709" s="51">
        <f t="shared" si="3360"/>
        <v>55.165000000000006</v>
      </c>
      <c r="AH709" s="51">
        <f t="shared" si="3361"/>
        <v>48.05</v>
      </c>
      <c r="AI709" s="51">
        <f t="shared" si="3726"/>
        <v>56.15</v>
      </c>
      <c r="AJ709" s="51">
        <f t="shared" si="3773"/>
        <v>54.451600000000013</v>
      </c>
      <c r="AK709" s="51">
        <f t="shared" si="3650"/>
        <v>29.777499999999996</v>
      </c>
      <c r="AL709" s="51">
        <f t="shared" si="3364"/>
        <v>33.019849999999998</v>
      </c>
      <c r="AM709" s="51"/>
      <c r="AN709" s="51">
        <f t="shared" si="3499"/>
        <v>39.56</v>
      </c>
      <c r="AO709" s="51">
        <f t="shared" si="3366"/>
        <v>38.594285714285711</v>
      </c>
      <c r="AP709" s="51"/>
      <c r="AQ709" s="51">
        <f t="shared" si="3694"/>
        <v>56.972500000000011</v>
      </c>
      <c r="AR709" s="51">
        <f t="shared" si="3695"/>
        <v>59.632950000000008</v>
      </c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8"/>
      <c r="BK709" s="8"/>
      <c r="BL709" s="8"/>
      <c r="BM709" s="8"/>
    </row>
    <row r="710" spans="1:65" ht="30" hidden="1" customHeight="1" x14ac:dyDescent="0.45">
      <c r="A710" s="72">
        <f t="shared" si="3789"/>
        <v>45849</v>
      </c>
      <c r="B710" s="56">
        <v>97.93</v>
      </c>
      <c r="C710" s="56">
        <v>72.92</v>
      </c>
      <c r="D710" s="56">
        <v>55.03</v>
      </c>
      <c r="E710" s="56">
        <v>40.6</v>
      </c>
      <c r="F710" s="56">
        <v>29.43</v>
      </c>
      <c r="G710" s="56">
        <v>110.03</v>
      </c>
      <c r="H710" s="69">
        <f t="shared" ref="H710:M710" si="3840">B710-B709</f>
        <v>4.0000000000006253E-2</v>
      </c>
      <c r="I710" s="69">
        <f t="shared" si="3840"/>
        <v>0.23999999999999488</v>
      </c>
      <c r="J710" s="69">
        <f t="shared" si="3840"/>
        <v>-1.9999999999996021E-2</v>
      </c>
      <c r="K710" s="69">
        <f t="shared" si="3840"/>
        <v>0.14999999999999858</v>
      </c>
      <c r="L710" s="69">
        <f t="shared" si="3840"/>
        <v>-5.0000000000000711E-2</v>
      </c>
      <c r="M710" s="85">
        <f t="shared" si="3840"/>
        <v>0.18000000000000682</v>
      </c>
      <c r="N710" s="69">
        <f t="shared" ref="N710:R710" si="3841">N709</f>
        <v>97.914999999999992</v>
      </c>
      <c r="O710" s="69">
        <f t="shared" si="3841"/>
        <v>73.080000000000013</v>
      </c>
      <c r="P710" s="69">
        <f t="shared" si="3841"/>
        <v>55.4</v>
      </c>
      <c r="Q710" s="69">
        <f t="shared" si="3841"/>
        <v>40.677500000000009</v>
      </c>
      <c r="R710" s="69">
        <f t="shared" si="3841"/>
        <v>29.482500000000002</v>
      </c>
      <c r="S710" s="69">
        <f t="shared" ref="S710:W710" si="3842">(B709+B710)/2</f>
        <v>97.91</v>
      </c>
      <c r="T710" s="69">
        <f t="shared" si="3842"/>
        <v>72.800000000000011</v>
      </c>
      <c r="U710" s="69">
        <f t="shared" si="3842"/>
        <v>55.04</v>
      </c>
      <c r="V710" s="69">
        <f t="shared" si="3842"/>
        <v>40.525000000000006</v>
      </c>
      <c r="W710" s="69">
        <f t="shared" si="3842"/>
        <v>29.454999999999998</v>
      </c>
      <c r="X710" s="69">
        <f t="shared" ref="X710:AB710" si="3843">(SUM(B707:B710))/4</f>
        <v>98.105000000000004</v>
      </c>
      <c r="Y710" s="69">
        <f t="shared" si="3843"/>
        <v>72.902500000000003</v>
      </c>
      <c r="Z710" s="69">
        <f t="shared" si="3843"/>
        <v>55.154999999999994</v>
      </c>
      <c r="AA710" s="69">
        <f t="shared" si="3843"/>
        <v>40.590000000000003</v>
      </c>
      <c r="AB710" s="69">
        <f t="shared" si="3843"/>
        <v>29.759999999999998</v>
      </c>
      <c r="AC710" s="80">
        <f t="shared" ref="AC710:AF710" si="3844">(B710+C710)/2</f>
        <v>85.425000000000011</v>
      </c>
      <c r="AD710" s="80">
        <f t="shared" si="3844"/>
        <v>63.975000000000001</v>
      </c>
      <c r="AE710" s="80">
        <f t="shared" si="3844"/>
        <v>47.814999999999998</v>
      </c>
      <c r="AF710" s="80">
        <f t="shared" si="3844"/>
        <v>35.015000000000001</v>
      </c>
      <c r="AG710" s="69">
        <f t="shared" si="3360"/>
        <v>55.275000000000006</v>
      </c>
      <c r="AH710" s="69">
        <f t="shared" si="3361"/>
        <v>48.03</v>
      </c>
      <c r="AI710" s="51">
        <f t="shared" si="3726"/>
        <v>56.15</v>
      </c>
      <c r="AJ710" s="69">
        <f t="shared" si="3773"/>
        <v>54.098799999999997</v>
      </c>
      <c r="AK710" s="69">
        <f t="shared" si="3650"/>
        <v>29.64</v>
      </c>
      <c r="AL710" s="69">
        <f t="shared" si="3364"/>
        <v>32.890599999999999</v>
      </c>
      <c r="AM710" s="69"/>
      <c r="AN710" s="69">
        <f t="shared" si="3499"/>
        <v>39.525000000000006</v>
      </c>
      <c r="AO710" s="69">
        <f t="shared" si="3366"/>
        <v>38.560119047619054</v>
      </c>
      <c r="AP710" s="69"/>
      <c r="AQ710" s="69">
        <f t="shared" si="3694"/>
        <v>56.604999999999997</v>
      </c>
      <c r="AR710" s="51">
        <f t="shared" si="3695"/>
        <v>59.258099999999992</v>
      </c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8"/>
      <c r="BK710" s="8"/>
      <c r="BL710" s="8"/>
      <c r="BM710" s="8"/>
    </row>
    <row r="711" spans="1:65" ht="30" hidden="1" customHeight="1" x14ac:dyDescent="0.45">
      <c r="A711" s="55">
        <f t="shared" si="3789"/>
        <v>45856</v>
      </c>
      <c r="B711" s="56">
        <v>97.69</v>
      </c>
      <c r="C711" s="56">
        <v>73.17</v>
      </c>
      <c r="D711" s="56">
        <v>55.61</v>
      </c>
      <c r="E711" s="56">
        <v>40.74</v>
      </c>
      <c r="F711" s="56">
        <v>29.42</v>
      </c>
      <c r="G711" s="56">
        <v>110.8</v>
      </c>
      <c r="H711" s="51">
        <f t="shared" ref="H711:M711" si="3845">B711-B710</f>
        <v>-0.24000000000000909</v>
      </c>
      <c r="I711" s="51">
        <f t="shared" si="3845"/>
        <v>0.25</v>
      </c>
      <c r="J711" s="51">
        <f t="shared" si="3845"/>
        <v>0.57999999999999829</v>
      </c>
      <c r="K711" s="51">
        <f t="shared" si="3845"/>
        <v>0.14000000000000057</v>
      </c>
      <c r="L711" s="51">
        <f t="shared" si="3845"/>
        <v>-9.9999999999980105E-3</v>
      </c>
      <c r="M711" s="85">
        <f t="shared" si="3845"/>
        <v>0.76999999999999602</v>
      </c>
      <c r="N711" s="51">
        <f t="shared" ref="N711:R711" si="3846">N710</f>
        <v>97.914999999999992</v>
      </c>
      <c r="O711" s="51">
        <f t="shared" si="3846"/>
        <v>73.080000000000013</v>
      </c>
      <c r="P711" s="51">
        <f t="shared" si="3846"/>
        <v>55.4</v>
      </c>
      <c r="Q711" s="51">
        <f t="shared" si="3846"/>
        <v>40.677500000000009</v>
      </c>
      <c r="R711" s="51">
        <f t="shared" si="3846"/>
        <v>29.482500000000002</v>
      </c>
      <c r="S711" s="51">
        <f t="shared" ref="S711:W711" si="3847">(B710+B711)/2</f>
        <v>97.81</v>
      </c>
      <c r="T711" s="51">
        <f t="shared" si="3847"/>
        <v>73.045000000000002</v>
      </c>
      <c r="U711" s="51">
        <f t="shared" si="3847"/>
        <v>55.32</v>
      </c>
      <c r="V711" s="51">
        <f t="shared" si="3847"/>
        <v>40.67</v>
      </c>
      <c r="W711" s="51">
        <f t="shared" si="3847"/>
        <v>29.425000000000001</v>
      </c>
      <c r="X711" s="51">
        <f t="shared" ref="X711:AB711" si="3848">(SUM(B708:B711))/4</f>
        <v>97.850000000000009</v>
      </c>
      <c r="Y711" s="51">
        <f t="shared" si="3848"/>
        <v>72.95</v>
      </c>
      <c r="Z711" s="51">
        <f t="shared" si="3848"/>
        <v>55.207499999999996</v>
      </c>
      <c r="AA711" s="51">
        <f t="shared" si="3848"/>
        <v>40.615000000000002</v>
      </c>
      <c r="AB711" s="51">
        <f t="shared" si="3848"/>
        <v>29.56</v>
      </c>
      <c r="AC711" s="80">
        <f t="shared" ref="AC711:AF711" si="3849">(B711+C711)/2</f>
        <v>85.43</v>
      </c>
      <c r="AD711" s="80">
        <f t="shared" si="3849"/>
        <v>64.39</v>
      </c>
      <c r="AE711" s="80">
        <f t="shared" si="3849"/>
        <v>48.174999999999997</v>
      </c>
      <c r="AF711" s="80">
        <f t="shared" si="3849"/>
        <v>35.08</v>
      </c>
      <c r="AG711" s="51">
        <f t="shared" si="3360"/>
        <v>55.69</v>
      </c>
      <c r="AH711" s="51">
        <f t="shared" si="3361"/>
        <v>48.61</v>
      </c>
      <c r="AI711" s="51">
        <f t="shared" si="3726"/>
        <v>56.15</v>
      </c>
      <c r="AJ711" s="51">
        <f t="shared" si="3773"/>
        <v>54.1492</v>
      </c>
      <c r="AK711" s="51">
        <f t="shared" si="3650"/>
        <v>29.697499999999998</v>
      </c>
      <c r="AL711" s="51">
        <f t="shared" si="3364"/>
        <v>32.944649999999996</v>
      </c>
      <c r="AM711" s="51"/>
      <c r="AN711" s="51">
        <f t="shared" si="3499"/>
        <v>39.67</v>
      </c>
      <c r="AO711" s="51">
        <f t="shared" si="3366"/>
        <v>38.701666666666668</v>
      </c>
      <c r="AP711" s="51"/>
      <c r="AQ711" s="51">
        <f t="shared" si="3694"/>
        <v>56.657499999999999</v>
      </c>
      <c r="AR711" s="51">
        <f t="shared" si="3695"/>
        <v>59.31165</v>
      </c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8"/>
      <c r="BK711" s="8"/>
      <c r="BL711" s="8"/>
      <c r="BM711" s="8"/>
    </row>
    <row r="712" spans="1:65" ht="30" hidden="1" customHeight="1" x14ac:dyDescent="0.45">
      <c r="A712" s="55">
        <f t="shared" si="3789"/>
        <v>45863</v>
      </c>
      <c r="B712" s="56">
        <v>98.15</v>
      </c>
      <c r="C712" s="56">
        <v>73.55</v>
      </c>
      <c r="D712" s="56">
        <v>55.91</v>
      </c>
      <c r="E712" s="56">
        <v>40.92</v>
      </c>
      <c r="F712" s="56">
        <v>29.6</v>
      </c>
      <c r="G712" s="56">
        <v>110.21</v>
      </c>
      <c r="H712" s="51">
        <f t="shared" ref="H712:M712" si="3850">B712-B711</f>
        <v>0.46000000000000796</v>
      </c>
      <c r="I712" s="51">
        <f t="shared" si="3850"/>
        <v>0.37999999999999545</v>
      </c>
      <c r="J712" s="51">
        <f t="shared" si="3850"/>
        <v>0.29999999999999716</v>
      </c>
      <c r="K712" s="51">
        <f t="shared" si="3850"/>
        <v>0.17999999999999972</v>
      </c>
      <c r="L712" s="51">
        <f t="shared" si="3850"/>
        <v>0.17999999999999972</v>
      </c>
      <c r="M712" s="85">
        <f t="shared" si="3850"/>
        <v>-0.59000000000000341</v>
      </c>
      <c r="N712" s="51">
        <f t="shared" ref="N712:R712" si="3851">N711</f>
        <v>97.914999999999992</v>
      </c>
      <c r="O712" s="51">
        <f t="shared" si="3851"/>
        <v>73.080000000000013</v>
      </c>
      <c r="P712" s="51">
        <f t="shared" si="3851"/>
        <v>55.4</v>
      </c>
      <c r="Q712" s="51">
        <f t="shared" si="3851"/>
        <v>40.677500000000009</v>
      </c>
      <c r="R712" s="51">
        <f t="shared" si="3851"/>
        <v>29.482500000000002</v>
      </c>
      <c r="S712" s="51">
        <f t="shared" ref="S712:W712" si="3852">(B711+B712)/2</f>
        <v>97.92</v>
      </c>
      <c r="T712" s="51">
        <f t="shared" si="3852"/>
        <v>73.36</v>
      </c>
      <c r="U712" s="51">
        <f t="shared" si="3852"/>
        <v>55.76</v>
      </c>
      <c r="V712" s="51">
        <f t="shared" si="3852"/>
        <v>40.83</v>
      </c>
      <c r="W712" s="51">
        <f t="shared" si="3852"/>
        <v>29.51</v>
      </c>
      <c r="X712" s="51">
        <f t="shared" ref="X712:AB712" si="3853">(SUM(B709:B712))/4</f>
        <v>97.914999999999992</v>
      </c>
      <c r="Y712" s="51">
        <f t="shared" si="3853"/>
        <v>73.080000000000013</v>
      </c>
      <c r="Z712" s="51">
        <f t="shared" si="3853"/>
        <v>55.4</v>
      </c>
      <c r="AA712" s="51">
        <f t="shared" si="3853"/>
        <v>40.677500000000009</v>
      </c>
      <c r="AB712" s="51">
        <f t="shared" si="3853"/>
        <v>29.482500000000002</v>
      </c>
      <c r="AC712" s="80">
        <f t="shared" ref="AC712:AF712" si="3854">(B712+C712)/2</f>
        <v>85.85</v>
      </c>
      <c r="AD712" s="80">
        <f t="shared" si="3854"/>
        <v>64.72999999999999</v>
      </c>
      <c r="AE712" s="80">
        <f t="shared" si="3854"/>
        <v>48.414999999999999</v>
      </c>
      <c r="AF712" s="80">
        <f t="shared" si="3854"/>
        <v>35.260000000000005</v>
      </c>
      <c r="AG712" s="51">
        <f t="shared" si="3360"/>
        <v>56.029999999999987</v>
      </c>
      <c r="AH712" s="51">
        <f t="shared" si="3361"/>
        <v>48.91</v>
      </c>
      <c r="AI712" s="51">
        <f t="shared" si="3726"/>
        <v>56.15</v>
      </c>
      <c r="AJ712" s="51">
        <f t="shared" si="3773"/>
        <v>54.333999999999996</v>
      </c>
      <c r="AK712" s="51">
        <f t="shared" si="3650"/>
        <v>29.82</v>
      </c>
      <c r="AL712" s="51">
        <f t="shared" si="3364"/>
        <v>33.059800000000003</v>
      </c>
      <c r="AM712" s="51"/>
      <c r="AN712" s="51">
        <f t="shared" si="3499"/>
        <v>39.83</v>
      </c>
      <c r="AO712" s="51">
        <f t="shared" si="3366"/>
        <v>38.857857142857142</v>
      </c>
      <c r="AP712" s="51"/>
      <c r="AQ712" s="51">
        <f t="shared" si="3694"/>
        <v>56.85</v>
      </c>
      <c r="AR712" s="51">
        <f t="shared" si="3695"/>
        <v>59.508000000000003</v>
      </c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8"/>
      <c r="BK712" s="8"/>
      <c r="BL712" s="8"/>
      <c r="BM712" s="8"/>
    </row>
    <row r="713" spans="1:65" ht="30" hidden="1" customHeight="1" x14ac:dyDescent="0.45">
      <c r="A713" s="55">
        <f t="shared" si="3789"/>
        <v>45870</v>
      </c>
      <c r="B713" s="56">
        <v>98.94</v>
      </c>
      <c r="C713" s="56">
        <v>74.22</v>
      </c>
      <c r="D713" s="56">
        <v>56.18</v>
      </c>
      <c r="E713" s="56">
        <v>41.2</v>
      </c>
      <c r="F713" s="56">
        <v>29.77</v>
      </c>
      <c r="G713" s="56">
        <v>113.85</v>
      </c>
      <c r="H713" s="51">
        <f t="shared" ref="H713:M713" si="3855">B713-B712</f>
        <v>0.78999999999999204</v>
      </c>
      <c r="I713" s="51">
        <f t="shared" si="3855"/>
        <v>0.67000000000000171</v>
      </c>
      <c r="J713" s="51">
        <f t="shared" si="3855"/>
        <v>0.27000000000000313</v>
      </c>
      <c r="K713" s="51">
        <f t="shared" si="3855"/>
        <v>0.28000000000000114</v>
      </c>
      <c r="L713" s="51">
        <f t="shared" si="3855"/>
        <v>0.16999999999999815</v>
      </c>
      <c r="M713" s="85">
        <f t="shared" si="3855"/>
        <v>3.6400000000000006</v>
      </c>
      <c r="N713" s="69">
        <f t="shared" ref="N713:R713" si="3856">AVERAGE(B713:B717)</f>
        <v>99.957999999999998</v>
      </c>
      <c r="O713" s="69">
        <f t="shared" si="3856"/>
        <v>75.407999999999987</v>
      </c>
      <c r="P713" s="69">
        <f t="shared" si="3856"/>
        <v>57.775999999999996</v>
      </c>
      <c r="Q713" s="69">
        <f t="shared" si="3856"/>
        <v>42.531999999999996</v>
      </c>
      <c r="R713" s="69">
        <f t="shared" si="3856"/>
        <v>30.618000000000002</v>
      </c>
      <c r="S713" s="51">
        <f t="shared" ref="S713:W713" si="3857">(B712+B713)/2</f>
        <v>98.545000000000002</v>
      </c>
      <c r="T713" s="51">
        <f t="shared" si="3857"/>
        <v>73.884999999999991</v>
      </c>
      <c r="U713" s="51">
        <f t="shared" si="3857"/>
        <v>56.045000000000002</v>
      </c>
      <c r="V713" s="51">
        <f t="shared" si="3857"/>
        <v>41.06</v>
      </c>
      <c r="W713" s="51">
        <f t="shared" si="3857"/>
        <v>29.685000000000002</v>
      </c>
      <c r="X713" s="51">
        <f t="shared" ref="X713:AB713" si="3858">(SUM(B710:B713))/4</f>
        <v>98.177499999999995</v>
      </c>
      <c r="Y713" s="51">
        <f t="shared" si="3858"/>
        <v>73.465000000000003</v>
      </c>
      <c r="Z713" s="51">
        <f t="shared" si="3858"/>
        <v>55.682500000000005</v>
      </c>
      <c r="AA713" s="51">
        <f t="shared" si="3858"/>
        <v>40.865000000000002</v>
      </c>
      <c r="AB713" s="51">
        <f t="shared" si="3858"/>
        <v>29.555</v>
      </c>
      <c r="AC713" s="80">
        <f t="shared" ref="AC713:AF713" si="3859">(B713+C713)/2</f>
        <v>86.58</v>
      </c>
      <c r="AD713" s="80">
        <f t="shared" si="3859"/>
        <v>65.2</v>
      </c>
      <c r="AE713" s="80">
        <f t="shared" si="3859"/>
        <v>48.69</v>
      </c>
      <c r="AF713" s="80">
        <f t="shared" si="3859"/>
        <v>35.484999999999999</v>
      </c>
      <c r="AG713" s="51">
        <f t="shared" si="3360"/>
        <v>56.5</v>
      </c>
      <c r="AH713" s="51">
        <f t="shared" si="3361"/>
        <v>49.18</v>
      </c>
      <c r="AI713" s="51">
        <f t="shared" si="3726"/>
        <v>58.525999999999996</v>
      </c>
      <c r="AJ713" s="51">
        <f t="shared" si="3773"/>
        <v>54.605199999999996</v>
      </c>
      <c r="AK713" s="51">
        <f t="shared" si="3650"/>
        <v>30.022500000000001</v>
      </c>
      <c r="AL713" s="51">
        <f t="shared" si="3364"/>
        <v>33.250149999999998</v>
      </c>
      <c r="AM713" s="51"/>
      <c r="AN713" s="51">
        <f t="shared" si="3499"/>
        <v>40.06</v>
      </c>
      <c r="AO713" s="51">
        <f t="shared" si="3366"/>
        <v>39.082380952380952</v>
      </c>
      <c r="AP713" s="51"/>
      <c r="AQ713" s="51">
        <f t="shared" si="3694"/>
        <v>57.132500000000007</v>
      </c>
      <c r="AR713" s="51">
        <f t="shared" si="3695"/>
        <v>59.796150000000004</v>
      </c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8"/>
      <c r="BK713" s="8"/>
      <c r="BL713" s="8"/>
      <c r="BM713" s="8"/>
    </row>
    <row r="714" spans="1:65" ht="30" hidden="1" customHeight="1" x14ac:dyDescent="0.45">
      <c r="A714" s="55">
        <f t="shared" si="3789"/>
        <v>45877</v>
      </c>
      <c r="B714" s="56">
        <v>99.84</v>
      </c>
      <c r="C714" s="56">
        <v>74.709999999999994</v>
      </c>
      <c r="D714" s="56">
        <v>57.12</v>
      </c>
      <c r="E714" s="56">
        <v>41.92</v>
      </c>
      <c r="F714" s="56">
        <v>30.37</v>
      </c>
      <c r="G714" s="56">
        <v>114.16</v>
      </c>
      <c r="H714" s="51">
        <f t="shared" ref="H714:M714" si="3860">B714-B713</f>
        <v>0.90000000000000568</v>
      </c>
      <c r="I714" s="51">
        <f t="shared" si="3860"/>
        <v>0.48999999999999488</v>
      </c>
      <c r="J714" s="51">
        <f t="shared" si="3860"/>
        <v>0.93999999999999773</v>
      </c>
      <c r="K714" s="51">
        <f t="shared" si="3860"/>
        <v>0.71999999999999886</v>
      </c>
      <c r="L714" s="51">
        <f t="shared" si="3860"/>
        <v>0.60000000000000142</v>
      </c>
      <c r="M714" s="85">
        <f t="shared" si="3860"/>
        <v>0.31000000000000227</v>
      </c>
      <c r="N714" s="51">
        <f t="shared" ref="N714:R714" si="3861">N713</f>
        <v>99.957999999999998</v>
      </c>
      <c r="O714" s="51">
        <f t="shared" si="3861"/>
        <v>75.407999999999987</v>
      </c>
      <c r="P714" s="51">
        <f t="shared" si="3861"/>
        <v>57.775999999999996</v>
      </c>
      <c r="Q714" s="51">
        <f t="shared" si="3861"/>
        <v>42.531999999999996</v>
      </c>
      <c r="R714" s="51">
        <f t="shared" si="3861"/>
        <v>30.618000000000002</v>
      </c>
      <c r="S714" s="51">
        <f t="shared" ref="S714:W714" si="3862">(B713+B714)/2</f>
        <v>99.39</v>
      </c>
      <c r="T714" s="51">
        <f t="shared" si="3862"/>
        <v>74.465000000000003</v>
      </c>
      <c r="U714" s="51">
        <f t="shared" si="3862"/>
        <v>56.65</v>
      </c>
      <c r="V714" s="51">
        <f t="shared" si="3862"/>
        <v>41.56</v>
      </c>
      <c r="W714" s="51">
        <f t="shared" si="3862"/>
        <v>30.07</v>
      </c>
      <c r="X714" s="51">
        <f t="shared" ref="X714:AB714" si="3863">(SUM(B711:B714))/4</f>
        <v>98.655000000000001</v>
      </c>
      <c r="Y714" s="51">
        <f t="shared" si="3863"/>
        <v>73.912499999999994</v>
      </c>
      <c r="Z714" s="51">
        <f t="shared" si="3863"/>
        <v>56.204999999999998</v>
      </c>
      <c r="AA714" s="51">
        <f t="shared" si="3863"/>
        <v>41.195</v>
      </c>
      <c r="AB714" s="51">
        <f t="shared" si="3863"/>
        <v>29.790000000000003</v>
      </c>
      <c r="AC714" s="80">
        <f t="shared" ref="AC714:AF714" si="3864">(B714+C714)/2</f>
        <v>87.275000000000006</v>
      </c>
      <c r="AD714" s="80">
        <f t="shared" si="3864"/>
        <v>65.914999999999992</v>
      </c>
      <c r="AE714" s="80">
        <f t="shared" si="3864"/>
        <v>49.519999999999996</v>
      </c>
      <c r="AF714" s="80">
        <f t="shared" si="3864"/>
        <v>36.145000000000003</v>
      </c>
      <c r="AG714" s="51">
        <f t="shared" si="3360"/>
        <v>57.214999999999989</v>
      </c>
      <c r="AH714" s="51">
        <f t="shared" si="3361"/>
        <v>50.12</v>
      </c>
      <c r="AI714" s="51">
        <f t="shared" si="3726"/>
        <v>58.525999999999996</v>
      </c>
      <c r="AJ714" s="51">
        <f t="shared" si="3773"/>
        <v>55.1068</v>
      </c>
      <c r="AK714" s="51">
        <f t="shared" si="3650"/>
        <v>30.464999999999996</v>
      </c>
      <c r="AL714" s="51">
        <f t="shared" si="3364"/>
        <v>33.666099999999993</v>
      </c>
      <c r="AM714" s="51"/>
      <c r="AN714" s="51">
        <f t="shared" si="3499"/>
        <v>40.56</v>
      </c>
      <c r="AO714" s="51">
        <f t="shared" si="3366"/>
        <v>39.570476190476192</v>
      </c>
      <c r="AP714" s="51"/>
      <c r="AQ714" s="51">
        <f t="shared" si="3694"/>
        <v>57.655000000000001</v>
      </c>
      <c r="AR714" s="51">
        <f t="shared" si="3695"/>
        <v>60.329099999999997</v>
      </c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8"/>
      <c r="BK714" s="8"/>
      <c r="BL714" s="8"/>
      <c r="BM714" s="8"/>
    </row>
    <row r="715" spans="1:65" ht="30" hidden="1" customHeight="1" x14ac:dyDescent="0.45">
      <c r="A715" s="55">
        <f t="shared" si="3789"/>
        <v>45884</v>
      </c>
      <c r="B715" s="56">
        <v>100.15</v>
      </c>
      <c r="C715" s="56">
        <v>75.45</v>
      </c>
      <c r="D715" s="56">
        <v>58.31</v>
      </c>
      <c r="E715" s="56">
        <v>43.06</v>
      </c>
      <c r="F715" s="56">
        <v>30.81</v>
      </c>
      <c r="G715" s="56">
        <v>110.18</v>
      </c>
      <c r="H715" s="51">
        <f t="shared" ref="H715:M715" si="3865">B715-B714</f>
        <v>0.31000000000000227</v>
      </c>
      <c r="I715" s="51">
        <f t="shared" si="3865"/>
        <v>0.74000000000000909</v>
      </c>
      <c r="J715" s="51">
        <f t="shared" si="3865"/>
        <v>1.1900000000000048</v>
      </c>
      <c r="K715" s="51">
        <f t="shared" si="3865"/>
        <v>1.1400000000000006</v>
      </c>
      <c r="L715" s="51">
        <f t="shared" si="3865"/>
        <v>0.43999999999999773</v>
      </c>
      <c r="M715" s="85">
        <f t="shared" si="3865"/>
        <v>-3.9799999999999898</v>
      </c>
      <c r="N715" s="51">
        <f t="shared" ref="N715:R715" si="3866">N714</f>
        <v>99.957999999999998</v>
      </c>
      <c r="O715" s="51">
        <f t="shared" si="3866"/>
        <v>75.407999999999987</v>
      </c>
      <c r="P715" s="51">
        <f t="shared" si="3866"/>
        <v>57.775999999999996</v>
      </c>
      <c r="Q715" s="51">
        <f t="shared" si="3866"/>
        <v>42.531999999999996</v>
      </c>
      <c r="R715" s="51">
        <f t="shared" si="3866"/>
        <v>30.618000000000002</v>
      </c>
      <c r="S715" s="51">
        <f t="shared" ref="S715:W715" si="3867">(B714+B715)/2</f>
        <v>99.995000000000005</v>
      </c>
      <c r="T715" s="51">
        <f t="shared" si="3867"/>
        <v>75.08</v>
      </c>
      <c r="U715" s="51">
        <f t="shared" si="3867"/>
        <v>57.715000000000003</v>
      </c>
      <c r="V715" s="51">
        <f t="shared" si="3867"/>
        <v>42.49</v>
      </c>
      <c r="W715" s="51">
        <f t="shared" si="3867"/>
        <v>30.59</v>
      </c>
      <c r="X715" s="51">
        <f t="shared" ref="X715:AB715" si="3868">(SUM(B712:B715))/4</f>
        <v>99.27000000000001</v>
      </c>
      <c r="Y715" s="51">
        <f t="shared" si="3868"/>
        <v>74.482499999999987</v>
      </c>
      <c r="Z715" s="51">
        <f t="shared" si="3868"/>
        <v>56.88</v>
      </c>
      <c r="AA715" s="51">
        <f t="shared" si="3868"/>
        <v>41.775000000000006</v>
      </c>
      <c r="AB715" s="51">
        <f t="shared" si="3868"/>
        <v>30.137500000000003</v>
      </c>
      <c r="AC715" s="80">
        <f t="shared" ref="AC715:AF715" si="3869">(B715+C715)/2</f>
        <v>87.800000000000011</v>
      </c>
      <c r="AD715" s="80">
        <f t="shared" si="3869"/>
        <v>66.88</v>
      </c>
      <c r="AE715" s="80">
        <f t="shared" si="3869"/>
        <v>50.685000000000002</v>
      </c>
      <c r="AF715" s="80">
        <f t="shared" si="3869"/>
        <v>36.935000000000002</v>
      </c>
      <c r="AG715" s="51">
        <f t="shared" si="3360"/>
        <v>58.179999999999993</v>
      </c>
      <c r="AH715" s="51">
        <f t="shared" si="3361"/>
        <v>51.31</v>
      </c>
      <c r="AI715" s="51">
        <f t="shared" si="3726"/>
        <v>58.525999999999996</v>
      </c>
      <c r="AJ715" s="51">
        <f t="shared" si="3773"/>
        <v>55.754799999999996</v>
      </c>
      <c r="AK715" s="51">
        <f t="shared" si="3650"/>
        <v>31.189999999999998</v>
      </c>
      <c r="AL715" s="51">
        <f t="shared" si="3364"/>
        <v>34.3476</v>
      </c>
      <c r="AM715" s="51"/>
      <c r="AN715" s="51">
        <f t="shared" si="3499"/>
        <v>41.49</v>
      </c>
      <c r="AO715" s="51">
        <f t="shared" si="3366"/>
        <v>40.478333333333332</v>
      </c>
      <c r="AP715" s="51"/>
      <c r="AQ715" s="51">
        <f t="shared" si="3694"/>
        <v>58.330000000000005</v>
      </c>
      <c r="AR715" s="51">
        <f t="shared" si="3695"/>
        <v>61.017600000000002</v>
      </c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8"/>
      <c r="BK715" s="8"/>
      <c r="BL715" s="8"/>
      <c r="BM715" s="8"/>
    </row>
    <row r="716" spans="1:65" ht="30" hidden="1" customHeight="1" x14ac:dyDescent="0.45">
      <c r="A716" s="55">
        <f t="shared" si="3789"/>
        <v>45891</v>
      </c>
      <c r="B716" s="56">
        <v>100.55</v>
      </c>
      <c r="C716" s="56">
        <v>76.150000000000006</v>
      </c>
      <c r="D716" s="56">
        <v>58.57</v>
      </c>
      <c r="E716" s="56">
        <v>43.33</v>
      </c>
      <c r="F716" s="56">
        <v>31.09</v>
      </c>
      <c r="G716" s="56">
        <v>110.17</v>
      </c>
      <c r="H716" s="51">
        <f t="shared" ref="H716:M716" si="3870">B716-B715</f>
        <v>0.39999999999999147</v>
      </c>
      <c r="I716" s="51">
        <f t="shared" si="3870"/>
        <v>0.70000000000000284</v>
      </c>
      <c r="J716" s="51">
        <f t="shared" si="3870"/>
        <v>0.25999999999999801</v>
      </c>
      <c r="K716" s="51">
        <f t="shared" si="3870"/>
        <v>0.26999999999999602</v>
      </c>
      <c r="L716" s="51">
        <f t="shared" si="3870"/>
        <v>0.28000000000000114</v>
      </c>
      <c r="M716" s="85">
        <f t="shared" si="3870"/>
        <v>-1.0000000000005116E-2</v>
      </c>
      <c r="N716" s="51">
        <f t="shared" ref="N716:R716" si="3871">N715</f>
        <v>99.957999999999998</v>
      </c>
      <c r="O716" s="51">
        <f t="shared" si="3871"/>
        <v>75.407999999999987</v>
      </c>
      <c r="P716" s="51">
        <f t="shared" si="3871"/>
        <v>57.775999999999996</v>
      </c>
      <c r="Q716" s="51">
        <f t="shared" si="3871"/>
        <v>42.531999999999996</v>
      </c>
      <c r="R716" s="51">
        <f t="shared" si="3871"/>
        <v>30.618000000000002</v>
      </c>
      <c r="S716" s="51">
        <f t="shared" ref="S716:W716" si="3872">(B715+B716)/2</f>
        <v>100.35</v>
      </c>
      <c r="T716" s="51">
        <f t="shared" si="3872"/>
        <v>75.800000000000011</v>
      </c>
      <c r="U716" s="51">
        <f t="shared" si="3872"/>
        <v>58.44</v>
      </c>
      <c r="V716" s="51">
        <f t="shared" si="3872"/>
        <v>43.195</v>
      </c>
      <c r="W716" s="51">
        <f t="shared" si="3872"/>
        <v>30.95</v>
      </c>
      <c r="X716" s="51">
        <f t="shared" ref="X716:AB716" si="3873">(SUM(B713:B716))/4</f>
        <v>99.87</v>
      </c>
      <c r="Y716" s="51">
        <f t="shared" si="3873"/>
        <v>75.132499999999993</v>
      </c>
      <c r="Z716" s="51">
        <f t="shared" si="3873"/>
        <v>57.545000000000002</v>
      </c>
      <c r="AA716" s="51">
        <f t="shared" si="3873"/>
        <v>42.377499999999998</v>
      </c>
      <c r="AB716" s="51">
        <f t="shared" si="3873"/>
        <v>30.51</v>
      </c>
      <c r="AC716" s="80">
        <f t="shared" ref="AC716:AF716" si="3874">(B716+C716)/2</f>
        <v>88.35</v>
      </c>
      <c r="AD716" s="80">
        <f t="shared" si="3874"/>
        <v>67.36</v>
      </c>
      <c r="AE716" s="80">
        <f t="shared" si="3874"/>
        <v>50.95</v>
      </c>
      <c r="AF716" s="80">
        <f t="shared" si="3874"/>
        <v>37.21</v>
      </c>
      <c r="AG716" s="51">
        <f t="shared" si="3360"/>
        <v>58.66</v>
      </c>
      <c r="AH716" s="51">
        <f t="shared" si="3361"/>
        <v>51.57</v>
      </c>
      <c r="AI716" s="51">
        <f t="shared" si="3726"/>
        <v>58.525999999999996</v>
      </c>
      <c r="AJ716" s="51">
        <f t="shared" si="3773"/>
        <v>56.3932</v>
      </c>
      <c r="AK716" s="51">
        <f t="shared" si="3650"/>
        <v>31.722499999999997</v>
      </c>
      <c r="AL716" s="51">
        <f t="shared" si="3364"/>
        <v>34.848149999999997</v>
      </c>
      <c r="AM716" s="51"/>
      <c r="AN716" s="51">
        <f t="shared" si="3499"/>
        <v>42.195</v>
      </c>
      <c r="AO716" s="51">
        <f t="shared" si="3366"/>
        <v>41.16654761904762</v>
      </c>
      <c r="AP716" s="51"/>
      <c r="AQ716" s="51">
        <f t="shared" si="3694"/>
        <v>58.995000000000005</v>
      </c>
      <c r="AR716" s="51">
        <f t="shared" si="3695"/>
        <v>61.695900000000002</v>
      </c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8"/>
      <c r="BK716" s="8"/>
      <c r="BL716" s="8"/>
      <c r="BM716" s="8"/>
    </row>
    <row r="717" spans="1:65" ht="30" hidden="1" customHeight="1" x14ac:dyDescent="0.45">
      <c r="A717" s="55">
        <f t="shared" si="3789"/>
        <v>45898</v>
      </c>
      <c r="B717" s="56">
        <v>100.31</v>
      </c>
      <c r="C717" s="56">
        <v>76.510000000000005</v>
      </c>
      <c r="D717" s="56">
        <v>58.7</v>
      </c>
      <c r="E717" s="56">
        <v>43.15</v>
      </c>
      <c r="F717" s="56">
        <v>31.05</v>
      </c>
      <c r="G717" s="56">
        <v>109.3</v>
      </c>
      <c r="H717" s="51">
        <f t="shared" ref="H717:M717" si="3875">B717-B716</f>
        <v>-0.23999999999999488</v>
      </c>
      <c r="I717" s="51">
        <f t="shared" si="3875"/>
        <v>0.35999999999999943</v>
      </c>
      <c r="J717" s="51">
        <f t="shared" si="3875"/>
        <v>0.13000000000000256</v>
      </c>
      <c r="K717" s="51">
        <f t="shared" si="3875"/>
        <v>-0.17999999999999972</v>
      </c>
      <c r="L717" s="51">
        <f t="shared" si="3875"/>
        <v>-3.9999999999999147E-2</v>
      </c>
      <c r="M717" s="85">
        <f t="shared" si="3875"/>
        <v>-0.87000000000000455</v>
      </c>
      <c r="N717" s="51">
        <f t="shared" ref="N717:R717" si="3876">N716</f>
        <v>99.957999999999998</v>
      </c>
      <c r="O717" s="51">
        <f t="shared" si="3876"/>
        <v>75.407999999999987</v>
      </c>
      <c r="P717" s="51">
        <f t="shared" si="3876"/>
        <v>57.775999999999996</v>
      </c>
      <c r="Q717" s="51">
        <f t="shared" si="3876"/>
        <v>42.531999999999996</v>
      </c>
      <c r="R717" s="51">
        <f t="shared" si="3876"/>
        <v>30.618000000000002</v>
      </c>
      <c r="S717" s="51">
        <f t="shared" ref="S717:W717" si="3877">(B716+B717)/2</f>
        <v>100.43</v>
      </c>
      <c r="T717" s="51">
        <f t="shared" si="3877"/>
        <v>76.330000000000013</v>
      </c>
      <c r="U717" s="51">
        <f t="shared" si="3877"/>
        <v>58.635000000000005</v>
      </c>
      <c r="V717" s="51">
        <f t="shared" si="3877"/>
        <v>43.239999999999995</v>
      </c>
      <c r="W717" s="51">
        <f t="shared" si="3877"/>
        <v>31.07</v>
      </c>
      <c r="X717" s="51">
        <f t="shared" ref="X717:AB717" si="3878">(SUM(B714:B717))/4</f>
        <v>100.21250000000001</v>
      </c>
      <c r="Y717" s="51">
        <f t="shared" si="3878"/>
        <v>75.704999999999998</v>
      </c>
      <c r="Z717" s="51">
        <f t="shared" si="3878"/>
        <v>58.174999999999997</v>
      </c>
      <c r="AA717" s="51">
        <f t="shared" si="3878"/>
        <v>42.865000000000002</v>
      </c>
      <c r="AB717" s="51">
        <f t="shared" si="3878"/>
        <v>30.83</v>
      </c>
      <c r="AC717" s="80">
        <f t="shared" ref="AC717:AF717" si="3879">(B717+C717)/2</f>
        <v>88.41</v>
      </c>
      <c r="AD717" s="80">
        <f t="shared" si="3879"/>
        <v>67.605000000000004</v>
      </c>
      <c r="AE717" s="80">
        <f t="shared" si="3879"/>
        <v>50.924999999999997</v>
      </c>
      <c r="AF717" s="80">
        <f t="shared" si="3879"/>
        <v>37.1</v>
      </c>
      <c r="AG717" s="51">
        <f t="shared" si="3360"/>
        <v>58.905000000000001</v>
      </c>
      <c r="AH717" s="51">
        <f t="shared" si="3361"/>
        <v>51.7</v>
      </c>
      <c r="AI717" s="51">
        <f t="shared" si="3726"/>
        <v>58.525999999999996</v>
      </c>
      <c r="AJ717" s="51">
        <f t="shared" si="3773"/>
        <v>56.997999999999998</v>
      </c>
      <c r="AK717" s="51">
        <f t="shared" si="3650"/>
        <v>31.805</v>
      </c>
      <c r="AL717" s="51">
        <f t="shared" si="3364"/>
        <v>34.925699999999999</v>
      </c>
      <c r="AM717" s="51"/>
      <c r="AN717" s="51">
        <f t="shared" si="3499"/>
        <v>42.239999999999995</v>
      </c>
      <c r="AO717" s="51">
        <f t="shared" si="3366"/>
        <v>41.210476190476186</v>
      </c>
      <c r="AP717" s="51"/>
      <c r="AQ717" s="51">
        <f t="shared" si="3694"/>
        <v>59.625</v>
      </c>
      <c r="AR717" s="51">
        <f t="shared" si="3695"/>
        <v>62.338499999999996</v>
      </c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8"/>
      <c r="BK717" s="8"/>
      <c r="BL717" s="8"/>
      <c r="BM717" s="8"/>
    </row>
    <row r="718" spans="1:65" ht="30" hidden="1" customHeight="1" x14ac:dyDescent="0.45">
      <c r="A718" s="55">
        <f t="shared" si="3789"/>
        <v>45905</v>
      </c>
      <c r="B718" s="56">
        <v>100.04</v>
      </c>
      <c r="C718" s="56">
        <v>76.12</v>
      </c>
      <c r="D718" s="56">
        <v>58.04</v>
      </c>
      <c r="E718" s="56">
        <v>42.5</v>
      </c>
      <c r="F718" s="56">
        <v>30.81</v>
      </c>
      <c r="G718" s="56">
        <v>107.78</v>
      </c>
      <c r="H718" s="51">
        <f t="shared" ref="H718:M718" si="3880">B718-B717</f>
        <v>-0.26999999999999602</v>
      </c>
      <c r="I718" s="51">
        <f t="shared" si="3880"/>
        <v>-0.39000000000000057</v>
      </c>
      <c r="J718" s="51">
        <f t="shared" si="3880"/>
        <v>-0.66000000000000369</v>
      </c>
      <c r="K718" s="51">
        <f t="shared" si="3880"/>
        <v>-0.64999999999999858</v>
      </c>
      <c r="L718" s="51">
        <f t="shared" si="3880"/>
        <v>-0.24000000000000199</v>
      </c>
      <c r="M718" s="85">
        <f t="shared" si="3880"/>
        <v>-1.519999999999996</v>
      </c>
      <c r="N718" s="69">
        <f t="shared" ref="N718:R718" si="3881">AVERAGE(B718:B721)</f>
        <v>99.732500000000002</v>
      </c>
      <c r="O718" s="69">
        <f t="shared" si="3881"/>
        <v>76.197500000000005</v>
      </c>
      <c r="P718" s="69">
        <f t="shared" si="3881"/>
        <v>58.544999999999995</v>
      </c>
      <c r="Q718" s="69">
        <f t="shared" si="3881"/>
        <v>42.997499999999995</v>
      </c>
      <c r="R718" s="69">
        <f t="shared" si="3881"/>
        <v>30.725000000000001</v>
      </c>
      <c r="S718" s="51">
        <f t="shared" ref="S718:W718" si="3882">(B717+B718)/2</f>
        <v>100.17500000000001</v>
      </c>
      <c r="T718" s="51">
        <f t="shared" si="3882"/>
        <v>76.314999999999998</v>
      </c>
      <c r="U718" s="51">
        <f t="shared" si="3882"/>
        <v>58.370000000000005</v>
      </c>
      <c r="V718" s="51">
        <f t="shared" si="3882"/>
        <v>42.825000000000003</v>
      </c>
      <c r="W718" s="51">
        <f t="shared" si="3882"/>
        <v>30.93</v>
      </c>
      <c r="X718" s="51">
        <f t="shared" ref="X718:AB718" si="3883">(SUM(B715:B718))/4</f>
        <v>100.2625</v>
      </c>
      <c r="Y718" s="51">
        <f t="shared" si="3883"/>
        <v>76.057500000000005</v>
      </c>
      <c r="Z718" s="51">
        <f t="shared" si="3883"/>
        <v>58.404999999999994</v>
      </c>
      <c r="AA718" s="51">
        <f t="shared" si="3883"/>
        <v>43.01</v>
      </c>
      <c r="AB718" s="51">
        <f t="shared" si="3883"/>
        <v>30.94</v>
      </c>
      <c r="AC718" s="80">
        <f t="shared" ref="AC718:AF718" si="3884">(B718+C718)/2</f>
        <v>88.080000000000013</v>
      </c>
      <c r="AD718" s="80">
        <f t="shared" si="3884"/>
        <v>67.08</v>
      </c>
      <c r="AE718" s="80">
        <f t="shared" si="3884"/>
        <v>50.269999999999996</v>
      </c>
      <c r="AF718" s="80">
        <f t="shared" si="3884"/>
        <v>36.655000000000001</v>
      </c>
      <c r="AG718" s="51">
        <f t="shared" si="3360"/>
        <v>58.379999999999995</v>
      </c>
      <c r="AH718" s="51">
        <f t="shared" si="3361"/>
        <v>51.04</v>
      </c>
      <c r="AI718" s="51">
        <f t="shared" si="3726"/>
        <v>59.294999999999995</v>
      </c>
      <c r="AJ718" s="51">
        <f t="shared" si="3773"/>
        <v>57.218800000000002</v>
      </c>
      <c r="AK718" s="51">
        <f t="shared" si="3650"/>
        <v>31.527499999999996</v>
      </c>
      <c r="AL718" s="51">
        <f t="shared" si="3364"/>
        <v>34.664849999999994</v>
      </c>
      <c r="AM718" s="51"/>
      <c r="AN718" s="51">
        <f t="shared" si="3499"/>
        <v>41.825000000000003</v>
      </c>
      <c r="AO718" s="51">
        <f t="shared" si="3366"/>
        <v>40.80535714285714</v>
      </c>
      <c r="AP718" s="51"/>
      <c r="AQ718" s="51">
        <f t="shared" si="3694"/>
        <v>59.854999999999997</v>
      </c>
      <c r="AR718" s="51">
        <f t="shared" si="3695"/>
        <v>62.573099999999997</v>
      </c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8"/>
      <c r="BK718" s="8"/>
      <c r="BL718" s="8"/>
      <c r="BM718" s="8"/>
    </row>
    <row r="719" spans="1:65" ht="30" hidden="1" customHeight="1" x14ac:dyDescent="0.45">
      <c r="A719" s="55">
        <f t="shared" si="3789"/>
        <v>45912</v>
      </c>
      <c r="B719" s="56">
        <v>99.82</v>
      </c>
      <c r="C719" s="56">
        <v>76</v>
      </c>
      <c r="D719" s="56">
        <v>58.01</v>
      </c>
      <c r="E719" s="56">
        <v>42.62</v>
      </c>
      <c r="F719" s="56">
        <v>30.53</v>
      </c>
      <c r="G719" s="56">
        <v>101.11</v>
      </c>
      <c r="H719" s="51">
        <f t="shared" ref="H719:M719" si="3885">B719-B718</f>
        <v>-0.22000000000001307</v>
      </c>
      <c r="I719" s="51">
        <f t="shared" si="3885"/>
        <v>-0.12000000000000455</v>
      </c>
      <c r="J719" s="51">
        <f t="shared" si="3885"/>
        <v>-3.0000000000001137E-2</v>
      </c>
      <c r="K719" s="51">
        <f t="shared" si="3885"/>
        <v>0.11999999999999744</v>
      </c>
      <c r="L719" s="51">
        <f t="shared" si="3885"/>
        <v>-0.27999999999999758</v>
      </c>
      <c r="M719" s="85">
        <f t="shared" si="3885"/>
        <v>-6.6700000000000017</v>
      </c>
      <c r="N719" s="51">
        <f t="shared" ref="N719:R719" si="3886">N718</f>
        <v>99.732500000000002</v>
      </c>
      <c r="O719" s="51">
        <f t="shared" si="3886"/>
        <v>76.197500000000005</v>
      </c>
      <c r="P719" s="51">
        <f t="shared" si="3886"/>
        <v>58.544999999999995</v>
      </c>
      <c r="Q719" s="51">
        <f t="shared" si="3886"/>
        <v>42.997499999999995</v>
      </c>
      <c r="R719" s="51">
        <f t="shared" si="3886"/>
        <v>30.725000000000001</v>
      </c>
      <c r="S719" s="51">
        <f t="shared" ref="S719:W719" si="3887">(B718+B719)/2</f>
        <v>99.93</v>
      </c>
      <c r="T719" s="51">
        <f t="shared" si="3887"/>
        <v>76.06</v>
      </c>
      <c r="U719" s="51">
        <f t="shared" si="3887"/>
        <v>58.024999999999999</v>
      </c>
      <c r="V719" s="51">
        <f t="shared" si="3887"/>
        <v>42.56</v>
      </c>
      <c r="W719" s="51">
        <f t="shared" si="3887"/>
        <v>30.67</v>
      </c>
      <c r="X719" s="51">
        <f t="shared" ref="X719:AB719" si="3888">(SUM(B716:B719))/4</f>
        <v>100.18</v>
      </c>
      <c r="Y719" s="51">
        <f t="shared" si="3888"/>
        <v>76.195000000000007</v>
      </c>
      <c r="Z719" s="51">
        <f t="shared" si="3888"/>
        <v>58.33</v>
      </c>
      <c r="AA719" s="51">
        <f t="shared" si="3888"/>
        <v>42.9</v>
      </c>
      <c r="AB719" s="51">
        <f t="shared" si="3888"/>
        <v>30.87</v>
      </c>
      <c r="AC719" s="80">
        <f t="shared" ref="AC719:AF719" si="3889">(B719+C719)/2</f>
        <v>87.91</v>
      </c>
      <c r="AD719" s="80">
        <f t="shared" si="3889"/>
        <v>67.004999999999995</v>
      </c>
      <c r="AE719" s="80">
        <f t="shared" si="3889"/>
        <v>50.314999999999998</v>
      </c>
      <c r="AF719" s="80">
        <f t="shared" si="3889"/>
        <v>36.575000000000003</v>
      </c>
      <c r="AG719" s="51">
        <f t="shared" si="3360"/>
        <v>58.304999999999993</v>
      </c>
      <c r="AH719" s="51">
        <f t="shared" si="3361"/>
        <v>51.01</v>
      </c>
      <c r="AI719" s="51">
        <f t="shared" si="3726"/>
        <v>59.294999999999995</v>
      </c>
      <c r="AJ719" s="51">
        <f t="shared" si="3773"/>
        <v>57.146799999999999</v>
      </c>
      <c r="AK719" s="51">
        <f t="shared" si="3650"/>
        <v>31.265000000000001</v>
      </c>
      <c r="AL719" s="51">
        <f t="shared" si="3364"/>
        <v>34.418100000000003</v>
      </c>
      <c r="AM719" s="51"/>
      <c r="AN719" s="51">
        <f t="shared" si="3499"/>
        <v>41.56</v>
      </c>
      <c r="AO719" s="51">
        <f t="shared" si="3366"/>
        <v>40.546666666666667</v>
      </c>
      <c r="AP719" s="51"/>
      <c r="AQ719" s="51">
        <f t="shared" si="3694"/>
        <v>59.78</v>
      </c>
      <c r="AR719" s="51">
        <f t="shared" si="3695"/>
        <v>62.496600000000001</v>
      </c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8"/>
      <c r="BK719" s="8"/>
      <c r="BL719" s="8"/>
      <c r="BM719" s="8"/>
    </row>
    <row r="720" spans="1:65" ht="30" hidden="1" customHeight="1" x14ac:dyDescent="0.45">
      <c r="A720" s="55">
        <f t="shared" si="3789"/>
        <v>45919</v>
      </c>
      <c r="B720" s="56">
        <v>99.38</v>
      </c>
      <c r="C720" s="56">
        <v>76.239999999999995</v>
      </c>
      <c r="D720" s="56">
        <v>58.9</v>
      </c>
      <c r="E720" s="56">
        <v>43.08</v>
      </c>
      <c r="F720" s="56">
        <v>30.74</v>
      </c>
      <c r="G720" s="56">
        <v>102.03</v>
      </c>
      <c r="H720" s="51">
        <f t="shared" ref="H720:M720" si="3890">B720-B719</f>
        <v>-0.43999999999999773</v>
      </c>
      <c r="I720" s="51">
        <f t="shared" si="3890"/>
        <v>0.23999999999999488</v>
      </c>
      <c r="J720" s="51">
        <f t="shared" si="3890"/>
        <v>0.89000000000000057</v>
      </c>
      <c r="K720" s="51">
        <f t="shared" si="3890"/>
        <v>0.46000000000000085</v>
      </c>
      <c r="L720" s="51">
        <f t="shared" si="3890"/>
        <v>0.2099999999999973</v>
      </c>
      <c r="M720" s="85">
        <f t="shared" si="3890"/>
        <v>0.92000000000000171</v>
      </c>
      <c r="N720" s="51">
        <f t="shared" ref="N720:R720" si="3891">N719</f>
        <v>99.732500000000002</v>
      </c>
      <c r="O720" s="51">
        <f t="shared" si="3891"/>
        <v>76.197500000000005</v>
      </c>
      <c r="P720" s="51">
        <f t="shared" si="3891"/>
        <v>58.544999999999995</v>
      </c>
      <c r="Q720" s="51">
        <f t="shared" si="3891"/>
        <v>42.997499999999995</v>
      </c>
      <c r="R720" s="51">
        <f t="shared" si="3891"/>
        <v>30.725000000000001</v>
      </c>
      <c r="S720" s="51">
        <f t="shared" ref="S720:W720" si="3892">(B719+B720)/2</f>
        <v>99.6</v>
      </c>
      <c r="T720" s="51">
        <f t="shared" si="3892"/>
        <v>76.12</v>
      </c>
      <c r="U720" s="51">
        <f t="shared" si="3892"/>
        <v>58.454999999999998</v>
      </c>
      <c r="V720" s="51">
        <f t="shared" si="3892"/>
        <v>42.849999999999994</v>
      </c>
      <c r="W720" s="51">
        <f t="shared" si="3892"/>
        <v>30.634999999999998</v>
      </c>
      <c r="X720" s="51">
        <f t="shared" ref="X720:AB720" si="3893">(SUM(B717:B720))/4</f>
        <v>99.887500000000003</v>
      </c>
      <c r="Y720" s="51">
        <f t="shared" si="3893"/>
        <v>76.217500000000001</v>
      </c>
      <c r="Z720" s="51">
        <f t="shared" si="3893"/>
        <v>58.412500000000001</v>
      </c>
      <c r="AA720" s="51">
        <f t="shared" si="3893"/>
        <v>42.837500000000006</v>
      </c>
      <c r="AB720" s="51">
        <f t="shared" si="3893"/>
        <v>30.782499999999999</v>
      </c>
      <c r="AC720" s="80">
        <f t="shared" ref="AC720:AF720" si="3894">(B720+C720)/2</f>
        <v>87.81</v>
      </c>
      <c r="AD720" s="80">
        <f t="shared" si="3894"/>
        <v>67.569999999999993</v>
      </c>
      <c r="AE720" s="80">
        <f t="shared" si="3894"/>
        <v>50.989999999999995</v>
      </c>
      <c r="AF720" s="80">
        <f t="shared" si="3894"/>
        <v>36.909999999999997</v>
      </c>
      <c r="AG720" s="51">
        <f t="shared" si="3360"/>
        <v>58.86999999999999</v>
      </c>
      <c r="AH720" s="51">
        <f t="shared" si="3361"/>
        <v>51.9</v>
      </c>
      <c r="AI720" s="51">
        <f t="shared" si="3726"/>
        <v>59.294999999999995</v>
      </c>
      <c r="AJ720" s="51">
        <f t="shared" si="3773"/>
        <v>57.225999999999999</v>
      </c>
      <c r="AK720" s="51">
        <f t="shared" si="3650"/>
        <v>31.392499999999991</v>
      </c>
      <c r="AL720" s="51">
        <f t="shared" si="3364"/>
        <v>34.537949999999988</v>
      </c>
      <c r="AM720" s="51"/>
      <c r="AN720" s="51">
        <f t="shared" si="3499"/>
        <v>41.849999999999994</v>
      </c>
      <c r="AO720" s="51">
        <f t="shared" si="3366"/>
        <v>40.829761904761895</v>
      </c>
      <c r="AP720" s="51"/>
      <c r="AQ720" s="51">
        <f t="shared" si="3694"/>
        <v>59.862500000000004</v>
      </c>
      <c r="AR720" s="51">
        <f t="shared" si="3695"/>
        <v>62.580750000000002</v>
      </c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8"/>
      <c r="BK720" s="8"/>
      <c r="BL720" s="8"/>
      <c r="BM720" s="8"/>
    </row>
    <row r="721" spans="1:65" ht="30" hidden="1" customHeight="1" x14ac:dyDescent="0.45">
      <c r="A721" s="55">
        <f t="shared" si="3789"/>
        <v>45926</v>
      </c>
      <c r="B721" s="56">
        <v>99.69</v>
      </c>
      <c r="C721" s="56">
        <v>76.430000000000007</v>
      </c>
      <c r="D721" s="56">
        <v>59.23</v>
      </c>
      <c r="E721" s="56">
        <v>43.79</v>
      </c>
      <c r="F721" s="56">
        <v>30.82</v>
      </c>
      <c r="G721" s="56">
        <v>104.47</v>
      </c>
      <c r="H721" s="51">
        <f t="shared" ref="H721:M721" si="3895">B721-B720</f>
        <v>0.31000000000000227</v>
      </c>
      <c r="I721" s="51">
        <f t="shared" si="3895"/>
        <v>0.19000000000001194</v>
      </c>
      <c r="J721" s="51">
        <f t="shared" si="3895"/>
        <v>0.32999999999999829</v>
      </c>
      <c r="K721" s="51">
        <f t="shared" si="3895"/>
        <v>0.71000000000000085</v>
      </c>
      <c r="L721" s="51">
        <f t="shared" si="3895"/>
        <v>8.0000000000001847E-2</v>
      </c>
      <c r="M721" s="85">
        <f t="shared" si="3895"/>
        <v>2.4399999999999977</v>
      </c>
      <c r="N721" s="51">
        <f t="shared" ref="N721:R721" si="3896">N720</f>
        <v>99.732500000000002</v>
      </c>
      <c r="O721" s="51">
        <f t="shared" si="3896"/>
        <v>76.197500000000005</v>
      </c>
      <c r="P721" s="51">
        <f t="shared" si="3896"/>
        <v>58.544999999999995</v>
      </c>
      <c r="Q721" s="51">
        <f t="shared" si="3896"/>
        <v>42.997499999999995</v>
      </c>
      <c r="R721" s="51">
        <f t="shared" si="3896"/>
        <v>30.725000000000001</v>
      </c>
      <c r="S721" s="51">
        <f t="shared" ref="S721:W721" si="3897">(B720+B721)/2</f>
        <v>99.534999999999997</v>
      </c>
      <c r="T721" s="51">
        <f t="shared" si="3897"/>
        <v>76.335000000000008</v>
      </c>
      <c r="U721" s="51">
        <f t="shared" si="3897"/>
        <v>59.064999999999998</v>
      </c>
      <c r="V721" s="51">
        <f t="shared" si="3897"/>
        <v>43.435000000000002</v>
      </c>
      <c r="W721" s="51">
        <f t="shared" si="3897"/>
        <v>30.78</v>
      </c>
      <c r="X721" s="51">
        <f t="shared" ref="X721:AB721" si="3898">(SUM(B718:B721))/4</f>
        <v>99.732500000000002</v>
      </c>
      <c r="Y721" s="51">
        <f t="shared" si="3898"/>
        <v>76.197500000000005</v>
      </c>
      <c r="Z721" s="51">
        <f t="shared" si="3898"/>
        <v>58.544999999999995</v>
      </c>
      <c r="AA721" s="51">
        <f t="shared" si="3898"/>
        <v>42.997499999999995</v>
      </c>
      <c r="AB721" s="51">
        <f t="shared" si="3898"/>
        <v>30.725000000000001</v>
      </c>
      <c r="AC721" s="80">
        <f t="shared" ref="AC721:AF721" si="3899">(B721+C721)/2</f>
        <v>88.06</v>
      </c>
      <c r="AD721" s="80">
        <f t="shared" si="3899"/>
        <v>67.83</v>
      </c>
      <c r="AE721" s="80">
        <f t="shared" si="3899"/>
        <v>51.51</v>
      </c>
      <c r="AF721" s="80">
        <f t="shared" si="3899"/>
        <v>37.305</v>
      </c>
      <c r="AG721" s="51">
        <f t="shared" si="3360"/>
        <v>59.129999999999995</v>
      </c>
      <c r="AH721" s="51">
        <f t="shared" si="3361"/>
        <v>52.23</v>
      </c>
      <c r="AI721" s="51">
        <f t="shared" si="3726"/>
        <v>59.294999999999995</v>
      </c>
      <c r="AJ721" s="51">
        <f t="shared" si="3773"/>
        <v>57.353200000000001</v>
      </c>
      <c r="AK721" s="51">
        <f t="shared" si="3650"/>
        <v>31.7575</v>
      </c>
      <c r="AL721" s="51">
        <f t="shared" si="3364"/>
        <v>34.881050000000002</v>
      </c>
      <c r="AM721" s="51"/>
      <c r="AN721" s="51">
        <f t="shared" si="3499"/>
        <v>42.435000000000002</v>
      </c>
      <c r="AO721" s="51">
        <f t="shared" si="3366"/>
        <v>41.400833333333331</v>
      </c>
      <c r="AP721" s="51"/>
      <c r="AQ721" s="51">
        <f t="shared" si="3694"/>
        <v>59.994999999999997</v>
      </c>
      <c r="AR721" s="51">
        <f t="shared" si="3695"/>
        <v>62.715899999999998</v>
      </c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8"/>
      <c r="BK721" s="8"/>
      <c r="BL721" s="8"/>
      <c r="BM721" s="8"/>
    </row>
    <row r="722" spans="1:65" ht="30" hidden="1" customHeight="1" x14ac:dyDescent="0.45">
      <c r="A722" s="55">
        <f t="shared" si="3789"/>
        <v>45933</v>
      </c>
      <c r="B722" s="56">
        <v>99.98</v>
      </c>
      <c r="C722" s="56">
        <v>76.73</v>
      </c>
      <c r="D722" s="56">
        <v>59.43</v>
      </c>
      <c r="E722" s="56">
        <v>43.78</v>
      </c>
      <c r="F722" s="56">
        <v>31</v>
      </c>
      <c r="G722" s="56">
        <v>104.16</v>
      </c>
      <c r="H722" s="51">
        <f t="shared" ref="H722:M722" si="3900">B722-B721</f>
        <v>0.29000000000000625</v>
      </c>
      <c r="I722" s="51">
        <f t="shared" si="3900"/>
        <v>0.29999999999999716</v>
      </c>
      <c r="J722" s="51">
        <f t="shared" si="3900"/>
        <v>0.20000000000000284</v>
      </c>
      <c r="K722" s="51">
        <f t="shared" si="3900"/>
        <v>-9.9999999999980105E-3</v>
      </c>
      <c r="L722" s="51">
        <f t="shared" si="3900"/>
        <v>0.17999999999999972</v>
      </c>
      <c r="M722" s="85">
        <f t="shared" si="3900"/>
        <v>-0.31000000000000227</v>
      </c>
      <c r="N722" s="69">
        <f t="shared" ref="N722:R722" si="3901">AVERAGE(B722:B726)</f>
        <v>100.49600000000001</v>
      </c>
      <c r="O722" s="69">
        <f t="shared" si="3901"/>
        <v>77.504000000000005</v>
      </c>
      <c r="P722" s="69">
        <f t="shared" si="3901"/>
        <v>60.738</v>
      </c>
      <c r="Q722" s="69">
        <f t="shared" si="3901"/>
        <v>44.671999999999997</v>
      </c>
      <c r="R722" s="69">
        <f t="shared" si="3901"/>
        <v>31.533999999999999</v>
      </c>
      <c r="S722" s="51">
        <f t="shared" ref="S722:W722" si="3902">(B721+B722)/2</f>
        <v>99.835000000000008</v>
      </c>
      <c r="T722" s="51">
        <f t="shared" si="3902"/>
        <v>76.580000000000013</v>
      </c>
      <c r="U722" s="51">
        <f t="shared" si="3902"/>
        <v>59.33</v>
      </c>
      <c r="V722" s="51">
        <f t="shared" si="3902"/>
        <v>43.784999999999997</v>
      </c>
      <c r="W722" s="51">
        <f t="shared" si="3902"/>
        <v>30.91</v>
      </c>
      <c r="X722" s="51">
        <f t="shared" ref="X722:AB722" si="3903">(SUM(B719:B722))/4</f>
        <v>99.717500000000001</v>
      </c>
      <c r="Y722" s="51">
        <f t="shared" si="3903"/>
        <v>76.350000000000009</v>
      </c>
      <c r="Z722" s="51">
        <f t="shared" si="3903"/>
        <v>58.892499999999998</v>
      </c>
      <c r="AA722" s="51">
        <f t="shared" si="3903"/>
        <v>43.317499999999995</v>
      </c>
      <c r="AB722" s="51">
        <f t="shared" si="3903"/>
        <v>30.772500000000001</v>
      </c>
      <c r="AC722" s="80">
        <f t="shared" ref="AC722:AF722" si="3904">(B722+C722)/2</f>
        <v>88.355000000000004</v>
      </c>
      <c r="AD722" s="80">
        <f t="shared" si="3904"/>
        <v>68.08</v>
      </c>
      <c r="AE722" s="80">
        <f t="shared" si="3904"/>
        <v>51.605000000000004</v>
      </c>
      <c r="AF722" s="80">
        <f t="shared" si="3904"/>
        <v>37.39</v>
      </c>
      <c r="AG722" s="51">
        <f t="shared" si="3360"/>
        <v>59.379999999999995</v>
      </c>
      <c r="AH722" s="51">
        <f t="shared" si="3361"/>
        <v>52.43</v>
      </c>
      <c r="AI722" s="51">
        <f t="shared" si="3726"/>
        <v>61.488</v>
      </c>
      <c r="AJ722" s="51">
        <f t="shared" si="3773"/>
        <v>57.686799999999998</v>
      </c>
      <c r="AK722" s="51">
        <f t="shared" si="3650"/>
        <v>31.997499999999995</v>
      </c>
      <c r="AL722" s="51">
        <f t="shared" si="3364"/>
        <v>35.106649999999995</v>
      </c>
      <c r="AM722" s="51"/>
      <c r="AN722" s="51">
        <f t="shared" si="3499"/>
        <v>42.784999999999997</v>
      </c>
      <c r="AO722" s="51">
        <f t="shared" si="3366"/>
        <v>41.7425</v>
      </c>
      <c r="AP722" s="51"/>
      <c r="AQ722" s="51">
        <f t="shared" si="3694"/>
        <v>60.342500000000001</v>
      </c>
      <c r="AR722" s="51">
        <f t="shared" si="3695"/>
        <v>63.070349999999998</v>
      </c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8"/>
      <c r="BK722" s="8"/>
      <c r="BL722" s="8"/>
      <c r="BM722" s="8"/>
    </row>
    <row r="723" spans="1:65" ht="30" hidden="1" customHeight="1" x14ac:dyDescent="0.45">
      <c r="A723" s="55">
        <f t="shared" si="3789"/>
        <v>45940</v>
      </c>
      <c r="B723" s="56">
        <v>100</v>
      </c>
      <c r="C723" s="56">
        <v>76.89</v>
      </c>
      <c r="D723" s="56">
        <v>60.12</v>
      </c>
      <c r="E723" s="56">
        <v>43.93</v>
      </c>
      <c r="F723" s="56">
        <v>31.27</v>
      </c>
      <c r="G723" s="56">
        <v>104.26</v>
      </c>
      <c r="H723" s="51">
        <f t="shared" ref="H723:M723" si="3905">B723-B722</f>
        <v>1.9999999999996021E-2</v>
      </c>
      <c r="I723" s="51">
        <f t="shared" si="3905"/>
        <v>0.15999999999999659</v>
      </c>
      <c r="J723" s="51">
        <f t="shared" si="3905"/>
        <v>0.68999999999999773</v>
      </c>
      <c r="K723" s="51">
        <f t="shared" si="3905"/>
        <v>0.14999999999999858</v>
      </c>
      <c r="L723" s="51">
        <f t="shared" si="3905"/>
        <v>0.26999999999999957</v>
      </c>
      <c r="M723" s="85">
        <f t="shared" si="3905"/>
        <v>0.10000000000000853</v>
      </c>
      <c r="N723" s="51">
        <f t="shared" ref="N723:R723" si="3906">N722</f>
        <v>100.49600000000001</v>
      </c>
      <c r="O723" s="51">
        <f t="shared" si="3906"/>
        <v>77.504000000000005</v>
      </c>
      <c r="P723" s="51">
        <f t="shared" si="3906"/>
        <v>60.738</v>
      </c>
      <c r="Q723" s="51">
        <f t="shared" si="3906"/>
        <v>44.671999999999997</v>
      </c>
      <c r="R723" s="51">
        <f t="shared" si="3906"/>
        <v>31.533999999999999</v>
      </c>
      <c r="S723" s="51">
        <f t="shared" ref="S723:W723" si="3907">(B722+B723)/2</f>
        <v>99.990000000000009</v>
      </c>
      <c r="T723" s="51">
        <f t="shared" si="3907"/>
        <v>76.81</v>
      </c>
      <c r="U723" s="51">
        <f t="shared" si="3907"/>
        <v>59.774999999999999</v>
      </c>
      <c r="V723" s="51">
        <f t="shared" si="3907"/>
        <v>43.855000000000004</v>
      </c>
      <c r="W723" s="51">
        <f t="shared" si="3907"/>
        <v>31.134999999999998</v>
      </c>
      <c r="X723" s="51">
        <f t="shared" ref="X723:AB723" si="3908">(SUM(B720:B723))/4</f>
        <v>99.762500000000003</v>
      </c>
      <c r="Y723" s="51">
        <f t="shared" si="3908"/>
        <v>76.572500000000005</v>
      </c>
      <c r="Z723" s="51">
        <f t="shared" si="3908"/>
        <v>59.42</v>
      </c>
      <c r="AA723" s="51">
        <f t="shared" si="3908"/>
        <v>43.645000000000003</v>
      </c>
      <c r="AB723" s="51">
        <f t="shared" si="3908"/>
        <v>30.9575</v>
      </c>
      <c r="AC723" s="80">
        <f t="shared" ref="AC723:AF723" si="3909">(B723+C723)/2</f>
        <v>88.444999999999993</v>
      </c>
      <c r="AD723" s="80">
        <f t="shared" si="3909"/>
        <v>68.504999999999995</v>
      </c>
      <c r="AE723" s="80">
        <f t="shared" si="3909"/>
        <v>52.024999999999999</v>
      </c>
      <c r="AF723" s="80">
        <f t="shared" si="3909"/>
        <v>37.6</v>
      </c>
      <c r="AG723" s="51">
        <f t="shared" si="3360"/>
        <v>59.804999999999993</v>
      </c>
      <c r="AH723" s="51">
        <f t="shared" si="3361"/>
        <v>53.12</v>
      </c>
      <c r="AI723" s="51">
        <f t="shared" si="3726"/>
        <v>61.488</v>
      </c>
      <c r="AJ723" s="51">
        <f t="shared" si="3773"/>
        <v>58.193199999999997</v>
      </c>
      <c r="AK723" s="51">
        <f t="shared" si="3650"/>
        <v>32.145000000000003</v>
      </c>
      <c r="AL723" s="51">
        <f t="shared" si="3364"/>
        <v>35.2453</v>
      </c>
      <c r="AM723" s="51"/>
      <c r="AN723" s="51">
        <f t="shared" si="3499"/>
        <v>42.855000000000004</v>
      </c>
      <c r="AO723" s="51">
        <f t="shared" si="3366"/>
        <v>41.810833333333342</v>
      </c>
      <c r="AP723" s="51"/>
      <c r="AQ723" s="51">
        <f t="shared" si="3694"/>
        <v>60.870000000000005</v>
      </c>
      <c r="AR723" s="51">
        <f t="shared" si="3695"/>
        <v>63.608400000000003</v>
      </c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8"/>
      <c r="BK723" s="8"/>
      <c r="BL723" s="8"/>
      <c r="BM723" s="8"/>
    </row>
    <row r="724" spans="1:65" ht="30" hidden="1" customHeight="1" x14ac:dyDescent="0.45">
      <c r="A724" s="55">
        <f t="shared" si="3789"/>
        <v>45947</v>
      </c>
      <c r="B724" s="56">
        <v>100.76</v>
      </c>
      <c r="C724" s="56">
        <v>77.23</v>
      </c>
      <c r="D724" s="56">
        <v>60.76</v>
      </c>
      <c r="E724" s="56">
        <v>44.8</v>
      </c>
      <c r="F724" s="56">
        <v>31.56</v>
      </c>
      <c r="G724" s="56">
        <v>103.15</v>
      </c>
      <c r="H724" s="51">
        <f t="shared" ref="H724:M724" si="3910">B724-B723</f>
        <v>0.76000000000000512</v>
      </c>
      <c r="I724" s="51">
        <f t="shared" si="3910"/>
        <v>0.34000000000000341</v>
      </c>
      <c r="J724" s="51">
        <f t="shared" si="3910"/>
        <v>0.64000000000000057</v>
      </c>
      <c r="K724" s="51">
        <f t="shared" si="3910"/>
        <v>0.86999999999999744</v>
      </c>
      <c r="L724" s="51">
        <f t="shared" si="3910"/>
        <v>0.28999999999999915</v>
      </c>
      <c r="M724" s="85">
        <f t="shared" si="3910"/>
        <v>-1.1099999999999994</v>
      </c>
      <c r="N724" s="51">
        <f t="shared" ref="N724:R724" si="3911">N723</f>
        <v>100.49600000000001</v>
      </c>
      <c r="O724" s="51">
        <f t="shared" si="3911"/>
        <v>77.504000000000005</v>
      </c>
      <c r="P724" s="51">
        <f t="shared" si="3911"/>
        <v>60.738</v>
      </c>
      <c r="Q724" s="51">
        <f t="shared" si="3911"/>
        <v>44.671999999999997</v>
      </c>
      <c r="R724" s="51">
        <f t="shared" si="3911"/>
        <v>31.533999999999999</v>
      </c>
      <c r="S724" s="51">
        <f t="shared" ref="S724:W724" si="3912">(B723+B724)/2</f>
        <v>100.38</v>
      </c>
      <c r="T724" s="51">
        <f t="shared" si="3912"/>
        <v>77.06</v>
      </c>
      <c r="U724" s="51">
        <f t="shared" si="3912"/>
        <v>60.44</v>
      </c>
      <c r="V724" s="51">
        <f t="shared" si="3912"/>
        <v>44.364999999999995</v>
      </c>
      <c r="W724" s="51">
        <f t="shared" si="3912"/>
        <v>31.414999999999999</v>
      </c>
      <c r="X724" s="51">
        <f t="shared" ref="X724:AB724" si="3913">(SUM(B721:B724))/4</f>
        <v>100.1075</v>
      </c>
      <c r="Y724" s="51">
        <f t="shared" si="3913"/>
        <v>76.820000000000007</v>
      </c>
      <c r="Z724" s="51">
        <f t="shared" si="3913"/>
        <v>59.884999999999998</v>
      </c>
      <c r="AA724" s="51">
        <f t="shared" si="3913"/>
        <v>44.075000000000003</v>
      </c>
      <c r="AB724" s="51">
        <f t="shared" si="3913"/>
        <v>31.162500000000001</v>
      </c>
      <c r="AC724" s="80">
        <f t="shared" ref="AC724:AF724" si="3914">(B724+C724)/2</f>
        <v>88.995000000000005</v>
      </c>
      <c r="AD724" s="80">
        <f t="shared" si="3914"/>
        <v>68.995000000000005</v>
      </c>
      <c r="AE724" s="80">
        <f t="shared" si="3914"/>
        <v>52.78</v>
      </c>
      <c r="AF724" s="80">
        <f t="shared" si="3914"/>
        <v>38.18</v>
      </c>
      <c r="AG724" s="51">
        <f t="shared" si="3360"/>
        <v>60.295000000000002</v>
      </c>
      <c r="AH724" s="51">
        <f t="shared" si="3361"/>
        <v>53.76</v>
      </c>
      <c r="AI724" s="51">
        <f t="shared" si="3726"/>
        <v>61.488</v>
      </c>
      <c r="AJ724" s="51">
        <f t="shared" si="3773"/>
        <v>58.639600000000002</v>
      </c>
      <c r="AK724" s="51">
        <f t="shared" si="3650"/>
        <v>32.54</v>
      </c>
      <c r="AL724" s="51">
        <f t="shared" si="3364"/>
        <v>35.616599999999998</v>
      </c>
      <c r="AM724" s="51"/>
      <c r="AN724" s="51">
        <f t="shared" si="3499"/>
        <v>43.364999999999995</v>
      </c>
      <c r="AO724" s="51">
        <f t="shared" si="3366"/>
        <v>42.308690476190471</v>
      </c>
      <c r="AP724" s="51"/>
      <c r="AQ724" s="51">
        <f t="shared" si="3694"/>
        <v>61.335000000000001</v>
      </c>
      <c r="AR724" s="51">
        <f t="shared" si="3695"/>
        <v>64.082699999999988</v>
      </c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8"/>
      <c r="BK724" s="8"/>
      <c r="BL724" s="8"/>
      <c r="BM724" s="8"/>
    </row>
    <row r="725" spans="1:65" ht="30" hidden="1" customHeight="1" x14ac:dyDescent="0.45">
      <c r="A725" s="55">
        <f t="shared" si="3789"/>
        <v>45954</v>
      </c>
      <c r="B725" s="56">
        <v>100.9</v>
      </c>
      <c r="C725" s="56">
        <v>78</v>
      </c>
      <c r="D725" s="56">
        <v>61.5</v>
      </c>
      <c r="E725" s="56">
        <v>45.26</v>
      </c>
      <c r="F725" s="56">
        <v>31.86</v>
      </c>
      <c r="G725" s="56">
        <v>103.74</v>
      </c>
      <c r="H725" s="51">
        <f t="shared" ref="H725:M725" si="3915">B725-B724</f>
        <v>0.14000000000000057</v>
      </c>
      <c r="I725" s="51">
        <f t="shared" si="3915"/>
        <v>0.76999999999999602</v>
      </c>
      <c r="J725" s="51">
        <f t="shared" si="3915"/>
        <v>0.74000000000000199</v>
      </c>
      <c r="K725" s="51">
        <f t="shared" si="3915"/>
        <v>0.46000000000000085</v>
      </c>
      <c r="L725" s="51">
        <f t="shared" si="3915"/>
        <v>0.30000000000000071</v>
      </c>
      <c r="M725" s="85">
        <f t="shared" si="3915"/>
        <v>0.5899999999999892</v>
      </c>
      <c r="N725" s="51">
        <f t="shared" ref="N725:R725" si="3916">N724</f>
        <v>100.49600000000001</v>
      </c>
      <c r="O725" s="51">
        <f t="shared" si="3916"/>
        <v>77.504000000000005</v>
      </c>
      <c r="P725" s="51">
        <f t="shared" si="3916"/>
        <v>60.738</v>
      </c>
      <c r="Q725" s="51">
        <f t="shared" si="3916"/>
        <v>44.671999999999997</v>
      </c>
      <c r="R725" s="51">
        <f t="shared" si="3916"/>
        <v>31.533999999999999</v>
      </c>
      <c r="S725" s="51">
        <f t="shared" ref="S725:W725" si="3917">(B724+B725)/2</f>
        <v>100.83000000000001</v>
      </c>
      <c r="T725" s="51">
        <f t="shared" si="3917"/>
        <v>77.615000000000009</v>
      </c>
      <c r="U725" s="51">
        <f t="shared" si="3917"/>
        <v>61.129999999999995</v>
      </c>
      <c r="V725" s="51">
        <f t="shared" si="3917"/>
        <v>45.03</v>
      </c>
      <c r="W725" s="51">
        <f t="shared" si="3917"/>
        <v>31.71</v>
      </c>
      <c r="X725" s="51">
        <f t="shared" ref="X725:AB725" si="3918">(SUM(B722:B725))/4</f>
        <v>100.41</v>
      </c>
      <c r="Y725" s="51">
        <f t="shared" si="3918"/>
        <v>77.212500000000006</v>
      </c>
      <c r="Z725" s="51">
        <f t="shared" si="3918"/>
        <v>60.452500000000001</v>
      </c>
      <c r="AA725" s="51">
        <f t="shared" si="3918"/>
        <v>44.442499999999995</v>
      </c>
      <c r="AB725" s="51">
        <f t="shared" si="3918"/>
        <v>31.422499999999999</v>
      </c>
      <c r="AC725" s="80">
        <f t="shared" ref="AC725:AF725" si="3919">(B725+C725)/2</f>
        <v>89.45</v>
      </c>
      <c r="AD725" s="80">
        <f t="shared" si="3919"/>
        <v>69.75</v>
      </c>
      <c r="AE725" s="80">
        <f t="shared" si="3919"/>
        <v>53.379999999999995</v>
      </c>
      <c r="AF725" s="80">
        <f t="shared" si="3919"/>
        <v>38.56</v>
      </c>
      <c r="AG725" s="51">
        <f t="shared" si="3360"/>
        <v>61.05</v>
      </c>
      <c r="AH725" s="51">
        <f t="shared" si="3361"/>
        <v>54.5</v>
      </c>
      <c r="AI725" s="51">
        <f t="shared" si="3726"/>
        <v>61.488</v>
      </c>
      <c r="AJ725" s="51">
        <f t="shared" si="3773"/>
        <v>59.184399999999997</v>
      </c>
      <c r="AK725" s="51">
        <f t="shared" si="3650"/>
        <v>33.020000000000003</v>
      </c>
      <c r="AL725" s="51">
        <f t="shared" si="3364"/>
        <v>36.067800000000005</v>
      </c>
      <c r="AM725" s="51"/>
      <c r="AN725" s="51">
        <f t="shared" si="3499"/>
        <v>44.03</v>
      </c>
      <c r="AO725" s="51">
        <f t="shared" si="3366"/>
        <v>42.957857142857144</v>
      </c>
      <c r="AP725" s="51"/>
      <c r="AQ725" s="51">
        <f t="shared" si="3694"/>
        <v>61.902500000000003</v>
      </c>
      <c r="AR725" s="51">
        <f t="shared" si="3695"/>
        <v>64.661550000000005</v>
      </c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8"/>
      <c r="BK725" s="8"/>
      <c r="BL725" s="8"/>
      <c r="BM725" s="8"/>
    </row>
    <row r="726" spans="1:65" ht="30" hidden="1" customHeight="1" x14ac:dyDescent="0.45">
      <c r="A726" s="55">
        <f t="shared" si="3789"/>
        <v>45961</v>
      </c>
      <c r="B726" s="56">
        <v>100.84</v>
      </c>
      <c r="C726" s="56">
        <v>78.67</v>
      </c>
      <c r="D726" s="56">
        <v>61.88</v>
      </c>
      <c r="E726" s="56">
        <v>45.59</v>
      </c>
      <c r="F726" s="56">
        <v>31.98</v>
      </c>
      <c r="G726" s="56">
        <v>106.23</v>
      </c>
      <c r="H726" s="51">
        <f t="shared" ref="H726:M726" si="3920">B726-B725</f>
        <v>-6.0000000000002274E-2</v>
      </c>
      <c r="I726" s="51">
        <f t="shared" si="3920"/>
        <v>0.67000000000000171</v>
      </c>
      <c r="J726" s="51">
        <f t="shared" si="3920"/>
        <v>0.38000000000000256</v>
      </c>
      <c r="K726" s="51">
        <f t="shared" si="3920"/>
        <v>0.3300000000000054</v>
      </c>
      <c r="L726" s="51">
        <f t="shared" si="3920"/>
        <v>0.12000000000000099</v>
      </c>
      <c r="M726" s="85">
        <f t="shared" si="3920"/>
        <v>2.4900000000000091</v>
      </c>
      <c r="N726" s="51">
        <f t="shared" ref="N726:R726" si="3921">N725</f>
        <v>100.49600000000001</v>
      </c>
      <c r="O726" s="51">
        <f t="shared" si="3921"/>
        <v>77.504000000000005</v>
      </c>
      <c r="P726" s="51">
        <f t="shared" si="3921"/>
        <v>60.738</v>
      </c>
      <c r="Q726" s="51">
        <f t="shared" si="3921"/>
        <v>44.671999999999997</v>
      </c>
      <c r="R726" s="51">
        <f t="shared" si="3921"/>
        <v>31.533999999999999</v>
      </c>
      <c r="S726" s="51">
        <f t="shared" ref="S726:W726" si="3922">(B725+B726)/2</f>
        <v>100.87</v>
      </c>
      <c r="T726" s="51">
        <f t="shared" si="3922"/>
        <v>78.335000000000008</v>
      </c>
      <c r="U726" s="51">
        <f t="shared" si="3922"/>
        <v>61.69</v>
      </c>
      <c r="V726" s="51">
        <f t="shared" si="3922"/>
        <v>45.424999999999997</v>
      </c>
      <c r="W726" s="51">
        <f t="shared" si="3922"/>
        <v>31.92</v>
      </c>
      <c r="X726" s="51">
        <f t="shared" ref="X726:AB726" si="3923">(SUM(B723:B726))/4</f>
        <v>100.625</v>
      </c>
      <c r="Y726" s="51">
        <f t="shared" si="3923"/>
        <v>77.697500000000005</v>
      </c>
      <c r="Z726" s="51">
        <f t="shared" si="3923"/>
        <v>61.064999999999998</v>
      </c>
      <c r="AA726" s="51">
        <f t="shared" si="3923"/>
        <v>44.894999999999996</v>
      </c>
      <c r="AB726" s="51">
        <f t="shared" si="3923"/>
        <v>31.6675</v>
      </c>
      <c r="AC726" s="80">
        <f t="shared" ref="AC726:AF726" si="3924">(B726+C726)/2</f>
        <v>89.754999999999995</v>
      </c>
      <c r="AD726" s="80">
        <f t="shared" si="3924"/>
        <v>70.275000000000006</v>
      </c>
      <c r="AE726" s="80">
        <f t="shared" si="3924"/>
        <v>53.734999999999999</v>
      </c>
      <c r="AF726" s="80">
        <f t="shared" si="3924"/>
        <v>38.785000000000004</v>
      </c>
      <c r="AG726" s="51">
        <f t="shared" si="3360"/>
        <v>61.575000000000003</v>
      </c>
      <c r="AH726" s="51">
        <f t="shared" si="3361"/>
        <v>54.88</v>
      </c>
      <c r="AI726" s="51">
        <f t="shared" si="3726"/>
        <v>61.488</v>
      </c>
      <c r="AJ726" s="51">
        <f t="shared" si="3773"/>
        <v>59.772399999999998</v>
      </c>
      <c r="AK726" s="51">
        <f t="shared" si="3650"/>
        <v>33.322499999999998</v>
      </c>
      <c r="AL726" s="51">
        <f t="shared" si="3364"/>
        <v>36.352149999999995</v>
      </c>
      <c r="AM726" s="51"/>
      <c r="AN726" s="51">
        <f t="shared" si="3499"/>
        <v>44.424999999999997</v>
      </c>
      <c r="AO726" s="51">
        <f t="shared" si="3366"/>
        <v>43.343452380952378</v>
      </c>
      <c r="AP726" s="51"/>
      <c r="AQ726" s="51">
        <f t="shared" si="3694"/>
        <v>62.515000000000001</v>
      </c>
      <c r="AR726" s="51">
        <f t="shared" si="3695"/>
        <v>65.286299999999997</v>
      </c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8"/>
      <c r="BK726" s="8"/>
      <c r="BL726" s="8"/>
      <c r="BM726" s="8"/>
    </row>
    <row r="727" spans="1:65" ht="30" customHeight="1" x14ac:dyDescent="0.45">
      <c r="A727" s="55">
        <f t="shared" si="3789"/>
        <v>45968</v>
      </c>
      <c r="B727" s="56">
        <v>101.77</v>
      </c>
      <c r="C727" s="56">
        <v>79.599999999999994</v>
      </c>
      <c r="D727" s="56">
        <v>63.13</v>
      </c>
      <c r="E727" s="56">
        <v>47.09</v>
      </c>
      <c r="F727" s="56">
        <v>32.42</v>
      </c>
      <c r="G727" s="56">
        <v>108.81</v>
      </c>
      <c r="H727" s="51">
        <f t="shared" ref="H727:M727" si="3925">B727-B726</f>
        <v>0.92999999999999261</v>
      </c>
      <c r="I727" s="51">
        <f t="shared" si="3925"/>
        <v>0.92999999999999261</v>
      </c>
      <c r="J727" s="51">
        <f t="shared" si="3925"/>
        <v>1.25</v>
      </c>
      <c r="K727" s="51">
        <f t="shared" si="3925"/>
        <v>1.5</v>
      </c>
      <c r="L727" s="51">
        <f t="shared" si="3925"/>
        <v>0.44000000000000128</v>
      </c>
      <c r="M727" s="85">
        <f t="shared" si="3925"/>
        <v>2.5799999999999983</v>
      </c>
      <c r="N727" s="69">
        <f t="shared" ref="N727:R727" si="3926">AVERAGE(B727:B730)</f>
        <v>102.495</v>
      </c>
      <c r="O727" s="69">
        <f t="shared" si="3926"/>
        <v>80.867500000000007</v>
      </c>
      <c r="P727" s="69">
        <f t="shared" si="3926"/>
        <v>64.33</v>
      </c>
      <c r="Q727" s="69">
        <f t="shared" si="3926"/>
        <v>48.387500000000003</v>
      </c>
      <c r="R727" s="69">
        <f t="shared" si="3926"/>
        <v>32.567499999999995</v>
      </c>
      <c r="S727" s="51">
        <f t="shared" ref="S727:W727" si="3927">(B726+B727)/2</f>
        <v>101.30500000000001</v>
      </c>
      <c r="T727" s="51">
        <f t="shared" si="3927"/>
        <v>79.134999999999991</v>
      </c>
      <c r="U727" s="51">
        <f t="shared" si="3927"/>
        <v>62.505000000000003</v>
      </c>
      <c r="V727" s="51">
        <f t="shared" si="3927"/>
        <v>46.34</v>
      </c>
      <c r="W727" s="51">
        <f t="shared" si="3927"/>
        <v>32.200000000000003</v>
      </c>
      <c r="X727" s="51">
        <f t="shared" ref="X727:AB727" si="3928">(SUM(B724:B727))/4</f>
        <v>101.0675</v>
      </c>
      <c r="Y727" s="51">
        <f t="shared" si="3928"/>
        <v>78.375</v>
      </c>
      <c r="Z727" s="51">
        <f t="shared" si="3928"/>
        <v>61.817499999999995</v>
      </c>
      <c r="AA727" s="51">
        <f t="shared" si="3928"/>
        <v>45.685000000000002</v>
      </c>
      <c r="AB727" s="51">
        <f t="shared" si="3928"/>
        <v>31.955000000000002</v>
      </c>
      <c r="AC727" s="80">
        <f t="shared" ref="AC727:AF727" si="3929">(B727+C727)/2</f>
        <v>90.685000000000002</v>
      </c>
      <c r="AD727" s="80">
        <f t="shared" si="3929"/>
        <v>71.364999999999995</v>
      </c>
      <c r="AE727" s="80">
        <f t="shared" si="3929"/>
        <v>55.11</v>
      </c>
      <c r="AF727" s="80">
        <f t="shared" si="3929"/>
        <v>39.755000000000003</v>
      </c>
      <c r="AG727" s="51">
        <f t="shared" si="3360"/>
        <v>62.664999999999992</v>
      </c>
      <c r="AH727" s="51">
        <f t="shared" si="3361"/>
        <v>56.13</v>
      </c>
      <c r="AI727" s="51">
        <f t="shared" si="3726"/>
        <v>65.08</v>
      </c>
      <c r="AJ727" s="51">
        <f t="shared" si="3773"/>
        <v>60.494799999999998</v>
      </c>
      <c r="AK727" s="51">
        <f t="shared" si="3650"/>
        <v>33.92</v>
      </c>
      <c r="AL727" s="51">
        <f t="shared" si="3364"/>
        <v>36.913800000000002</v>
      </c>
      <c r="AM727" s="51"/>
      <c r="AN727" s="51">
        <f t="shared" si="3499"/>
        <v>45.34</v>
      </c>
      <c r="AO727" s="51">
        <f t="shared" si="3366"/>
        <v>44.236666666666665</v>
      </c>
      <c r="AP727" s="51"/>
      <c r="AQ727" s="51">
        <f t="shared" si="3694"/>
        <v>63.267499999999998</v>
      </c>
      <c r="AR727" s="51">
        <f t="shared" si="3695"/>
        <v>66.053849999999997</v>
      </c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8"/>
      <c r="BK727" s="8"/>
      <c r="BL727" s="8"/>
      <c r="BM727" s="8"/>
    </row>
    <row r="728" spans="1:65" ht="30" customHeight="1" x14ac:dyDescent="0.45">
      <c r="A728" s="55">
        <f t="shared" si="3789"/>
        <v>45975</v>
      </c>
      <c r="B728" s="56">
        <v>102.32</v>
      </c>
      <c r="C728" s="56">
        <v>80.52</v>
      </c>
      <c r="D728" s="56">
        <v>64.02</v>
      </c>
      <c r="E728" s="56">
        <v>48.52</v>
      </c>
      <c r="F728" s="56">
        <v>32.58</v>
      </c>
      <c r="G728" s="56">
        <v>109.05</v>
      </c>
      <c r="H728" s="51">
        <f t="shared" ref="H728:M728" si="3930">B728-B727</f>
        <v>0.54999999999999716</v>
      </c>
      <c r="I728" s="51">
        <f t="shared" si="3930"/>
        <v>0.92000000000000171</v>
      </c>
      <c r="J728" s="51">
        <f t="shared" si="3930"/>
        <v>0.88999999999999346</v>
      </c>
      <c r="K728" s="51">
        <f t="shared" si="3930"/>
        <v>1.4299999999999997</v>
      </c>
      <c r="L728" s="51">
        <f t="shared" si="3930"/>
        <v>0.15999999999999659</v>
      </c>
      <c r="M728" s="85">
        <f t="shared" si="3930"/>
        <v>0.23999999999999488</v>
      </c>
      <c r="N728" s="51">
        <f t="shared" ref="N728:R728" si="3931">N727</f>
        <v>102.495</v>
      </c>
      <c r="O728" s="51">
        <f t="shared" si="3931"/>
        <v>80.867500000000007</v>
      </c>
      <c r="P728" s="51">
        <f t="shared" si="3931"/>
        <v>64.33</v>
      </c>
      <c r="Q728" s="51">
        <f t="shared" si="3931"/>
        <v>48.387500000000003</v>
      </c>
      <c r="R728" s="51">
        <f t="shared" si="3931"/>
        <v>32.567499999999995</v>
      </c>
      <c r="S728" s="51">
        <f t="shared" ref="S728:W728" si="3932">(B727+B728)/2</f>
        <v>102.04499999999999</v>
      </c>
      <c r="T728" s="51">
        <f t="shared" si="3932"/>
        <v>80.06</v>
      </c>
      <c r="U728" s="51">
        <f t="shared" si="3932"/>
        <v>63.575000000000003</v>
      </c>
      <c r="V728" s="51">
        <f t="shared" si="3932"/>
        <v>47.805000000000007</v>
      </c>
      <c r="W728" s="51">
        <f t="shared" si="3932"/>
        <v>32.5</v>
      </c>
      <c r="X728" s="51">
        <f t="shared" ref="X728:AB728" si="3933">(SUM(B725:B728))/4</f>
        <v>101.4575</v>
      </c>
      <c r="Y728" s="51">
        <f t="shared" si="3933"/>
        <v>79.197500000000005</v>
      </c>
      <c r="Z728" s="51">
        <f t="shared" si="3933"/>
        <v>62.632499999999993</v>
      </c>
      <c r="AA728" s="51">
        <f t="shared" si="3933"/>
        <v>46.615000000000002</v>
      </c>
      <c r="AB728" s="51">
        <f t="shared" si="3933"/>
        <v>32.21</v>
      </c>
      <c r="AC728" s="80">
        <f t="shared" ref="AC728:AF728" si="3934">(B728+C728)/2</f>
        <v>91.419999999999987</v>
      </c>
      <c r="AD728" s="80">
        <f t="shared" si="3934"/>
        <v>72.27</v>
      </c>
      <c r="AE728" s="80">
        <f t="shared" si="3934"/>
        <v>56.269999999999996</v>
      </c>
      <c r="AF728" s="90">
        <f t="shared" si="3934"/>
        <v>40.549999999999997</v>
      </c>
      <c r="AG728" s="51">
        <f t="shared" si="3360"/>
        <v>63.569999999999993</v>
      </c>
      <c r="AH728" s="51">
        <f t="shared" si="3361"/>
        <v>57.019999999999996</v>
      </c>
      <c r="AI728" s="51">
        <f t="shared" si="3726"/>
        <v>65.08</v>
      </c>
      <c r="AJ728" s="51">
        <f t="shared" si="3773"/>
        <v>61.277199999999986</v>
      </c>
      <c r="AK728" s="51">
        <f t="shared" si="3650"/>
        <v>34.802500000000002</v>
      </c>
      <c r="AL728" s="51">
        <f t="shared" si="3364"/>
        <v>37.74335</v>
      </c>
      <c r="AM728" s="51"/>
      <c r="AN728" s="51">
        <f t="shared" si="3499"/>
        <v>46.805000000000007</v>
      </c>
      <c r="AO728" s="51">
        <f t="shared" si="3366"/>
        <v>45.666785714285723</v>
      </c>
      <c r="AP728" s="51"/>
      <c r="AQ728" s="51">
        <f t="shared" si="3694"/>
        <v>64.082499999999996</v>
      </c>
      <c r="AR728" s="51">
        <f t="shared" si="3695"/>
        <v>66.885149999999996</v>
      </c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8"/>
      <c r="BK728" s="8"/>
      <c r="BL728" s="8"/>
      <c r="BM728" s="8"/>
    </row>
    <row r="729" spans="1:65" ht="30" customHeight="1" x14ac:dyDescent="0.45">
      <c r="A729" s="55">
        <f t="shared" si="3789"/>
        <v>45982</v>
      </c>
      <c r="B729" s="56">
        <v>102.79</v>
      </c>
      <c r="C729" s="56">
        <v>81.7</v>
      </c>
      <c r="D729" s="56">
        <v>64.75</v>
      </c>
      <c r="E729" s="56">
        <v>49.19</v>
      </c>
      <c r="F729" s="56">
        <v>32.799999999999997</v>
      </c>
      <c r="G729" s="56">
        <v>113.75</v>
      </c>
      <c r="H729" s="51">
        <f t="shared" ref="H729:M729" si="3935">B729-B728</f>
        <v>0.47000000000001307</v>
      </c>
      <c r="I729" s="51">
        <f t="shared" si="3935"/>
        <v>1.1800000000000068</v>
      </c>
      <c r="J729" s="51">
        <f t="shared" si="3935"/>
        <v>0.73000000000000398</v>
      </c>
      <c r="K729" s="51">
        <f t="shared" si="3935"/>
        <v>0.6699999999999946</v>
      </c>
      <c r="L729" s="51">
        <f t="shared" si="3935"/>
        <v>0.21999999999999886</v>
      </c>
      <c r="M729" s="85">
        <f t="shared" si="3935"/>
        <v>4.7000000000000028</v>
      </c>
      <c r="N729" s="51">
        <f t="shared" ref="N729:R729" si="3936">N728</f>
        <v>102.495</v>
      </c>
      <c r="O729" s="51">
        <f t="shared" si="3936"/>
        <v>80.867500000000007</v>
      </c>
      <c r="P729" s="51">
        <f t="shared" si="3936"/>
        <v>64.33</v>
      </c>
      <c r="Q729" s="51">
        <f t="shared" si="3936"/>
        <v>48.387500000000003</v>
      </c>
      <c r="R729" s="51">
        <f t="shared" si="3936"/>
        <v>32.567499999999995</v>
      </c>
      <c r="S729" s="51">
        <f t="shared" ref="S729:W729" si="3937">(B728+B729)/2</f>
        <v>102.55500000000001</v>
      </c>
      <c r="T729" s="51">
        <f t="shared" si="3937"/>
        <v>81.11</v>
      </c>
      <c r="U729" s="51">
        <f t="shared" si="3937"/>
        <v>64.384999999999991</v>
      </c>
      <c r="V729" s="51">
        <f t="shared" si="3937"/>
        <v>48.855000000000004</v>
      </c>
      <c r="W729" s="51">
        <f t="shared" si="3937"/>
        <v>32.69</v>
      </c>
      <c r="X729" s="51">
        <f t="shared" ref="X729:AB729" si="3938">(SUM(B726:B729))/4</f>
        <v>101.93</v>
      </c>
      <c r="Y729" s="51">
        <f t="shared" si="3938"/>
        <v>80.122499999999988</v>
      </c>
      <c r="Z729" s="51">
        <f t="shared" si="3938"/>
        <v>63.445</v>
      </c>
      <c r="AA729" s="51">
        <f t="shared" si="3938"/>
        <v>47.597500000000004</v>
      </c>
      <c r="AB729" s="51">
        <f t="shared" si="3938"/>
        <v>32.445</v>
      </c>
      <c r="AC729" s="80">
        <f t="shared" ref="AC729:AF729" si="3939">(B729+C729)/2</f>
        <v>92.245000000000005</v>
      </c>
      <c r="AD729" s="80">
        <f t="shared" si="3939"/>
        <v>73.224999999999994</v>
      </c>
      <c r="AE729" s="80">
        <f t="shared" si="3939"/>
        <v>56.97</v>
      </c>
      <c r="AF729" s="80">
        <f t="shared" si="3939"/>
        <v>40.994999999999997</v>
      </c>
      <c r="AG729" s="51">
        <f t="shared" si="3360"/>
        <v>64.524999999999991</v>
      </c>
      <c r="AH729" s="51">
        <f t="shared" si="3361"/>
        <v>57.75</v>
      </c>
      <c r="AI729" s="51">
        <f t="shared" si="3726"/>
        <v>65.08</v>
      </c>
      <c r="AJ729" s="51">
        <f t="shared" si="3773"/>
        <v>62.057200000000002</v>
      </c>
      <c r="AK729" s="51">
        <f t="shared" si="3650"/>
        <v>35.422499999999999</v>
      </c>
      <c r="AL729" s="51">
        <f t="shared" si="3364"/>
        <v>38.326149999999998</v>
      </c>
      <c r="AM729" s="51"/>
      <c r="AN729" s="51">
        <f t="shared" si="3499"/>
        <v>47.855000000000004</v>
      </c>
      <c r="AO729" s="51">
        <f t="shared" si="3366"/>
        <v>46.691785714285722</v>
      </c>
      <c r="AP729" s="51"/>
      <c r="AQ729" s="51">
        <f t="shared" si="3694"/>
        <v>64.894999999999996</v>
      </c>
      <c r="AR729" s="51">
        <f t="shared" si="3695"/>
        <v>67.713899999999995</v>
      </c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8"/>
      <c r="BK729" s="8"/>
      <c r="BL729" s="8"/>
      <c r="BM729" s="8"/>
    </row>
    <row r="730" spans="1:65" ht="30" customHeight="1" x14ac:dyDescent="0.45">
      <c r="A730" s="55">
        <f t="shared" si="3789"/>
        <v>45989</v>
      </c>
      <c r="B730" s="56">
        <v>103.1</v>
      </c>
      <c r="C730" s="56">
        <v>81.650000000000006</v>
      </c>
      <c r="D730" s="56">
        <v>65.42</v>
      </c>
      <c r="E730" s="56">
        <v>48.75</v>
      </c>
      <c r="F730" s="56">
        <v>32.47</v>
      </c>
      <c r="G730" s="56">
        <v>112.9</v>
      </c>
      <c r="H730" s="51">
        <f t="shared" ref="H730:M730" si="3940">B730-B729</f>
        <v>0.30999999999998806</v>
      </c>
      <c r="I730" s="51">
        <f t="shared" si="3940"/>
        <v>-4.9999999999997158E-2</v>
      </c>
      <c r="J730" s="51">
        <f t="shared" si="3940"/>
        <v>0.67000000000000171</v>
      </c>
      <c r="K730" s="51">
        <f t="shared" si="3940"/>
        <v>-0.43999999999999773</v>
      </c>
      <c r="L730" s="51">
        <f t="shared" si="3940"/>
        <v>-0.32999999999999829</v>
      </c>
      <c r="M730" s="85">
        <f t="shared" si="3940"/>
        <v>-0.84999999999999432</v>
      </c>
      <c r="N730" s="51">
        <f t="shared" ref="N730:R730" si="3941">N729</f>
        <v>102.495</v>
      </c>
      <c r="O730" s="51">
        <f t="shared" si="3941"/>
        <v>80.867500000000007</v>
      </c>
      <c r="P730" s="51">
        <f t="shared" si="3941"/>
        <v>64.33</v>
      </c>
      <c r="Q730" s="51">
        <f t="shared" si="3941"/>
        <v>48.387500000000003</v>
      </c>
      <c r="R730" s="51">
        <f t="shared" si="3941"/>
        <v>32.567499999999995</v>
      </c>
      <c r="S730" s="51">
        <f t="shared" ref="S730:W730" si="3942">(B729+B730)/2</f>
        <v>102.94499999999999</v>
      </c>
      <c r="T730" s="51">
        <f t="shared" si="3942"/>
        <v>81.675000000000011</v>
      </c>
      <c r="U730" s="51">
        <f t="shared" si="3942"/>
        <v>65.085000000000008</v>
      </c>
      <c r="V730" s="51">
        <f t="shared" si="3942"/>
        <v>48.97</v>
      </c>
      <c r="W730" s="51">
        <f t="shared" si="3942"/>
        <v>32.634999999999998</v>
      </c>
      <c r="X730" s="51">
        <f t="shared" ref="X730:AB730" si="3943">(SUM(B727:B730))/4</f>
        <v>102.495</v>
      </c>
      <c r="Y730" s="51">
        <f t="shared" si="3943"/>
        <v>80.867500000000007</v>
      </c>
      <c r="Z730" s="51">
        <f t="shared" si="3943"/>
        <v>64.33</v>
      </c>
      <c r="AA730" s="51">
        <f t="shared" si="3943"/>
        <v>48.387500000000003</v>
      </c>
      <c r="AB730" s="51">
        <f t="shared" si="3943"/>
        <v>32.567499999999995</v>
      </c>
      <c r="AC730" s="80">
        <f t="shared" ref="AC730:AF730" si="3944">(B730+C730)/2</f>
        <v>92.375</v>
      </c>
      <c r="AD730" s="80">
        <f t="shared" si="3944"/>
        <v>73.534999999999997</v>
      </c>
      <c r="AE730" s="80">
        <f t="shared" si="3944"/>
        <v>57.085000000000001</v>
      </c>
      <c r="AF730" s="80">
        <f t="shared" si="3944"/>
        <v>40.61</v>
      </c>
      <c r="AG730" s="51">
        <f t="shared" si="3360"/>
        <v>64.834999999999994</v>
      </c>
      <c r="AH730" s="51">
        <f t="shared" si="3361"/>
        <v>58.42</v>
      </c>
      <c r="AI730" s="51">
        <f t="shared" si="3726"/>
        <v>65.08</v>
      </c>
      <c r="AJ730" s="51">
        <f t="shared" si="3773"/>
        <v>62.906799999999997</v>
      </c>
      <c r="AK730" s="51">
        <f t="shared" si="3650"/>
        <v>35.452499999999993</v>
      </c>
      <c r="AL730" s="51">
        <f t="shared" si="3364"/>
        <v>38.35434999999999</v>
      </c>
      <c r="AM730" s="51"/>
      <c r="AN730" s="51">
        <f t="shared" si="3499"/>
        <v>47.97</v>
      </c>
      <c r="AO730" s="51">
        <f t="shared" si="3366"/>
        <v>46.804047619047616</v>
      </c>
      <c r="AP730" s="51"/>
      <c r="AQ730" s="51">
        <f t="shared" si="3694"/>
        <v>65.78</v>
      </c>
      <c r="AR730" s="51">
        <f t="shared" si="3695"/>
        <v>68.616600000000005</v>
      </c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8"/>
      <c r="BK730" s="8"/>
      <c r="BL730" s="8"/>
      <c r="BM730" s="8"/>
    </row>
    <row r="731" spans="1:65" ht="30" customHeight="1" x14ac:dyDescent="0.45">
      <c r="A731" s="55">
        <f t="shared" si="3789"/>
        <v>45996</v>
      </c>
      <c r="B731" s="56">
        <v>103.36</v>
      </c>
      <c r="C731" s="56">
        <v>81.34</v>
      </c>
      <c r="D731" s="56">
        <v>64.3</v>
      </c>
      <c r="E731" s="56">
        <v>47.84</v>
      </c>
      <c r="F731" s="56">
        <v>32.130000000000003</v>
      </c>
      <c r="G731" s="56">
        <v>108.52</v>
      </c>
      <c r="H731" s="51">
        <f t="shared" ref="H731:M731" si="3945">B731-B730</f>
        <v>0.26000000000000512</v>
      </c>
      <c r="I731" s="51">
        <f t="shared" si="3945"/>
        <v>-0.31000000000000227</v>
      </c>
      <c r="J731" s="51">
        <f t="shared" si="3945"/>
        <v>-1.1200000000000045</v>
      </c>
      <c r="K731" s="51">
        <f t="shared" si="3945"/>
        <v>-0.90999999999999659</v>
      </c>
      <c r="L731" s="51">
        <f t="shared" si="3945"/>
        <v>-0.33999999999999631</v>
      </c>
      <c r="M731" s="85">
        <f t="shared" si="3945"/>
        <v>-4.3800000000000097</v>
      </c>
      <c r="N731" s="69">
        <f t="shared" ref="N731:R731" si="3946">AVERAGE(B731:B734)</f>
        <v>102.7925</v>
      </c>
      <c r="O731" s="69">
        <f t="shared" si="3946"/>
        <v>80.680000000000007</v>
      </c>
      <c r="P731" s="69">
        <f t="shared" si="3946"/>
        <v>62.637499999999996</v>
      </c>
      <c r="Q731" s="69">
        <f t="shared" si="3946"/>
        <v>46.472499999999997</v>
      </c>
      <c r="R731" s="69">
        <f t="shared" si="3946"/>
        <v>31.684999999999999</v>
      </c>
      <c r="S731" s="51">
        <f t="shared" ref="S731:W731" si="3947">(B730+B731)/2</f>
        <v>103.22999999999999</v>
      </c>
      <c r="T731" s="51">
        <f t="shared" si="3947"/>
        <v>81.495000000000005</v>
      </c>
      <c r="U731" s="51">
        <f t="shared" si="3947"/>
        <v>64.86</v>
      </c>
      <c r="V731" s="51">
        <f t="shared" si="3947"/>
        <v>48.295000000000002</v>
      </c>
      <c r="W731" s="51">
        <f t="shared" si="3947"/>
        <v>32.299999999999997</v>
      </c>
      <c r="X731" s="51">
        <f t="shared" ref="X731:AB731" si="3948">(SUM(B728:B731))/4</f>
        <v>102.89250000000001</v>
      </c>
      <c r="Y731" s="51">
        <f t="shared" si="3948"/>
        <v>81.302500000000009</v>
      </c>
      <c r="Z731" s="51">
        <f t="shared" si="3948"/>
        <v>64.622500000000002</v>
      </c>
      <c r="AA731" s="51">
        <f t="shared" si="3948"/>
        <v>48.575000000000003</v>
      </c>
      <c r="AB731" s="51">
        <f t="shared" si="3948"/>
        <v>32.494999999999997</v>
      </c>
      <c r="AC731" s="80">
        <f t="shared" ref="AC731:AF731" si="3949">(B731+C731)/2</f>
        <v>92.35</v>
      </c>
      <c r="AD731" s="80">
        <f t="shared" si="3949"/>
        <v>72.819999999999993</v>
      </c>
      <c r="AE731" s="80">
        <f t="shared" si="3949"/>
        <v>56.07</v>
      </c>
      <c r="AF731" s="80">
        <f t="shared" si="3949"/>
        <v>39.984999999999999</v>
      </c>
      <c r="AG731" s="51">
        <f t="shared" si="3360"/>
        <v>64.11999999999999</v>
      </c>
      <c r="AH731" s="51">
        <f t="shared" si="3361"/>
        <v>57.3</v>
      </c>
      <c r="AI731" s="51">
        <f t="shared" si="3726"/>
        <v>63.387499999999996</v>
      </c>
      <c r="AJ731" s="51">
        <f t="shared" si="3773"/>
        <v>63.187599999999996</v>
      </c>
      <c r="AK731" s="51">
        <f t="shared" si="3650"/>
        <v>34.947499999999998</v>
      </c>
      <c r="AL731" s="51">
        <f t="shared" si="3364"/>
        <v>37.879649999999998</v>
      </c>
      <c r="AM731" s="51"/>
      <c r="AN731" s="51">
        <f t="shared" si="3499"/>
        <v>47.295000000000002</v>
      </c>
      <c r="AO731" s="51">
        <f t="shared" si="3366"/>
        <v>46.145119047619048</v>
      </c>
      <c r="AP731" s="51"/>
      <c r="AQ731" s="51">
        <f t="shared" si="3694"/>
        <v>66.072500000000005</v>
      </c>
      <c r="AR731" s="51">
        <f t="shared" si="3695"/>
        <v>68.914950000000005</v>
      </c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8"/>
      <c r="BK731" s="8"/>
      <c r="BL731" s="8"/>
      <c r="BM731" s="8"/>
    </row>
    <row r="732" spans="1:65" ht="30" customHeight="1" x14ac:dyDescent="0.45">
      <c r="A732" s="55">
        <f t="shared" si="3789"/>
        <v>46003</v>
      </c>
      <c r="B732" s="56">
        <v>103.17</v>
      </c>
      <c r="C732" s="56">
        <v>80.88</v>
      </c>
      <c r="D732" s="56">
        <v>63.16</v>
      </c>
      <c r="E732" s="56">
        <v>46.73</v>
      </c>
      <c r="F732" s="56">
        <v>32.06</v>
      </c>
      <c r="G732" s="56">
        <v>109.64</v>
      </c>
      <c r="H732" s="51">
        <f t="shared" ref="H732:M732" si="3950">B732-B731</f>
        <v>-0.18999999999999773</v>
      </c>
      <c r="I732" s="51">
        <f t="shared" si="3950"/>
        <v>-0.46000000000000796</v>
      </c>
      <c r="J732" s="51">
        <f t="shared" si="3950"/>
        <v>-1.1400000000000006</v>
      </c>
      <c r="K732" s="51">
        <f t="shared" si="3950"/>
        <v>-1.1100000000000065</v>
      </c>
      <c r="L732" s="51">
        <f t="shared" si="3950"/>
        <v>-7.0000000000000284E-2</v>
      </c>
      <c r="M732" s="85">
        <f t="shared" si="3950"/>
        <v>1.1200000000000045</v>
      </c>
      <c r="N732" s="51">
        <f t="shared" ref="N732:R732" si="3951">N731</f>
        <v>102.7925</v>
      </c>
      <c r="O732" s="51">
        <f t="shared" si="3951"/>
        <v>80.680000000000007</v>
      </c>
      <c r="P732" s="51">
        <f t="shared" si="3951"/>
        <v>62.637499999999996</v>
      </c>
      <c r="Q732" s="51">
        <f t="shared" si="3951"/>
        <v>46.472499999999997</v>
      </c>
      <c r="R732" s="51">
        <f t="shared" si="3951"/>
        <v>31.684999999999999</v>
      </c>
      <c r="S732" s="51">
        <f t="shared" ref="S732:W732" si="3952">(B731+B732)/2</f>
        <v>103.265</v>
      </c>
      <c r="T732" s="51">
        <f t="shared" si="3952"/>
        <v>81.11</v>
      </c>
      <c r="U732" s="51">
        <f t="shared" si="3952"/>
        <v>63.73</v>
      </c>
      <c r="V732" s="51">
        <f t="shared" si="3952"/>
        <v>47.284999999999997</v>
      </c>
      <c r="W732" s="51">
        <f t="shared" si="3952"/>
        <v>32.094999999999999</v>
      </c>
      <c r="X732" s="51">
        <f t="shared" ref="X732:AB732" si="3953">(SUM(B729:B732))/4</f>
        <v>103.105</v>
      </c>
      <c r="Y732" s="51">
        <f t="shared" si="3953"/>
        <v>81.392500000000013</v>
      </c>
      <c r="Z732" s="51">
        <f t="shared" si="3953"/>
        <v>64.407499999999999</v>
      </c>
      <c r="AA732" s="51">
        <f t="shared" si="3953"/>
        <v>48.127499999999998</v>
      </c>
      <c r="AB732" s="51">
        <f t="shared" si="3953"/>
        <v>32.365000000000002</v>
      </c>
      <c r="AC732" s="80">
        <f t="shared" ref="AC732:AF732" si="3954">(B732+C732)/2</f>
        <v>92.025000000000006</v>
      </c>
      <c r="AD732" s="80">
        <f t="shared" si="3954"/>
        <v>72.02</v>
      </c>
      <c r="AE732" s="80">
        <f t="shared" si="3954"/>
        <v>54.944999999999993</v>
      </c>
      <c r="AF732" s="80">
        <f t="shared" si="3954"/>
        <v>39.394999999999996</v>
      </c>
      <c r="AG732" s="51">
        <f t="shared" si="3360"/>
        <v>63.319999999999993</v>
      </c>
      <c r="AH732" s="51">
        <f t="shared" si="3361"/>
        <v>56.16</v>
      </c>
      <c r="AI732" s="51">
        <f t="shared" si="3726"/>
        <v>63.387499999999996</v>
      </c>
      <c r="AJ732" s="51">
        <f t="shared" si="3773"/>
        <v>62.981200000000001</v>
      </c>
      <c r="AK732" s="51">
        <f t="shared" si="3650"/>
        <v>34.339999999999996</v>
      </c>
      <c r="AL732" s="51">
        <f t="shared" si="3364"/>
        <v>37.308599999999998</v>
      </c>
      <c r="AM732" s="51"/>
      <c r="AN732" s="51">
        <f t="shared" si="3499"/>
        <v>46.284999999999997</v>
      </c>
      <c r="AO732" s="51">
        <f t="shared" si="3366"/>
        <v>45.159166666666664</v>
      </c>
      <c r="AP732" s="51"/>
      <c r="AQ732" s="51">
        <f t="shared" si="3694"/>
        <v>65.857500000000002</v>
      </c>
      <c r="AR732" s="51">
        <f t="shared" si="3695"/>
        <v>68.695650000000001</v>
      </c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8"/>
      <c r="BK732" s="8"/>
      <c r="BL732" s="8"/>
      <c r="BM732" s="8"/>
    </row>
    <row r="733" spans="1:65" ht="30" customHeight="1" x14ac:dyDescent="0.45">
      <c r="A733" s="55">
        <f t="shared" si="3789"/>
        <v>46010</v>
      </c>
      <c r="B733" s="56">
        <v>102.47</v>
      </c>
      <c r="C733" s="56">
        <v>80.33</v>
      </c>
      <c r="D733" s="56">
        <v>61.81</v>
      </c>
      <c r="E733" s="56">
        <v>45.87</v>
      </c>
      <c r="F733" s="56">
        <v>31.44</v>
      </c>
      <c r="G733" s="56">
        <v>107.96</v>
      </c>
      <c r="H733" s="51">
        <f t="shared" ref="H733:M733" si="3955">B733-B732</f>
        <v>-0.70000000000000284</v>
      </c>
      <c r="I733" s="51">
        <f t="shared" si="3955"/>
        <v>-0.54999999999999716</v>
      </c>
      <c r="J733" s="51">
        <f t="shared" si="3955"/>
        <v>-1.3499999999999943</v>
      </c>
      <c r="K733" s="51">
        <f t="shared" si="3955"/>
        <v>-0.85999999999999943</v>
      </c>
      <c r="L733" s="51">
        <f t="shared" si="3955"/>
        <v>-0.62000000000000099</v>
      </c>
      <c r="M733" s="85">
        <f t="shared" si="3955"/>
        <v>-1.6800000000000068</v>
      </c>
      <c r="N733" s="51">
        <f t="shared" ref="N733:R733" si="3956">N732</f>
        <v>102.7925</v>
      </c>
      <c r="O733" s="51">
        <f t="shared" si="3956"/>
        <v>80.680000000000007</v>
      </c>
      <c r="P733" s="51">
        <f t="shared" si="3956"/>
        <v>62.637499999999996</v>
      </c>
      <c r="Q733" s="51">
        <f t="shared" si="3956"/>
        <v>46.472499999999997</v>
      </c>
      <c r="R733" s="51">
        <f t="shared" si="3956"/>
        <v>31.684999999999999</v>
      </c>
      <c r="S733" s="51">
        <f t="shared" ref="S733:W733" si="3957">(B732+B733)/2</f>
        <v>102.82</v>
      </c>
      <c r="T733" s="51">
        <f t="shared" si="3957"/>
        <v>80.60499999999999</v>
      </c>
      <c r="U733" s="51">
        <f t="shared" si="3957"/>
        <v>62.484999999999999</v>
      </c>
      <c r="V733" s="51">
        <f t="shared" si="3957"/>
        <v>46.3</v>
      </c>
      <c r="W733" s="51">
        <f t="shared" si="3957"/>
        <v>31.75</v>
      </c>
      <c r="X733" s="51">
        <f t="shared" ref="X733:AB733" si="3958">(SUM(B730:B733))/4</f>
        <v>103.02500000000001</v>
      </c>
      <c r="Y733" s="51">
        <f t="shared" si="3958"/>
        <v>81.05</v>
      </c>
      <c r="Z733" s="51">
        <f t="shared" si="3958"/>
        <v>63.672499999999999</v>
      </c>
      <c r="AA733" s="51">
        <f t="shared" si="3958"/>
        <v>47.297499999999999</v>
      </c>
      <c r="AB733" s="51">
        <f t="shared" si="3958"/>
        <v>32.024999999999999</v>
      </c>
      <c r="AC733" s="80">
        <f t="shared" ref="AC733:AF733" si="3959">(B733+C733)/2</f>
        <v>91.4</v>
      </c>
      <c r="AD733" s="80">
        <f t="shared" si="3959"/>
        <v>71.069999999999993</v>
      </c>
      <c r="AE733" s="80">
        <f t="shared" si="3959"/>
        <v>53.84</v>
      </c>
      <c r="AF733" s="80">
        <f t="shared" si="3959"/>
        <v>38.655000000000001</v>
      </c>
      <c r="AG733" s="51">
        <f t="shared" si="3360"/>
        <v>62.36999999999999</v>
      </c>
      <c r="AH733" s="51">
        <f t="shared" si="3361"/>
        <v>54.81</v>
      </c>
      <c r="AI733" s="51">
        <f t="shared" si="3726"/>
        <v>63.387499999999996</v>
      </c>
      <c r="AJ733" s="51">
        <f t="shared" si="3773"/>
        <v>62.275599999999997</v>
      </c>
      <c r="AK733" s="51">
        <f t="shared" si="3650"/>
        <v>33.674999999999997</v>
      </c>
      <c r="AL733" s="51">
        <f t="shared" si="3364"/>
        <v>36.683499999999995</v>
      </c>
      <c r="AM733" s="51"/>
      <c r="AN733" s="51">
        <f t="shared" si="3499"/>
        <v>45.3</v>
      </c>
      <c r="AO733" s="51">
        <f t="shared" si="3366"/>
        <v>44.19761904761905</v>
      </c>
      <c r="AP733" s="51"/>
      <c r="AQ733" s="51">
        <f t="shared" si="3694"/>
        <v>65.122500000000002</v>
      </c>
      <c r="AR733" s="51">
        <f t="shared" si="3695"/>
        <v>67.945949999999996</v>
      </c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8"/>
      <c r="BK733" s="8"/>
      <c r="BL733" s="8"/>
      <c r="BM733" s="8"/>
    </row>
    <row r="734" spans="1:65" ht="30" customHeight="1" x14ac:dyDescent="0.45">
      <c r="A734" s="55">
        <v>46015</v>
      </c>
      <c r="B734" s="56">
        <v>102.17</v>
      </c>
      <c r="C734" s="56">
        <v>80.17</v>
      </c>
      <c r="D734" s="56">
        <v>61.28</v>
      </c>
      <c r="E734" s="56">
        <v>45.45</v>
      </c>
      <c r="F734" s="56">
        <v>31.11</v>
      </c>
      <c r="G734" s="56">
        <v>106.95</v>
      </c>
      <c r="H734" s="51">
        <f t="shared" ref="H734:M734" si="3960">B734-B733</f>
        <v>-0.29999999999999716</v>
      </c>
      <c r="I734" s="51">
        <f t="shared" si="3960"/>
        <v>-0.15999999999999659</v>
      </c>
      <c r="J734" s="51">
        <f t="shared" si="3960"/>
        <v>-0.53000000000000114</v>
      </c>
      <c r="K734" s="51">
        <f t="shared" si="3960"/>
        <v>-0.4199999999999946</v>
      </c>
      <c r="L734" s="51">
        <f t="shared" si="3960"/>
        <v>-0.33000000000000185</v>
      </c>
      <c r="M734" s="85">
        <f t="shared" si="3960"/>
        <v>-1.0099999999999909</v>
      </c>
      <c r="N734" s="51">
        <f t="shared" ref="N734:R734" si="3961">N733</f>
        <v>102.7925</v>
      </c>
      <c r="O734" s="51">
        <f t="shared" si="3961"/>
        <v>80.680000000000007</v>
      </c>
      <c r="P734" s="51">
        <f t="shared" si="3961"/>
        <v>62.637499999999996</v>
      </c>
      <c r="Q734" s="51">
        <f t="shared" si="3961"/>
        <v>46.472499999999997</v>
      </c>
      <c r="R734" s="51">
        <f t="shared" si="3961"/>
        <v>31.684999999999999</v>
      </c>
      <c r="S734" s="51">
        <f t="shared" ref="S734:W734" si="3962">(B733+B734)/2</f>
        <v>102.32</v>
      </c>
      <c r="T734" s="51">
        <f t="shared" si="3962"/>
        <v>80.25</v>
      </c>
      <c r="U734" s="51">
        <f t="shared" si="3962"/>
        <v>61.545000000000002</v>
      </c>
      <c r="V734" s="51">
        <f t="shared" si="3962"/>
        <v>45.66</v>
      </c>
      <c r="W734" s="51">
        <f t="shared" si="3962"/>
        <v>31.274999999999999</v>
      </c>
      <c r="X734" s="51">
        <f t="shared" ref="X734:AB734" si="3963">(SUM(B731:B734))/4</f>
        <v>102.7925</v>
      </c>
      <c r="Y734" s="51">
        <f t="shared" si="3963"/>
        <v>80.680000000000007</v>
      </c>
      <c r="Z734" s="51">
        <f t="shared" si="3963"/>
        <v>62.637499999999996</v>
      </c>
      <c r="AA734" s="51">
        <f t="shared" si="3963"/>
        <v>46.472499999999997</v>
      </c>
      <c r="AB734" s="51">
        <f t="shared" si="3963"/>
        <v>31.684999999999999</v>
      </c>
      <c r="AC734" s="80">
        <f t="shared" ref="AC734:AF734" si="3964">(B734+C734)/2</f>
        <v>91.17</v>
      </c>
      <c r="AD734" s="80">
        <f t="shared" si="3964"/>
        <v>70.724999999999994</v>
      </c>
      <c r="AE734" s="80">
        <f t="shared" si="3964"/>
        <v>53.365000000000002</v>
      </c>
      <c r="AF734" s="80">
        <f t="shared" si="3964"/>
        <v>38.28</v>
      </c>
      <c r="AG734" s="51">
        <f t="shared" si="3360"/>
        <v>62.024999999999991</v>
      </c>
      <c r="AH734" s="51">
        <f t="shared" si="3361"/>
        <v>54.28</v>
      </c>
      <c r="AI734" s="51">
        <f t="shared" si="3726"/>
        <v>63.387499999999996</v>
      </c>
      <c r="AJ734" s="51">
        <f t="shared" si="3773"/>
        <v>61.281999999999996</v>
      </c>
      <c r="AK734" s="51">
        <f t="shared" si="3650"/>
        <v>33.1175</v>
      </c>
      <c r="AL734" s="51">
        <f t="shared" si="3364"/>
        <v>36.15945</v>
      </c>
      <c r="AM734" s="51"/>
      <c r="AN734" s="51">
        <f t="shared" si="3499"/>
        <v>44.66</v>
      </c>
      <c r="AO734" s="51">
        <f t="shared" si="3366"/>
        <v>43.572857142857146</v>
      </c>
      <c r="AP734" s="51"/>
      <c r="AQ734" s="51">
        <f t="shared" si="3694"/>
        <v>64.087499999999991</v>
      </c>
      <c r="AR734" s="51">
        <f t="shared" si="3695"/>
        <v>66.890249999999995</v>
      </c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8"/>
      <c r="BK734" s="8"/>
      <c r="BL734" s="8"/>
      <c r="BM734" s="8"/>
    </row>
    <row r="735" spans="1:65" ht="30" customHeight="1" x14ac:dyDescent="0.45">
      <c r="A735" s="55">
        <v>46024</v>
      </c>
      <c r="B735" s="56">
        <v>102.15</v>
      </c>
      <c r="C735" s="56">
        <v>80.150000000000006</v>
      </c>
      <c r="D735" s="56">
        <v>60.91</v>
      </c>
      <c r="E735" s="56">
        <v>45.46</v>
      </c>
      <c r="F735" s="56">
        <v>30.97</v>
      </c>
      <c r="G735" s="56">
        <v>107.53</v>
      </c>
      <c r="H735" s="51">
        <f t="shared" ref="H735:M735" si="3965">B735-B734</f>
        <v>-1.9999999999996021E-2</v>
      </c>
      <c r="I735" s="51">
        <f t="shared" si="3965"/>
        <v>-1.9999999999996021E-2</v>
      </c>
      <c r="J735" s="51">
        <f t="shared" si="3965"/>
        <v>-0.37000000000000455</v>
      </c>
      <c r="K735" s="51">
        <f t="shared" si="3965"/>
        <v>9.9999999999980105E-3</v>
      </c>
      <c r="L735" s="51">
        <f t="shared" si="3965"/>
        <v>-0.14000000000000057</v>
      </c>
      <c r="M735" s="85">
        <f t="shared" si="3965"/>
        <v>0.57999999999999829</v>
      </c>
      <c r="N735" s="69">
        <f t="shared" ref="N735:R735" si="3966">AVERAGE(B735:B739)</f>
        <v>102.91799999999998</v>
      </c>
      <c r="O735" s="69">
        <f t="shared" si="3966"/>
        <v>80.98599999999999</v>
      </c>
      <c r="P735" s="69">
        <f t="shared" si="3966"/>
        <v>61.902000000000001</v>
      </c>
      <c r="Q735" s="69">
        <f t="shared" si="3966"/>
        <v>46.7</v>
      </c>
      <c r="R735" s="69">
        <f t="shared" si="3966"/>
        <v>31.462</v>
      </c>
      <c r="S735" s="51">
        <f t="shared" ref="S735:W735" si="3967">(B734+B735)/2</f>
        <v>102.16</v>
      </c>
      <c r="T735" s="51">
        <f t="shared" si="3967"/>
        <v>80.16</v>
      </c>
      <c r="U735" s="51">
        <f t="shared" si="3967"/>
        <v>61.094999999999999</v>
      </c>
      <c r="V735" s="51">
        <f t="shared" si="3967"/>
        <v>45.454999999999998</v>
      </c>
      <c r="W735" s="51">
        <f t="shared" si="3967"/>
        <v>31.04</v>
      </c>
      <c r="X735" s="51">
        <f t="shared" ref="X735:AB735" si="3968">(SUM(B732:B735))/4</f>
        <v>102.49000000000001</v>
      </c>
      <c r="Y735" s="51">
        <f t="shared" si="3968"/>
        <v>80.382499999999993</v>
      </c>
      <c r="Z735" s="51">
        <f t="shared" si="3968"/>
        <v>61.79</v>
      </c>
      <c r="AA735" s="51">
        <f t="shared" si="3968"/>
        <v>45.877500000000005</v>
      </c>
      <c r="AB735" s="51">
        <f t="shared" si="3968"/>
        <v>31.395</v>
      </c>
      <c r="AC735" s="80">
        <f t="shared" ref="AC735:AF735" si="3969">(B735+C735)/2</f>
        <v>91.15</v>
      </c>
      <c r="AD735" s="80">
        <f t="shared" si="3969"/>
        <v>70.53</v>
      </c>
      <c r="AE735" s="80">
        <f t="shared" si="3969"/>
        <v>53.185000000000002</v>
      </c>
      <c r="AF735" s="80">
        <f t="shared" si="3969"/>
        <v>38.215000000000003</v>
      </c>
      <c r="AG735" s="51">
        <f t="shared" si="3360"/>
        <v>61.83</v>
      </c>
      <c r="AH735" s="51">
        <f t="shared" si="3361"/>
        <v>53.91</v>
      </c>
      <c r="AI735" s="51">
        <f t="shared" ref="AI735:AI744" si="3970">Z735+2</f>
        <v>63.79</v>
      </c>
      <c r="AJ735" s="51">
        <f t="shared" si="3773"/>
        <v>60.468399999999995</v>
      </c>
      <c r="AK735" s="51">
        <f t="shared" si="3650"/>
        <v>32.897500000000001</v>
      </c>
      <c r="AL735" s="51">
        <f t="shared" si="3364"/>
        <v>35.952649999999998</v>
      </c>
      <c r="AM735" s="51"/>
      <c r="AN735" s="51">
        <f t="shared" si="3499"/>
        <v>44.454999999999998</v>
      </c>
      <c r="AO735" s="51">
        <f t="shared" si="3366"/>
        <v>43.372738095238098</v>
      </c>
      <c r="AP735" s="51"/>
      <c r="AQ735" s="51">
        <f t="shared" si="3694"/>
        <v>63.24</v>
      </c>
      <c r="AR735" s="51">
        <f t="shared" si="3695"/>
        <v>66.025800000000004</v>
      </c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8"/>
      <c r="BK735" s="8"/>
      <c r="BL735" s="8"/>
      <c r="BM735" s="8"/>
    </row>
    <row r="736" spans="1:65" ht="30" customHeight="1" x14ac:dyDescent="0.45">
      <c r="A736" s="55">
        <f t="shared" ref="A736:A747" si="3971">A735+7</f>
        <v>46031</v>
      </c>
      <c r="B736" s="56">
        <v>102.35</v>
      </c>
      <c r="C736" s="56">
        <v>80.55</v>
      </c>
      <c r="D736" s="56">
        <v>61.54</v>
      </c>
      <c r="E736" s="56">
        <v>46.23</v>
      </c>
      <c r="F736" s="56">
        <v>31.11</v>
      </c>
      <c r="G736" s="56">
        <v>107.05</v>
      </c>
      <c r="H736" s="51">
        <f t="shared" ref="H736:M736" si="3972">B736-B735</f>
        <v>0.19999999999998863</v>
      </c>
      <c r="I736" s="51">
        <f t="shared" si="3972"/>
        <v>0.39999999999999147</v>
      </c>
      <c r="J736" s="51">
        <f t="shared" si="3972"/>
        <v>0.63000000000000256</v>
      </c>
      <c r="K736" s="51">
        <f t="shared" si="3972"/>
        <v>0.76999999999999602</v>
      </c>
      <c r="L736" s="51">
        <f t="shared" si="3972"/>
        <v>0.14000000000000057</v>
      </c>
      <c r="M736" s="85">
        <f t="shared" si="3972"/>
        <v>-0.48000000000000398</v>
      </c>
      <c r="N736" s="51">
        <f t="shared" ref="N736:R736" si="3973">N735</f>
        <v>102.91799999999998</v>
      </c>
      <c r="O736" s="51">
        <f t="shared" si="3973"/>
        <v>80.98599999999999</v>
      </c>
      <c r="P736" s="51">
        <f t="shared" si="3973"/>
        <v>61.902000000000001</v>
      </c>
      <c r="Q736" s="51">
        <f t="shared" si="3973"/>
        <v>46.7</v>
      </c>
      <c r="R736" s="51">
        <f t="shared" si="3973"/>
        <v>31.462</v>
      </c>
      <c r="S736" s="51">
        <f t="shared" ref="S736:W736" si="3974">(B735+B736)/2</f>
        <v>102.25</v>
      </c>
      <c r="T736" s="51">
        <f t="shared" si="3974"/>
        <v>80.349999999999994</v>
      </c>
      <c r="U736" s="51">
        <f t="shared" si="3974"/>
        <v>61.224999999999994</v>
      </c>
      <c r="V736" s="51">
        <f t="shared" si="3974"/>
        <v>45.844999999999999</v>
      </c>
      <c r="W736" s="51">
        <f t="shared" si="3974"/>
        <v>31.04</v>
      </c>
      <c r="X736" s="51">
        <f t="shared" ref="X736:AB736" si="3975">(SUM(B733:B736))/4</f>
        <v>102.285</v>
      </c>
      <c r="Y736" s="51">
        <f t="shared" si="3975"/>
        <v>80.3</v>
      </c>
      <c r="Z736" s="51">
        <f t="shared" si="3975"/>
        <v>61.384999999999998</v>
      </c>
      <c r="AA736" s="51">
        <f t="shared" si="3975"/>
        <v>45.752499999999998</v>
      </c>
      <c r="AB736" s="51">
        <f t="shared" si="3975"/>
        <v>31.157499999999999</v>
      </c>
      <c r="AC736" s="80">
        <f t="shared" ref="AC736:AF736" si="3976">(B736+C736)/2</f>
        <v>91.449999999999989</v>
      </c>
      <c r="AD736" s="80">
        <f t="shared" si="3976"/>
        <v>71.045000000000002</v>
      </c>
      <c r="AE736" s="80">
        <f t="shared" si="3976"/>
        <v>53.884999999999998</v>
      </c>
      <c r="AF736" s="80">
        <f t="shared" si="3976"/>
        <v>38.67</v>
      </c>
      <c r="AG736" s="51">
        <f t="shared" si="3360"/>
        <v>62.344999999999999</v>
      </c>
      <c r="AH736" s="51">
        <f t="shared" si="3361"/>
        <v>54.54</v>
      </c>
      <c r="AI736" s="51">
        <f t="shared" si="3970"/>
        <v>63.384999999999998</v>
      </c>
      <c r="AJ736" s="51">
        <f t="shared" si="3773"/>
        <v>60.079599999999999</v>
      </c>
      <c r="AK736" s="51">
        <f t="shared" si="3650"/>
        <v>33.092499999999994</v>
      </c>
      <c r="AL736" s="51">
        <f t="shared" si="3364"/>
        <v>36.135949999999994</v>
      </c>
      <c r="AM736" s="51"/>
      <c r="AN736" s="51">
        <f t="shared" si="3499"/>
        <v>44.844999999999999</v>
      </c>
      <c r="AO736" s="51">
        <f t="shared" si="3366"/>
        <v>43.753452380952382</v>
      </c>
      <c r="AP736" s="51"/>
      <c r="AQ736" s="51">
        <f t="shared" si="3694"/>
        <v>62.835000000000001</v>
      </c>
      <c r="AR736" s="51">
        <f t="shared" si="3695"/>
        <v>65.61269999999999</v>
      </c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8"/>
      <c r="BK736" s="8"/>
      <c r="BL736" s="8"/>
      <c r="BM736" s="8"/>
    </row>
    <row r="737" spans="1:65" ht="30" customHeight="1" x14ac:dyDescent="0.45">
      <c r="A737" s="55">
        <f t="shared" si="3971"/>
        <v>46038</v>
      </c>
      <c r="B737" s="56">
        <v>102.76</v>
      </c>
      <c r="C737" s="56">
        <v>80.959999999999994</v>
      </c>
      <c r="D737" s="56">
        <v>61.84</v>
      </c>
      <c r="E737" s="56">
        <v>46.8</v>
      </c>
      <c r="F737" s="56">
        <v>31.42</v>
      </c>
      <c r="G737" s="56">
        <v>109.43</v>
      </c>
      <c r="H737" s="51">
        <f t="shared" ref="H737:M737" si="3977">B737-B736</f>
        <v>0.4100000000000108</v>
      </c>
      <c r="I737" s="51">
        <f t="shared" si="3977"/>
        <v>0.40999999999999659</v>
      </c>
      <c r="J737" s="51">
        <f t="shared" si="3977"/>
        <v>0.30000000000000426</v>
      </c>
      <c r="K737" s="51">
        <f t="shared" si="3977"/>
        <v>0.57000000000000028</v>
      </c>
      <c r="L737" s="51">
        <f t="shared" si="3977"/>
        <v>0.31000000000000227</v>
      </c>
      <c r="M737" s="85">
        <f t="shared" si="3977"/>
        <v>2.3800000000000097</v>
      </c>
      <c r="N737" s="51">
        <f t="shared" ref="N737:R737" si="3978">N736</f>
        <v>102.91799999999998</v>
      </c>
      <c r="O737" s="51">
        <f t="shared" si="3978"/>
        <v>80.98599999999999</v>
      </c>
      <c r="P737" s="51">
        <f t="shared" si="3978"/>
        <v>61.902000000000001</v>
      </c>
      <c r="Q737" s="51">
        <f t="shared" si="3978"/>
        <v>46.7</v>
      </c>
      <c r="R737" s="51">
        <f t="shared" si="3978"/>
        <v>31.462</v>
      </c>
      <c r="S737" s="51">
        <f t="shared" ref="S737:W737" si="3979">(B736+B737)/2</f>
        <v>102.55500000000001</v>
      </c>
      <c r="T737" s="51">
        <f t="shared" si="3979"/>
        <v>80.754999999999995</v>
      </c>
      <c r="U737" s="51">
        <f t="shared" si="3979"/>
        <v>61.69</v>
      </c>
      <c r="V737" s="51">
        <f t="shared" si="3979"/>
        <v>46.515000000000001</v>
      </c>
      <c r="W737" s="51">
        <f t="shared" si="3979"/>
        <v>31.265000000000001</v>
      </c>
      <c r="X737" s="51">
        <f t="shared" ref="X737:AB737" si="3980">(SUM(B734:B737))/4</f>
        <v>102.35749999999999</v>
      </c>
      <c r="Y737" s="51">
        <f t="shared" si="3980"/>
        <v>80.457499999999996</v>
      </c>
      <c r="Z737" s="51">
        <f t="shared" si="3980"/>
        <v>61.392499999999998</v>
      </c>
      <c r="AA737" s="51">
        <f t="shared" si="3980"/>
        <v>45.984999999999999</v>
      </c>
      <c r="AB737" s="51">
        <f t="shared" si="3980"/>
        <v>31.1525</v>
      </c>
      <c r="AC737" s="80">
        <f t="shared" ref="AC737:AF737" si="3981">(B737+C737)/2</f>
        <v>91.86</v>
      </c>
      <c r="AD737" s="80">
        <f t="shared" si="3981"/>
        <v>71.400000000000006</v>
      </c>
      <c r="AE737" s="80">
        <f t="shared" si="3981"/>
        <v>54.32</v>
      </c>
      <c r="AF737" s="80">
        <f t="shared" si="3981"/>
        <v>39.11</v>
      </c>
      <c r="AG737" s="51">
        <f t="shared" si="3360"/>
        <v>62.7</v>
      </c>
      <c r="AH737" s="51">
        <f t="shared" si="3361"/>
        <v>54.84</v>
      </c>
      <c r="AI737" s="51">
        <f t="shared" si="3970"/>
        <v>63.392499999999998</v>
      </c>
      <c r="AJ737" s="51">
        <f t="shared" si="3773"/>
        <v>60.086799999999997</v>
      </c>
      <c r="AK737" s="51">
        <f t="shared" si="3650"/>
        <v>33.54</v>
      </c>
      <c r="AL737" s="51">
        <f t="shared" si="3364"/>
        <v>36.556599999999996</v>
      </c>
      <c r="AM737" s="51"/>
      <c r="AN737" s="51">
        <f t="shared" si="3499"/>
        <v>45.515000000000001</v>
      </c>
      <c r="AO737" s="51">
        <f t="shared" si="3366"/>
        <v>44.407499999999999</v>
      </c>
      <c r="AP737" s="51"/>
      <c r="AQ737" s="51">
        <f t="shared" si="3694"/>
        <v>62.842500000000001</v>
      </c>
      <c r="AR737" s="51">
        <f t="shared" si="3695"/>
        <v>65.620350000000002</v>
      </c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8"/>
      <c r="BK737" s="8"/>
      <c r="BL737" s="8"/>
      <c r="BM737" s="8"/>
    </row>
    <row r="738" spans="1:65" ht="30" customHeight="1" x14ac:dyDescent="0.45">
      <c r="A738" s="55">
        <f t="shared" si="3971"/>
        <v>46045</v>
      </c>
      <c r="B738" s="56">
        <v>103.21</v>
      </c>
      <c r="C738" s="56">
        <v>81.39</v>
      </c>
      <c r="D738" s="56">
        <v>61.96</v>
      </c>
      <c r="E738" s="56">
        <v>47.31</v>
      </c>
      <c r="F738" s="56">
        <v>31.74</v>
      </c>
      <c r="G738" s="56">
        <v>111.26</v>
      </c>
      <c r="H738" s="51">
        <f t="shared" ref="H738:M738" si="3982">B738-B737</f>
        <v>0.44999999999998863</v>
      </c>
      <c r="I738" s="51">
        <f t="shared" si="3982"/>
        <v>0.43000000000000682</v>
      </c>
      <c r="J738" s="51">
        <f t="shared" si="3982"/>
        <v>0.11999999999999744</v>
      </c>
      <c r="K738" s="51">
        <f t="shared" si="3982"/>
        <v>0.51000000000000512</v>
      </c>
      <c r="L738" s="51">
        <f t="shared" si="3982"/>
        <v>0.31999999999999673</v>
      </c>
      <c r="M738" s="85">
        <f t="shared" si="3982"/>
        <v>1.8299999999999983</v>
      </c>
      <c r="N738" s="51">
        <f t="shared" ref="N738:R738" si="3983">N737</f>
        <v>102.91799999999998</v>
      </c>
      <c r="O738" s="51">
        <f t="shared" si="3983"/>
        <v>80.98599999999999</v>
      </c>
      <c r="P738" s="51">
        <f t="shared" si="3983"/>
        <v>61.902000000000001</v>
      </c>
      <c r="Q738" s="51">
        <f t="shared" si="3983"/>
        <v>46.7</v>
      </c>
      <c r="R738" s="51">
        <f t="shared" si="3983"/>
        <v>31.462</v>
      </c>
      <c r="S738" s="51">
        <f t="shared" ref="S738:W738" si="3984">(B737+B738)/2</f>
        <v>102.985</v>
      </c>
      <c r="T738" s="51">
        <f t="shared" si="3984"/>
        <v>81.174999999999997</v>
      </c>
      <c r="U738" s="51">
        <f t="shared" si="3984"/>
        <v>61.900000000000006</v>
      </c>
      <c r="V738" s="51">
        <f t="shared" si="3984"/>
        <v>47.055</v>
      </c>
      <c r="W738" s="51">
        <f t="shared" si="3984"/>
        <v>31.58</v>
      </c>
      <c r="X738" s="51">
        <f t="shared" ref="X738:AB738" si="3985">(SUM(B735:B738))/4</f>
        <v>102.61749999999999</v>
      </c>
      <c r="Y738" s="51">
        <f t="shared" si="3985"/>
        <v>80.762499999999989</v>
      </c>
      <c r="Z738" s="51">
        <f t="shared" si="3985"/>
        <v>61.5625</v>
      </c>
      <c r="AA738" s="51">
        <f t="shared" si="3985"/>
        <v>46.45</v>
      </c>
      <c r="AB738" s="51">
        <f t="shared" si="3985"/>
        <v>31.31</v>
      </c>
      <c r="AC738" s="80">
        <f t="shared" ref="AC738:AF738" si="3986">(B738+C738)/2</f>
        <v>92.3</v>
      </c>
      <c r="AD738" s="80">
        <f t="shared" si="3986"/>
        <v>71.674999999999997</v>
      </c>
      <c r="AE738" s="80">
        <f t="shared" si="3986"/>
        <v>54.635000000000005</v>
      </c>
      <c r="AF738" s="80">
        <f t="shared" si="3986"/>
        <v>39.524999999999999</v>
      </c>
      <c r="AG738" s="51">
        <f t="shared" si="3360"/>
        <v>62.974999999999994</v>
      </c>
      <c r="AH738" s="51">
        <f t="shared" si="3361"/>
        <v>54.96</v>
      </c>
      <c r="AI738" s="51">
        <f t="shared" si="3970"/>
        <v>63.5625</v>
      </c>
      <c r="AJ738" s="51">
        <f t="shared" si="3773"/>
        <v>60.25</v>
      </c>
      <c r="AK738" s="51">
        <f t="shared" si="3650"/>
        <v>33.967499999999994</v>
      </c>
      <c r="AL738" s="51">
        <f t="shared" si="3364"/>
        <v>36.958449999999992</v>
      </c>
      <c r="AM738" s="51"/>
      <c r="AN738" s="51">
        <f t="shared" si="3499"/>
        <v>46.055</v>
      </c>
      <c r="AO738" s="51">
        <f t="shared" si="3366"/>
        <v>44.934642857142855</v>
      </c>
      <c r="AP738" s="51"/>
      <c r="AQ738" s="51">
        <f t="shared" si="3694"/>
        <v>63.012500000000003</v>
      </c>
      <c r="AR738" s="51">
        <f t="shared" si="3695"/>
        <v>65.793750000000003</v>
      </c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8"/>
      <c r="BK738" s="8"/>
      <c r="BL738" s="8"/>
      <c r="BM738" s="8"/>
    </row>
    <row r="739" spans="1:65" ht="30" customHeight="1" x14ac:dyDescent="0.45">
      <c r="A739" s="55">
        <f t="shared" si="3971"/>
        <v>46052</v>
      </c>
      <c r="B739" s="56">
        <v>104.12</v>
      </c>
      <c r="C739" s="56">
        <v>81.88</v>
      </c>
      <c r="D739" s="56">
        <v>63.26</v>
      </c>
      <c r="E739" s="56">
        <v>47.7</v>
      </c>
      <c r="F739" s="56">
        <v>32.07</v>
      </c>
      <c r="G739" s="56">
        <v>110.48</v>
      </c>
      <c r="H739" s="51">
        <f t="shared" ref="H739:M739" si="3987">B739-B738</f>
        <v>0.9100000000000108</v>
      </c>
      <c r="I739" s="51">
        <f t="shared" si="3987"/>
        <v>0.48999999999999488</v>
      </c>
      <c r="J739" s="51">
        <f t="shared" si="3987"/>
        <v>1.2999999999999972</v>
      </c>
      <c r="K739" s="51">
        <f t="shared" si="3987"/>
        <v>0.39000000000000057</v>
      </c>
      <c r="L739" s="51">
        <f t="shared" si="3987"/>
        <v>0.33000000000000185</v>
      </c>
      <c r="M739" s="85">
        <f t="shared" si="3987"/>
        <v>-0.78000000000000114</v>
      </c>
      <c r="N739" s="51">
        <f t="shared" ref="N739:R739" si="3988">N738</f>
        <v>102.91799999999998</v>
      </c>
      <c r="O739" s="51">
        <f t="shared" si="3988"/>
        <v>80.98599999999999</v>
      </c>
      <c r="P739" s="51">
        <f t="shared" si="3988"/>
        <v>61.902000000000001</v>
      </c>
      <c r="Q739" s="51">
        <f t="shared" si="3988"/>
        <v>46.7</v>
      </c>
      <c r="R739" s="51">
        <f t="shared" si="3988"/>
        <v>31.462</v>
      </c>
      <c r="S739" s="51">
        <f t="shared" ref="S739:W739" si="3989">(B738+B739)/2</f>
        <v>103.66499999999999</v>
      </c>
      <c r="T739" s="51">
        <f t="shared" si="3989"/>
        <v>81.634999999999991</v>
      </c>
      <c r="U739" s="51">
        <f t="shared" si="3989"/>
        <v>62.61</v>
      </c>
      <c r="V739" s="51">
        <f t="shared" si="3989"/>
        <v>47.505000000000003</v>
      </c>
      <c r="W739" s="51">
        <f t="shared" si="3989"/>
        <v>31.905000000000001</v>
      </c>
      <c r="X739" s="51">
        <f t="shared" ref="X739:AB739" si="3990">(SUM(B736:B739))/4</f>
        <v>103.11</v>
      </c>
      <c r="Y739" s="51">
        <f t="shared" si="3990"/>
        <v>81.194999999999993</v>
      </c>
      <c r="Z739" s="51">
        <f t="shared" si="3990"/>
        <v>62.15</v>
      </c>
      <c r="AA739" s="51">
        <f t="shared" si="3990"/>
        <v>47.010000000000005</v>
      </c>
      <c r="AB739" s="51">
        <f t="shared" si="3990"/>
        <v>31.585000000000001</v>
      </c>
      <c r="AC739" s="80">
        <f t="shared" ref="AC739:AF739" si="3991">(B739+C739)/2</f>
        <v>93</v>
      </c>
      <c r="AD739" s="80">
        <f t="shared" si="3991"/>
        <v>72.569999999999993</v>
      </c>
      <c r="AE739" s="80">
        <f t="shared" si="3991"/>
        <v>55.480000000000004</v>
      </c>
      <c r="AF739" s="80">
        <f t="shared" si="3991"/>
        <v>39.885000000000005</v>
      </c>
      <c r="AG739" s="51">
        <f t="shared" si="3360"/>
        <v>63.86999999999999</v>
      </c>
      <c r="AH739" s="51">
        <f t="shared" si="3361"/>
        <v>56.26</v>
      </c>
      <c r="AI739" s="51">
        <f t="shared" si="3970"/>
        <v>64.150000000000006</v>
      </c>
      <c r="AJ739" s="51">
        <f t="shared" si="3773"/>
        <v>60.814</v>
      </c>
      <c r="AK739" s="51">
        <f t="shared" si="3650"/>
        <v>34.354999999999997</v>
      </c>
      <c r="AL739" s="51">
        <f t="shared" si="3364"/>
        <v>37.322699999999998</v>
      </c>
      <c r="AM739" s="51"/>
      <c r="AN739" s="51">
        <f t="shared" si="3499"/>
        <v>46.505000000000003</v>
      </c>
      <c r="AO739" s="51">
        <f t="shared" si="3366"/>
        <v>45.373928571428571</v>
      </c>
      <c r="AP739" s="51"/>
      <c r="AQ739" s="51">
        <f t="shared" si="3694"/>
        <v>63.6</v>
      </c>
      <c r="AR739" s="51">
        <f t="shared" si="3695"/>
        <v>66.393000000000001</v>
      </c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8"/>
      <c r="BK739" s="8"/>
      <c r="BL739" s="8"/>
      <c r="BM739" s="8"/>
    </row>
    <row r="740" spans="1:65" ht="30" customHeight="1" x14ac:dyDescent="0.45">
      <c r="A740" s="55">
        <f t="shared" si="3971"/>
        <v>46059</v>
      </c>
      <c r="B740" s="56">
        <v>104.96</v>
      </c>
      <c r="C740" s="56">
        <v>82.93</v>
      </c>
      <c r="D740" s="56">
        <v>65.8</v>
      </c>
      <c r="E740" s="56">
        <v>49.27</v>
      </c>
      <c r="F740" s="56">
        <v>32.799999999999997</v>
      </c>
      <c r="G740" s="56">
        <v>114.53</v>
      </c>
      <c r="H740" s="51">
        <f t="shared" ref="H740:M740" si="3992">B740-B739</f>
        <v>0.8399999999999892</v>
      </c>
      <c r="I740" s="51">
        <f t="shared" si="3992"/>
        <v>1.0500000000000114</v>
      </c>
      <c r="J740" s="51">
        <f t="shared" si="3992"/>
        <v>2.5399999999999991</v>
      </c>
      <c r="K740" s="51">
        <f t="shared" si="3992"/>
        <v>1.5700000000000003</v>
      </c>
      <c r="L740" s="51">
        <f t="shared" si="3992"/>
        <v>0.72999999999999687</v>
      </c>
      <c r="M740" s="85">
        <f t="shared" si="3992"/>
        <v>4.0499999999999972</v>
      </c>
      <c r="N740" s="69">
        <f t="shared" ref="N740:R740" si="3993">AVERAGE(B740:B743)</f>
        <v>106.64750000000001</v>
      </c>
      <c r="O740" s="69">
        <f t="shared" si="3993"/>
        <v>84.697500000000005</v>
      </c>
      <c r="P740" s="69">
        <f t="shared" si="3993"/>
        <v>67.757499999999993</v>
      </c>
      <c r="Q740" s="69">
        <f t="shared" si="3993"/>
        <v>52.222499999999997</v>
      </c>
      <c r="R740" s="69">
        <f t="shared" si="3993"/>
        <v>34.01</v>
      </c>
      <c r="S740" s="51">
        <f t="shared" ref="S740:W740" si="3994">(B739+B740)/2</f>
        <v>104.53999999999999</v>
      </c>
      <c r="T740" s="51">
        <f t="shared" si="3994"/>
        <v>82.405000000000001</v>
      </c>
      <c r="U740" s="51">
        <f t="shared" si="3994"/>
        <v>64.53</v>
      </c>
      <c r="V740" s="51">
        <f t="shared" si="3994"/>
        <v>48.484999999999999</v>
      </c>
      <c r="W740" s="51">
        <f t="shared" si="3994"/>
        <v>32.435000000000002</v>
      </c>
      <c r="X740" s="51">
        <f t="shared" ref="X740:AB740" si="3995">(SUM(B737:B740))/4</f>
        <v>103.7625</v>
      </c>
      <c r="Y740" s="51">
        <f t="shared" si="3995"/>
        <v>81.789999999999992</v>
      </c>
      <c r="Z740" s="51">
        <f t="shared" si="3995"/>
        <v>63.215000000000003</v>
      </c>
      <c r="AA740" s="51">
        <f t="shared" si="3995"/>
        <v>47.77</v>
      </c>
      <c r="AB740" s="51">
        <f t="shared" si="3995"/>
        <v>32.007499999999993</v>
      </c>
      <c r="AC740" s="80">
        <f t="shared" ref="AC740:AF740" si="3996">(B740+C740)/2</f>
        <v>93.944999999999993</v>
      </c>
      <c r="AD740" s="80">
        <f t="shared" si="3996"/>
        <v>74.365000000000009</v>
      </c>
      <c r="AE740" s="80">
        <f t="shared" si="3996"/>
        <v>57.534999999999997</v>
      </c>
      <c r="AF740" s="80">
        <f t="shared" si="3996"/>
        <v>41.034999999999997</v>
      </c>
      <c r="AG740" s="51">
        <f t="shared" si="3360"/>
        <v>65.665000000000006</v>
      </c>
      <c r="AH740" s="51">
        <f t="shared" si="3361"/>
        <v>58.8</v>
      </c>
      <c r="AI740" s="51">
        <f t="shared" si="3970"/>
        <v>65.215000000000003</v>
      </c>
      <c r="AJ740" s="51">
        <f t="shared" si="3773"/>
        <v>61.836399999999998</v>
      </c>
      <c r="AK740" s="51">
        <f t="shared" si="3650"/>
        <v>35.11</v>
      </c>
      <c r="AL740" s="51">
        <f t="shared" si="3364"/>
        <v>38.032399999999996</v>
      </c>
      <c r="AM740" s="51"/>
      <c r="AN740" s="51">
        <f t="shared" si="3499"/>
        <v>47.484999999999999</v>
      </c>
      <c r="AO740" s="51">
        <f t="shared" si="3366"/>
        <v>46.330595238095235</v>
      </c>
      <c r="AP740" s="51"/>
      <c r="AQ740" s="51">
        <f t="shared" si="3694"/>
        <v>64.665000000000006</v>
      </c>
      <c r="AR740" s="51">
        <f t="shared" si="3695"/>
        <v>67.479300000000009</v>
      </c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8"/>
      <c r="BK740" s="8"/>
      <c r="BL740" s="8"/>
      <c r="BM740" s="8"/>
    </row>
    <row r="741" spans="1:65" ht="30" customHeight="1" x14ac:dyDescent="0.45">
      <c r="A741" s="55">
        <f t="shared" si="3971"/>
        <v>46066</v>
      </c>
      <c r="B741" s="56">
        <v>106.03</v>
      </c>
      <c r="C741" s="56">
        <v>84.04</v>
      </c>
      <c r="D741" s="56">
        <v>67.02</v>
      </c>
      <c r="E741" s="56">
        <v>51.59</v>
      </c>
      <c r="F741" s="56">
        <v>33.76</v>
      </c>
      <c r="G741" s="56">
        <v>114.94</v>
      </c>
      <c r="H741" s="51">
        <f t="shared" ref="H741:M741" si="3997">B741-B740</f>
        <v>1.0700000000000074</v>
      </c>
      <c r="I741" s="51">
        <f t="shared" si="3997"/>
        <v>1.1099999999999994</v>
      </c>
      <c r="J741" s="51">
        <f t="shared" si="3997"/>
        <v>1.2199999999999989</v>
      </c>
      <c r="K741" s="51">
        <f t="shared" si="3997"/>
        <v>2.3200000000000003</v>
      </c>
      <c r="L741" s="51">
        <f t="shared" si="3997"/>
        <v>0.96000000000000085</v>
      </c>
      <c r="M741" s="85">
        <f t="shared" si="3997"/>
        <v>0.40999999999999659</v>
      </c>
      <c r="N741" s="51">
        <f t="shared" ref="N741:R741" si="3998">N740</f>
        <v>106.64750000000001</v>
      </c>
      <c r="O741" s="51">
        <f t="shared" si="3998"/>
        <v>84.697500000000005</v>
      </c>
      <c r="P741" s="51">
        <f t="shared" si="3998"/>
        <v>67.757499999999993</v>
      </c>
      <c r="Q741" s="51">
        <f t="shared" si="3998"/>
        <v>52.222499999999997</v>
      </c>
      <c r="R741" s="51">
        <f t="shared" si="3998"/>
        <v>34.01</v>
      </c>
      <c r="S741" s="51">
        <f t="shared" ref="S741:W741" si="3999">(B740+B741)/2</f>
        <v>105.495</v>
      </c>
      <c r="T741" s="51">
        <f t="shared" si="3999"/>
        <v>83.485000000000014</v>
      </c>
      <c r="U741" s="51">
        <f t="shared" si="3999"/>
        <v>66.41</v>
      </c>
      <c r="V741" s="51">
        <f t="shared" si="3999"/>
        <v>50.430000000000007</v>
      </c>
      <c r="W741" s="51">
        <f t="shared" si="3999"/>
        <v>33.28</v>
      </c>
      <c r="X741" s="51">
        <f t="shared" ref="X741:AB741" si="4000">(SUM(B738:B741))/4</f>
        <v>104.57999999999998</v>
      </c>
      <c r="Y741" s="51">
        <f t="shared" si="4000"/>
        <v>82.56</v>
      </c>
      <c r="Z741" s="51">
        <f t="shared" si="4000"/>
        <v>64.509999999999991</v>
      </c>
      <c r="AA741" s="51">
        <f t="shared" si="4000"/>
        <v>48.967500000000001</v>
      </c>
      <c r="AB741" s="51">
        <f t="shared" si="4000"/>
        <v>32.592500000000001</v>
      </c>
      <c r="AC741" s="80">
        <f t="shared" ref="AC741:AF741" si="4001">(B741+C741)/2</f>
        <v>95.034999999999997</v>
      </c>
      <c r="AD741" s="80">
        <f t="shared" si="4001"/>
        <v>75.53</v>
      </c>
      <c r="AE741" s="80">
        <f t="shared" si="4001"/>
        <v>59.305</v>
      </c>
      <c r="AF741" s="80">
        <f t="shared" si="4001"/>
        <v>42.674999999999997</v>
      </c>
      <c r="AG741" s="51">
        <f t="shared" si="3360"/>
        <v>66.83</v>
      </c>
      <c r="AH741" s="51">
        <f t="shared" si="3361"/>
        <v>60.019999999999996</v>
      </c>
      <c r="AI741" s="51">
        <f t="shared" si="3970"/>
        <v>66.509999999999991</v>
      </c>
      <c r="AJ741" s="51">
        <f t="shared" si="3773"/>
        <v>63.079599999999985</v>
      </c>
      <c r="AK741" s="51">
        <f t="shared" si="3650"/>
        <v>36.505000000000003</v>
      </c>
      <c r="AL741" s="51">
        <f t="shared" si="3364"/>
        <v>39.343699999999998</v>
      </c>
      <c r="AM741" s="51"/>
      <c r="AN741" s="51">
        <f t="shared" si="3499"/>
        <v>49.430000000000007</v>
      </c>
      <c r="AO741" s="51">
        <f t="shared" si="3366"/>
        <v>48.229285714285723</v>
      </c>
      <c r="AP741" s="51"/>
      <c r="AQ741" s="51">
        <f t="shared" si="3694"/>
        <v>65.959999999999994</v>
      </c>
      <c r="AR741" s="51">
        <f t="shared" si="3695"/>
        <v>68.80019999999999</v>
      </c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8"/>
      <c r="BK741" s="8"/>
      <c r="BL741" s="8"/>
      <c r="BM741" s="8"/>
    </row>
    <row r="742" spans="1:65" ht="30" customHeight="1" x14ac:dyDescent="0.45">
      <c r="A742" s="55">
        <f t="shared" si="3971"/>
        <v>46073</v>
      </c>
      <c r="B742" s="56">
        <v>107.3</v>
      </c>
      <c r="C742" s="56">
        <v>85.16</v>
      </c>
      <c r="D742" s="56">
        <v>67.86</v>
      </c>
      <c r="E742" s="56">
        <v>52.64</v>
      </c>
      <c r="F742" s="56">
        <v>34.33</v>
      </c>
      <c r="G742" s="56">
        <v>117.4</v>
      </c>
      <c r="H742" s="51">
        <f t="shared" ref="H742:M742" si="4002">B742-B741</f>
        <v>1.269999999999996</v>
      </c>
      <c r="I742" s="51">
        <f t="shared" si="4002"/>
        <v>1.1199999999999903</v>
      </c>
      <c r="J742" s="51">
        <f t="shared" si="4002"/>
        <v>0.84000000000000341</v>
      </c>
      <c r="K742" s="51">
        <f t="shared" si="4002"/>
        <v>1.0499999999999972</v>
      </c>
      <c r="L742" s="51">
        <f t="shared" si="4002"/>
        <v>0.57000000000000028</v>
      </c>
      <c r="M742" s="85">
        <f t="shared" si="4002"/>
        <v>2.460000000000008</v>
      </c>
      <c r="N742" s="51">
        <f t="shared" ref="N742:R742" si="4003">N741</f>
        <v>106.64750000000001</v>
      </c>
      <c r="O742" s="51">
        <f t="shared" si="4003"/>
        <v>84.697500000000005</v>
      </c>
      <c r="P742" s="51">
        <f t="shared" si="4003"/>
        <v>67.757499999999993</v>
      </c>
      <c r="Q742" s="51">
        <f t="shared" si="4003"/>
        <v>52.222499999999997</v>
      </c>
      <c r="R742" s="51">
        <f t="shared" si="4003"/>
        <v>34.01</v>
      </c>
      <c r="S742" s="51">
        <f t="shared" ref="S742:W742" si="4004">(B741+B742)/2</f>
        <v>106.66499999999999</v>
      </c>
      <c r="T742" s="51">
        <f t="shared" si="4004"/>
        <v>84.6</v>
      </c>
      <c r="U742" s="51">
        <f t="shared" si="4004"/>
        <v>67.44</v>
      </c>
      <c r="V742" s="51">
        <f t="shared" si="4004"/>
        <v>52.115000000000002</v>
      </c>
      <c r="W742" s="51">
        <f t="shared" si="4004"/>
        <v>34.045000000000002</v>
      </c>
      <c r="X742" s="51">
        <f t="shared" ref="X742:AB742" si="4005">(SUM(B739:B742))/4</f>
        <v>105.60250000000001</v>
      </c>
      <c r="Y742" s="51">
        <f t="shared" si="4005"/>
        <v>83.502499999999998</v>
      </c>
      <c r="Z742" s="51">
        <f t="shared" si="4005"/>
        <v>65.984999999999999</v>
      </c>
      <c r="AA742" s="51">
        <f t="shared" si="4005"/>
        <v>50.3</v>
      </c>
      <c r="AB742" s="51">
        <f t="shared" si="4005"/>
        <v>33.239999999999995</v>
      </c>
      <c r="AC742" s="80">
        <f t="shared" ref="AC742:AF742" si="4006">(B742+C742)/2</f>
        <v>96.22999999999999</v>
      </c>
      <c r="AD742" s="80">
        <f t="shared" si="4006"/>
        <v>76.509999999999991</v>
      </c>
      <c r="AE742" s="80">
        <f t="shared" si="4006"/>
        <v>60.25</v>
      </c>
      <c r="AF742" s="80">
        <f t="shared" si="4006"/>
        <v>43.484999999999999</v>
      </c>
      <c r="AG742" s="51">
        <f t="shared" si="3360"/>
        <v>67.809999999999988</v>
      </c>
      <c r="AH742" s="51">
        <f t="shared" si="3361"/>
        <v>60.86</v>
      </c>
      <c r="AI742" s="51">
        <f t="shared" si="3970"/>
        <v>67.984999999999999</v>
      </c>
      <c r="AJ742" s="51">
        <f t="shared" si="3773"/>
        <v>64.495599999999996</v>
      </c>
      <c r="AK742" s="51">
        <f t="shared" si="3650"/>
        <v>37.729999999999997</v>
      </c>
      <c r="AL742" s="51">
        <f t="shared" si="3364"/>
        <v>40.495199999999997</v>
      </c>
      <c r="AM742" s="51"/>
      <c r="AN742" s="51">
        <f t="shared" si="3499"/>
        <v>51.115000000000002</v>
      </c>
      <c r="AO742" s="51">
        <f t="shared" si="3366"/>
        <v>49.874166666666667</v>
      </c>
      <c r="AP742" s="51"/>
      <c r="AQ742" s="51">
        <f t="shared" si="3694"/>
        <v>67.435000000000002</v>
      </c>
      <c r="AR742" s="51">
        <f t="shared" si="3695"/>
        <v>70.304699999999997</v>
      </c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8"/>
      <c r="BK742" s="8"/>
      <c r="BL742" s="8"/>
      <c r="BM742" s="8"/>
    </row>
    <row r="743" spans="1:65" ht="30" customHeight="1" x14ac:dyDescent="0.45">
      <c r="A743" s="55">
        <f t="shared" si="3971"/>
        <v>46080</v>
      </c>
      <c r="B743" s="56">
        <v>108.3</v>
      </c>
      <c r="C743" s="56">
        <v>86.66</v>
      </c>
      <c r="D743" s="56">
        <v>70.349999999999994</v>
      </c>
      <c r="E743" s="56">
        <v>55.39</v>
      </c>
      <c r="F743" s="56">
        <v>35.15</v>
      </c>
      <c r="G743" s="56">
        <v>115.71</v>
      </c>
      <c r="H743" s="51">
        <f t="shared" ref="H743:M743" si="4007">B743-B742</f>
        <v>1</v>
      </c>
      <c r="I743" s="51">
        <f t="shared" si="4007"/>
        <v>1.5</v>
      </c>
      <c r="J743" s="51">
        <f t="shared" si="4007"/>
        <v>2.4899999999999949</v>
      </c>
      <c r="K743" s="51">
        <f t="shared" si="4007"/>
        <v>2.75</v>
      </c>
      <c r="L743" s="51">
        <f t="shared" si="4007"/>
        <v>0.82000000000000028</v>
      </c>
      <c r="M743" s="85">
        <f t="shared" si="4007"/>
        <v>-1.6900000000000119</v>
      </c>
      <c r="N743" s="51">
        <f t="shared" ref="N743:R743" si="4008">N742</f>
        <v>106.64750000000001</v>
      </c>
      <c r="O743" s="51">
        <f t="shared" si="4008"/>
        <v>84.697500000000005</v>
      </c>
      <c r="P743" s="51">
        <f t="shared" si="4008"/>
        <v>67.757499999999993</v>
      </c>
      <c r="Q743" s="51">
        <f t="shared" si="4008"/>
        <v>52.222499999999997</v>
      </c>
      <c r="R743" s="51">
        <f t="shared" si="4008"/>
        <v>34.01</v>
      </c>
      <c r="S743" s="51">
        <f t="shared" ref="S743:W743" si="4009">(B742+B743)/2</f>
        <v>107.8</v>
      </c>
      <c r="T743" s="51">
        <f t="shared" si="4009"/>
        <v>85.91</v>
      </c>
      <c r="U743" s="51">
        <f t="shared" si="4009"/>
        <v>69.10499999999999</v>
      </c>
      <c r="V743" s="51">
        <f t="shared" si="4009"/>
        <v>54.015000000000001</v>
      </c>
      <c r="W743" s="51">
        <f t="shared" si="4009"/>
        <v>34.739999999999995</v>
      </c>
      <c r="X743" s="51">
        <f t="shared" ref="X743:AB743" si="4010">(SUM(B740:B743))/4</f>
        <v>106.64750000000001</v>
      </c>
      <c r="Y743" s="51">
        <f t="shared" si="4010"/>
        <v>84.697500000000005</v>
      </c>
      <c r="Z743" s="51">
        <f t="shared" si="4010"/>
        <v>67.757499999999993</v>
      </c>
      <c r="AA743" s="51">
        <f t="shared" si="4010"/>
        <v>52.222499999999997</v>
      </c>
      <c r="AB743" s="51">
        <f t="shared" si="4010"/>
        <v>34.01</v>
      </c>
      <c r="AC743" s="80">
        <f t="shared" ref="AC743:AF743" si="4011">(B743+C743)/2</f>
        <v>97.47999999999999</v>
      </c>
      <c r="AD743" s="80">
        <f t="shared" si="4011"/>
        <v>78.504999999999995</v>
      </c>
      <c r="AE743" s="80">
        <f t="shared" si="4011"/>
        <v>62.87</v>
      </c>
      <c r="AF743" s="80">
        <f t="shared" si="4011"/>
        <v>45.269999999999996</v>
      </c>
      <c r="AG743" s="51">
        <f t="shared" si="3360"/>
        <v>69.804999999999993</v>
      </c>
      <c r="AH743" s="51">
        <f t="shared" si="3361"/>
        <v>63.349999999999994</v>
      </c>
      <c r="AI743" s="51">
        <f t="shared" si="3970"/>
        <v>69.757499999999993</v>
      </c>
      <c r="AJ743" s="51">
        <f t="shared" si="3773"/>
        <v>66.197199999999995</v>
      </c>
      <c r="AK743" s="51">
        <f t="shared" si="3650"/>
        <v>39.027499999999996</v>
      </c>
      <c r="AL743" s="51">
        <f t="shared" si="3364"/>
        <v>41.714849999999998</v>
      </c>
      <c r="AM743" s="51"/>
      <c r="AN743" s="51">
        <f t="shared" si="3499"/>
        <v>53.015000000000001</v>
      </c>
      <c r="AO743" s="51">
        <f t="shared" si="3366"/>
        <v>51.728928571428568</v>
      </c>
      <c r="AP743" s="51"/>
      <c r="AQ743" s="51">
        <f t="shared" si="3694"/>
        <v>69.207499999999996</v>
      </c>
      <c r="AR743" s="51">
        <f t="shared" si="3695"/>
        <v>72.112649999999988</v>
      </c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8"/>
      <c r="BK743" s="8"/>
      <c r="BL743" s="8"/>
      <c r="BM743" s="8"/>
    </row>
    <row r="744" spans="1:65" ht="30" customHeight="1" x14ac:dyDescent="0.45">
      <c r="A744" s="55">
        <f t="shared" si="3971"/>
        <v>46087</v>
      </c>
      <c r="B744" s="56">
        <v>111.11</v>
      </c>
      <c r="C744" s="56">
        <v>87.71</v>
      </c>
      <c r="D744" s="56">
        <v>72.63</v>
      </c>
      <c r="E744" s="56">
        <v>58.21</v>
      </c>
      <c r="F744" s="56">
        <v>35.840000000000003</v>
      </c>
      <c r="G744" s="56">
        <v>129.53</v>
      </c>
      <c r="H744" s="51">
        <f t="shared" ref="H744:L744" si="4012">B744-B743</f>
        <v>2.8100000000000023</v>
      </c>
      <c r="I744" s="51">
        <f t="shared" si="4012"/>
        <v>1.0499999999999972</v>
      </c>
      <c r="J744" s="51">
        <f t="shared" si="4012"/>
        <v>2.2800000000000011</v>
      </c>
      <c r="K744" s="51">
        <f t="shared" si="4012"/>
        <v>2.8200000000000003</v>
      </c>
      <c r="L744" s="51">
        <f t="shared" si="4012"/>
        <v>0.69000000000000483</v>
      </c>
      <c r="M744" s="85">
        <f>G744-G743</f>
        <v>13.820000000000007</v>
      </c>
      <c r="N744" s="69">
        <f>AVERAGE(B744:B747)</f>
        <v>114.3575</v>
      </c>
      <c r="O744" s="69">
        <f t="shared" ref="O744" si="4013">AVERAGE(C744:C747)</f>
        <v>88.834999999999994</v>
      </c>
      <c r="P744" s="69">
        <f t="shared" ref="P744" si="4014">AVERAGE(D744:D747)</f>
        <v>73.837499999999991</v>
      </c>
      <c r="Q744" s="69">
        <f t="shared" ref="Q744" si="4015">AVERAGE(E744:E747)</f>
        <v>59.63</v>
      </c>
      <c r="R744" s="69">
        <f t="shared" ref="R744" si="4016">AVERAGE(F744:F747)</f>
        <v>36.102499999999999</v>
      </c>
      <c r="S744" s="51">
        <f t="shared" ref="S744:W744" si="4017">(B743+B744)/2</f>
        <v>109.705</v>
      </c>
      <c r="T744" s="51">
        <f t="shared" si="4017"/>
        <v>87.185000000000002</v>
      </c>
      <c r="U744" s="51">
        <f t="shared" si="4017"/>
        <v>71.489999999999995</v>
      </c>
      <c r="V744" s="51">
        <f t="shared" si="4017"/>
        <v>56.8</v>
      </c>
      <c r="W744" s="51">
        <f t="shared" si="4017"/>
        <v>35.495000000000005</v>
      </c>
      <c r="X744" s="51">
        <f t="shared" ref="X744:AB744" si="4018">(SUM(B741:B744))/4</f>
        <v>108.185</v>
      </c>
      <c r="Y744" s="51">
        <f t="shared" si="4018"/>
        <v>85.892499999999998</v>
      </c>
      <c r="Z744" s="51">
        <f t="shared" si="4018"/>
        <v>69.465000000000003</v>
      </c>
      <c r="AA744" s="51">
        <f t="shared" si="4018"/>
        <v>54.457500000000003</v>
      </c>
      <c r="AB744" s="51">
        <f t="shared" si="4018"/>
        <v>34.770000000000003</v>
      </c>
      <c r="AC744" s="80">
        <f t="shared" ref="AC744:AF744" si="4019">(B744+C744)/2</f>
        <v>99.41</v>
      </c>
      <c r="AD744" s="80">
        <f t="shared" si="4019"/>
        <v>80.169999999999987</v>
      </c>
      <c r="AE744" s="80">
        <f t="shared" si="4019"/>
        <v>65.42</v>
      </c>
      <c r="AF744" s="80">
        <f t="shared" si="4019"/>
        <v>47.025000000000006</v>
      </c>
      <c r="AG744" s="51">
        <f t="shared" si="3360"/>
        <v>71.469999999999985</v>
      </c>
      <c r="AH744" s="51">
        <f t="shared" si="3361"/>
        <v>65.63</v>
      </c>
      <c r="AI744" s="51">
        <f t="shared" si="3970"/>
        <v>71.465000000000003</v>
      </c>
      <c r="AJ744" s="51">
        <f t="shared" si="3773"/>
        <v>67.836400000000012</v>
      </c>
      <c r="AK744" s="51">
        <f t="shared" si="3650"/>
        <v>40.797499999999999</v>
      </c>
      <c r="AL744" s="51">
        <f t="shared" si="3364"/>
        <v>43.37865</v>
      </c>
      <c r="AM744" s="51"/>
      <c r="AN744" s="51">
        <f t="shared" si="3499"/>
        <v>55.8</v>
      </c>
      <c r="AO744" s="51">
        <f t="shared" si="3366"/>
        <v>54.44761904761905</v>
      </c>
      <c r="AP744" s="51"/>
      <c r="AQ744" s="51">
        <f t="shared" si="3694"/>
        <v>70.915000000000006</v>
      </c>
      <c r="AR744" s="51">
        <f t="shared" si="3695"/>
        <v>73.854300000000009</v>
      </c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8"/>
      <c r="BK744" s="8"/>
      <c r="BL744" s="8"/>
      <c r="BM744" s="8"/>
    </row>
    <row r="745" spans="1:65" ht="30" customHeight="1" x14ac:dyDescent="0.45">
      <c r="A745" s="55">
        <f t="shared" si="3971"/>
        <v>46094</v>
      </c>
      <c r="B745" s="56">
        <v>114.02</v>
      </c>
      <c r="C745" s="56">
        <v>88.92</v>
      </c>
      <c r="D745" s="56">
        <v>73.62</v>
      </c>
      <c r="E745" s="56">
        <v>59.97</v>
      </c>
      <c r="F745" s="56">
        <v>36.03</v>
      </c>
      <c r="G745" s="56">
        <v>135.13999999999999</v>
      </c>
      <c r="H745" s="51">
        <f t="shared" ref="H745" si="4020">B745-B744</f>
        <v>2.9099999999999966</v>
      </c>
      <c r="I745" s="51">
        <f t="shared" ref="I745" si="4021">C745-C744</f>
        <v>1.210000000000008</v>
      </c>
      <c r="J745" s="51">
        <f t="shared" ref="J745" si="4022">D745-D744</f>
        <v>0.99000000000000909</v>
      </c>
      <c r="K745" s="51">
        <f t="shared" ref="K745" si="4023">E745-E744</f>
        <v>1.759999999999998</v>
      </c>
      <c r="L745" s="51">
        <f t="shared" ref="L745" si="4024">F745-F744</f>
        <v>0.18999999999999773</v>
      </c>
      <c r="M745" s="85">
        <f>G745-G744</f>
        <v>5.6099999999999852</v>
      </c>
      <c r="N745" s="51">
        <f>N744</f>
        <v>114.3575</v>
      </c>
      <c r="O745" s="51">
        <f t="shared" ref="O745:R747" si="4025">O744</f>
        <v>88.834999999999994</v>
      </c>
      <c r="P745" s="51">
        <f t="shared" si="4025"/>
        <v>73.837499999999991</v>
      </c>
      <c r="Q745" s="51">
        <f t="shared" si="4025"/>
        <v>59.63</v>
      </c>
      <c r="R745" s="51">
        <f t="shared" si="4025"/>
        <v>36.102499999999999</v>
      </c>
      <c r="S745" s="51">
        <f t="shared" ref="S745" si="4026">(B744+B745)/2</f>
        <v>112.565</v>
      </c>
      <c r="T745" s="51">
        <f t="shared" ref="T745" si="4027">(C744+C745)/2</f>
        <v>88.314999999999998</v>
      </c>
      <c r="U745" s="51">
        <f t="shared" ref="U745" si="4028">(D744+D745)/2</f>
        <v>73.125</v>
      </c>
      <c r="V745" s="51">
        <f t="shared" ref="V745" si="4029">(E744+E745)/2</f>
        <v>59.09</v>
      </c>
      <c r="W745" s="51">
        <f t="shared" ref="W745" si="4030">(F744+F745)/2</f>
        <v>35.935000000000002</v>
      </c>
      <c r="X745" s="51">
        <f t="shared" ref="X745" si="4031">(SUM(B742:B745))/4</f>
        <v>110.18249999999999</v>
      </c>
      <c r="Y745" s="51">
        <f t="shared" ref="Y745" si="4032">(SUM(C742:C745))/4</f>
        <v>87.112499999999997</v>
      </c>
      <c r="Z745" s="51">
        <f t="shared" ref="Z745" si="4033">(SUM(D742:D745))/4</f>
        <v>71.114999999999995</v>
      </c>
      <c r="AA745" s="51">
        <f t="shared" ref="AA745" si="4034">(SUM(E742:E745))/4</f>
        <v>56.552500000000002</v>
      </c>
      <c r="AB745" s="51">
        <f t="shared" ref="AB745" si="4035">(SUM(F742:F745))/4</f>
        <v>35.337499999999999</v>
      </c>
      <c r="AC745" s="80">
        <f t="shared" ref="AC745" si="4036">(B745+C745)/2</f>
        <v>101.47</v>
      </c>
      <c r="AD745" s="80">
        <f t="shared" ref="AD745" si="4037">(C745+D745)/2</f>
        <v>81.27000000000001</v>
      </c>
      <c r="AE745" s="80">
        <f t="shared" ref="AE745" si="4038">(D745+E745)/2</f>
        <v>66.795000000000002</v>
      </c>
      <c r="AF745" s="80">
        <f t="shared" ref="AF745" si="4039">(E745+F745)/2</f>
        <v>48</v>
      </c>
      <c r="AG745" s="51">
        <f t="shared" ref="AG745" si="4040">((C745+D745)/2)-8.7</f>
        <v>72.570000000000007</v>
      </c>
      <c r="AH745" s="51">
        <f t="shared" ref="AH745" si="4041">D745-7</f>
        <v>66.62</v>
      </c>
      <c r="AI745" s="51">
        <f t="shared" ref="AI745" si="4042">Z745+2</f>
        <v>73.114999999999995</v>
      </c>
      <c r="AJ745" s="51">
        <f t="shared" ref="AJ745" si="4043">(Z745*4800/5000)+1.15</f>
        <v>69.420400000000001</v>
      </c>
      <c r="AK745" s="51">
        <f t="shared" ref="AK745" si="4044">((V745+W745)/2)-5.35</f>
        <v>42.162500000000001</v>
      </c>
      <c r="AL745" s="51">
        <f t="shared" ref="AL745" si="4045">((V745+W745)/2)*0.94</f>
        <v>44.661749999999998</v>
      </c>
      <c r="AM745" s="51"/>
      <c r="AN745" s="51">
        <f t="shared" ref="AN745" si="4046">V745-1</f>
        <v>58.09</v>
      </c>
      <c r="AO745" s="51">
        <f t="shared" ref="AO745" si="4047">(V745*4100/4200)-1</f>
        <v>56.683095238095241</v>
      </c>
      <c r="AP745" s="51"/>
      <c r="AQ745" s="51">
        <f t="shared" ref="AQ745" si="4048">Z745+1.45</f>
        <v>72.564999999999998</v>
      </c>
      <c r="AR745" s="51">
        <f t="shared" ref="AR745" si="4049">(Z745*(5100/5000))+3</f>
        <v>75.537300000000002</v>
      </c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8"/>
      <c r="BK745" s="8"/>
      <c r="BL745" s="8"/>
      <c r="BM745" s="8"/>
    </row>
    <row r="746" spans="1:65" ht="30" customHeight="1" x14ac:dyDescent="0.45">
      <c r="A746" s="55">
        <f t="shared" si="3971"/>
        <v>46101</v>
      </c>
      <c r="B746" s="56">
        <v>115.36</v>
      </c>
      <c r="C746" s="56">
        <v>88.96</v>
      </c>
      <c r="D746" s="56">
        <v>74.209999999999994</v>
      </c>
      <c r="E746" s="56">
        <v>60.03</v>
      </c>
      <c r="F746" s="56">
        <v>36.130000000000003</v>
      </c>
      <c r="G746" s="56">
        <v>135.33000000000001</v>
      </c>
      <c r="H746" s="51">
        <f t="shared" ref="H746" si="4050">B746-B745</f>
        <v>1.3400000000000034</v>
      </c>
      <c r="I746" s="51">
        <f t="shared" ref="I746" si="4051">C746-C745</f>
        <v>3.9999999999992042E-2</v>
      </c>
      <c r="J746" s="51">
        <f t="shared" ref="J746" si="4052">D746-D745</f>
        <v>0.5899999999999892</v>
      </c>
      <c r="K746" s="51">
        <f t="shared" ref="K746" si="4053">E746-E745</f>
        <v>6.0000000000002274E-2</v>
      </c>
      <c r="L746" s="51">
        <f t="shared" ref="L746" si="4054">F746-F745</f>
        <v>0.10000000000000142</v>
      </c>
      <c r="M746" s="85">
        <f>G746-G745</f>
        <v>0.19000000000002615</v>
      </c>
      <c r="N746" s="51">
        <f>N745</f>
        <v>114.3575</v>
      </c>
      <c r="O746" s="51">
        <f t="shared" si="4025"/>
        <v>88.834999999999994</v>
      </c>
      <c r="P746" s="51">
        <f t="shared" si="4025"/>
        <v>73.837499999999991</v>
      </c>
      <c r="Q746" s="51">
        <f t="shared" si="4025"/>
        <v>59.63</v>
      </c>
      <c r="R746" s="51">
        <f t="shared" si="4025"/>
        <v>36.102499999999999</v>
      </c>
      <c r="S746" s="51">
        <f t="shared" ref="S746" si="4055">(B745+B746)/2</f>
        <v>114.69</v>
      </c>
      <c r="T746" s="51">
        <f t="shared" ref="T746" si="4056">(C745+C746)/2</f>
        <v>88.94</v>
      </c>
      <c r="U746" s="51">
        <f t="shared" ref="U746" si="4057">(D745+D746)/2</f>
        <v>73.914999999999992</v>
      </c>
      <c r="V746" s="51">
        <f t="shared" ref="V746" si="4058">(E745+E746)/2</f>
        <v>60</v>
      </c>
      <c r="W746" s="51">
        <f t="shared" ref="W746" si="4059">(F745+F746)/2</f>
        <v>36.08</v>
      </c>
      <c r="X746" s="51">
        <f t="shared" ref="X746" si="4060">(SUM(B743:B746))/4</f>
        <v>112.19750000000001</v>
      </c>
      <c r="Y746" s="51">
        <f t="shared" ref="Y746" si="4061">(SUM(C743:C746))/4</f>
        <v>88.0625</v>
      </c>
      <c r="Z746" s="51">
        <f t="shared" ref="Z746" si="4062">(SUM(D743:D746))/4</f>
        <v>72.702500000000001</v>
      </c>
      <c r="AA746" s="51">
        <f t="shared" ref="AA746" si="4063">(SUM(E743:E746))/4</f>
        <v>58.4</v>
      </c>
      <c r="AB746" s="51">
        <f t="shared" ref="AB746" si="4064">(SUM(F743:F746))/4</f>
        <v>35.787500000000001</v>
      </c>
      <c r="AC746" s="80">
        <f t="shared" ref="AC746" si="4065">(B746+C746)/2</f>
        <v>102.16</v>
      </c>
      <c r="AD746" s="80">
        <f t="shared" ref="AD746" si="4066">(C746+D746)/2</f>
        <v>81.584999999999994</v>
      </c>
      <c r="AE746" s="80">
        <f t="shared" ref="AE746" si="4067">(D746+E746)/2</f>
        <v>67.12</v>
      </c>
      <c r="AF746" s="80">
        <f t="shared" ref="AF746" si="4068">(E746+F746)/2</f>
        <v>48.08</v>
      </c>
      <c r="AG746" s="51">
        <f t="shared" ref="AG746" si="4069">((C746+D746)/2)-8.7</f>
        <v>72.884999999999991</v>
      </c>
      <c r="AH746" s="51">
        <f t="shared" ref="AH746" si="4070">D746-7</f>
        <v>67.209999999999994</v>
      </c>
      <c r="AI746" s="51">
        <f t="shared" ref="AI746" si="4071">Z746+2</f>
        <v>74.702500000000001</v>
      </c>
      <c r="AJ746" s="51">
        <f t="shared" ref="AJ746" si="4072">(Z746*4800/5000)+1.15</f>
        <v>70.944400000000002</v>
      </c>
      <c r="AK746" s="51">
        <f t="shared" ref="AK746" si="4073">((V746+W746)/2)-5.35</f>
        <v>42.69</v>
      </c>
      <c r="AL746" s="51">
        <f t="shared" ref="AL746" si="4074">((V746+W746)/2)*0.94</f>
        <v>45.157599999999995</v>
      </c>
      <c r="AM746" s="51"/>
      <c r="AN746" s="51">
        <f t="shared" ref="AN746" si="4075">V746-1</f>
        <v>59</v>
      </c>
      <c r="AO746" s="51">
        <f t="shared" ref="AO746" si="4076">(V746*4100/4200)-1</f>
        <v>57.571428571428569</v>
      </c>
      <c r="AP746" s="51"/>
      <c r="AQ746" s="51">
        <f t="shared" ref="AQ746" si="4077">Z746+1.45</f>
        <v>74.152500000000003</v>
      </c>
      <c r="AR746" s="51">
        <f t="shared" ref="AR746" si="4078">(Z746*(5100/5000))+3</f>
        <v>77.156549999999996</v>
      </c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8"/>
      <c r="BK746" s="8"/>
      <c r="BL746" s="8"/>
      <c r="BM746" s="8"/>
    </row>
    <row r="747" spans="1:65" ht="43.5" customHeight="1" x14ac:dyDescent="0.45">
      <c r="A747" s="91">
        <f t="shared" si="3971"/>
        <v>46108</v>
      </c>
      <c r="B747" s="92">
        <v>116.94</v>
      </c>
      <c r="C747" s="92">
        <v>89.75</v>
      </c>
      <c r="D747" s="92">
        <v>74.89</v>
      </c>
      <c r="E747" s="92">
        <v>60.31</v>
      </c>
      <c r="F747" s="93">
        <v>36.409999999999997</v>
      </c>
      <c r="G747" s="93">
        <v>135.41999999999999</v>
      </c>
      <c r="H747" s="92">
        <f t="shared" ref="H747" si="4079">B747-B746</f>
        <v>1.5799999999999983</v>
      </c>
      <c r="I747" s="92">
        <f t="shared" ref="I747" si="4080">C747-C746</f>
        <v>0.79000000000000625</v>
      </c>
      <c r="J747" s="92">
        <f t="shared" ref="J747" si="4081">D747-D746</f>
        <v>0.68000000000000682</v>
      </c>
      <c r="K747" s="92">
        <f t="shared" ref="K747" si="4082">E747-E746</f>
        <v>0.28000000000000114</v>
      </c>
      <c r="L747" s="92">
        <f t="shared" ref="L747" si="4083">F747-F746</f>
        <v>0.27999999999999403</v>
      </c>
      <c r="M747" s="92">
        <f>G747-G746</f>
        <v>8.9999999999974989E-2</v>
      </c>
      <c r="N747" s="92">
        <f t="shared" ref="N747" si="4084">N746</f>
        <v>114.3575</v>
      </c>
      <c r="O747" s="92">
        <f t="shared" si="4025"/>
        <v>88.834999999999994</v>
      </c>
      <c r="P747" s="92">
        <f t="shared" si="4025"/>
        <v>73.837499999999991</v>
      </c>
      <c r="Q747" s="92">
        <f t="shared" si="4025"/>
        <v>59.63</v>
      </c>
      <c r="R747" s="92">
        <f t="shared" si="4025"/>
        <v>36.102499999999999</v>
      </c>
      <c r="S747" s="92">
        <f t="shared" ref="S747" si="4085">(B746+B747)/2</f>
        <v>116.15</v>
      </c>
      <c r="T747" s="92">
        <f t="shared" ref="T747" si="4086">(C746+C747)/2</f>
        <v>89.35499999999999</v>
      </c>
      <c r="U747" s="92">
        <f t="shared" ref="U747" si="4087">(D746+D747)/2</f>
        <v>74.55</v>
      </c>
      <c r="V747" s="92">
        <f>(E746+E747)/2</f>
        <v>60.17</v>
      </c>
      <c r="W747" s="92">
        <f t="shared" ref="W747" si="4088">(F746+F747)/2</f>
        <v>36.269999999999996</v>
      </c>
      <c r="X747" s="92">
        <f t="shared" ref="X747" si="4089">(SUM(B744:B747))/4</f>
        <v>114.3575</v>
      </c>
      <c r="Y747" s="92">
        <f t="shared" ref="Y747" si="4090">(SUM(C744:C747))/4</f>
        <v>88.834999999999994</v>
      </c>
      <c r="Z747" s="92">
        <f t="shared" ref="Z747" si="4091">(SUM(D744:D747))/4</f>
        <v>73.837499999999991</v>
      </c>
      <c r="AA747" s="92">
        <f t="shared" ref="AA747" si="4092">(SUM(E744:E747))/4</f>
        <v>59.63</v>
      </c>
      <c r="AB747" s="92">
        <f>(SUM(F744:F747))/4</f>
        <v>36.102499999999999</v>
      </c>
      <c r="AC747" s="92">
        <f>(B747+C747)/2</f>
        <v>103.345</v>
      </c>
      <c r="AD747" s="92">
        <f t="shared" ref="AD747" si="4093">(C747+D747)/2</f>
        <v>82.32</v>
      </c>
      <c r="AE747" s="92">
        <f t="shared" ref="AE747" si="4094">(D747+E747)/2</f>
        <v>67.599999999999994</v>
      </c>
      <c r="AF747" s="92">
        <f>(E747+F747)/2</f>
        <v>48.36</v>
      </c>
      <c r="AG747" s="92">
        <f t="shared" ref="AG747" si="4095">((C747+D747)/2)-8.7</f>
        <v>73.61999999999999</v>
      </c>
      <c r="AH747" s="92">
        <f t="shared" ref="AH747" si="4096">D747-7</f>
        <v>67.89</v>
      </c>
      <c r="AI747" s="92">
        <f t="shared" ref="AI747" si="4097">Z747+2</f>
        <v>75.837499999999991</v>
      </c>
      <c r="AJ747" s="92">
        <f t="shared" ref="AJ747" si="4098">(Z747*4800/5000)+1.15</f>
        <v>72.033999999999992</v>
      </c>
      <c r="AK747" s="92">
        <f t="shared" ref="AK747" si="4099">((V747+W747)/2)-5.35</f>
        <v>42.87</v>
      </c>
      <c r="AL747" s="92">
        <f t="shared" ref="AL747" si="4100">((V747+W747)/2)*0.94</f>
        <v>45.326799999999999</v>
      </c>
      <c r="AM747" s="92"/>
      <c r="AN747" s="92">
        <f t="shared" ref="AN747" si="4101">V747-1</f>
        <v>59.17</v>
      </c>
      <c r="AO747" s="92">
        <f t="shared" ref="AO747" si="4102">(V747*4100/4200)-1</f>
        <v>57.737380952380953</v>
      </c>
      <c r="AP747" s="92"/>
      <c r="AQ747" s="92">
        <f t="shared" ref="AQ747" si="4103">Z747+1.45</f>
        <v>75.287499999999994</v>
      </c>
      <c r="AR747" s="92">
        <f t="shared" ref="AR747" si="4104">(Z747*(5100/5000))+3</f>
        <v>78.314249999999987</v>
      </c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8"/>
      <c r="BK747" s="8"/>
      <c r="BL747" s="8"/>
      <c r="BM747" s="8"/>
    </row>
    <row r="748" spans="1:65" ht="28.5" customHeight="1" x14ac:dyDescent="0.45">
      <c r="A748" s="94" t="s">
        <v>37</v>
      </c>
      <c r="B748" s="95"/>
      <c r="C748" s="95">
        <f>AVERAGE(C708:C711)</f>
        <v>72.95</v>
      </c>
      <c r="D748" s="95">
        <f>D744+23.5</f>
        <v>96.13</v>
      </c>
      <c r="E748" s="95">
        <f>E701+F701</f>
        <v>81.650000000000006</v>
      </c>
      <c r="F748" s="95">
        <f>E748/2</f>
        <v>40.825000000000003</v>
      </c>
      <c r="G748" s="95"/>
      <c r="H748" s="95"/>
      <c r="I748" s="95"/>
      <c r="J748" s="95"/>
      <c r="K748" s="95"/>
      <c r="L748" s="95"/>
      <c r="M748" s="96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>
        <f>(Z701+AA701)/2</f>
        <v>56.001249999999999</v>
      </c>
      <c r="AA748" s="95"/>
      <c r="AB748" s="95"/>
      <c r="AC748" s="97">
        <f t="shared" ref="AC748:AF748" si="4105">AVERAGE(AC705:AC708)</f>
        <v>86.47</v>
      </c>
      <c r="AD748" s="97">
        <f t="shared" si="4105"/>
        <v>65.04249999999999</v>
      </c>
      <c r="AE748" s="97">
        <f t="shared" si="4105"/>
        <v>49.057499999999997</v>
      </c>
      <c r="AF748" s="97">
        <f t="shared" si="4105"/>
        <v>36.409999999999997</v>
      </c>
      <c r="AG748" s="95"/>
      <c r="AH748" s="95"/>
      <c r="AI748" s="95"/>
      <c r="AJ748" s="95"/>
      <c r="AK748" s="95"/>
      <c r="AL748" s="95"/>
      <c r="AM748" s="7"/>
      <c r="AN748" s="95"/>
      <c r="AO748" s="95"/>
      <c r="AP748" s="98"/>
      <c r="AQ748" s="4"/>
      <c r="AR748" s="4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8"/>
      <c r="BK748" s="8"/>
      <c r="BL748" s="8"/>
      <c r="BM748" s="8"/>
    </row>
    <row r="749" spans="1:65" ht="29.25" customHeight="1" x14ac:dyDescent="0.45">
      <c r="A749" s="99"/>
      <c r="B749" s="95"/>
      <c r="C749" s="95">
        <f>E715-3</f>
        <v>40.06</v>
      </c>
      <c r="D749" s="95">
        <f>((C723+C722))/2</f>
        <v>76.81</v>
      </c>
      <c r="E749" s="95" t="s">
        <v>38</v>
      </c>
      <c r="F749" s="95">
        <f>D701</f>
        <v>62.51</v>
      </c>
      <c r="G749" s="95">
        <f>93.63+96.13</f>
        <v>189.76</v>
      </c>
      <c r="H749" s="95"/>
      <c r="I749" s="95"/>
      <c r="J749" s="95">
        <f>AVERAGE(E722:E724)</f>
        <v>44.169999999999995</v>
      </c>
      <c r="K749" s="95"/>
      <c r="L749" s="100">
        <v>128000</v>
      </c>
      <c r="M749" s="96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>
        <f>Z748*4700/4600</f>
        <v>57.218668478260867</v>
      </c>
      <c r="AA749" s="95"/>
      <c r="AB749" s="95"/>
      <c r="AC749" s="95">
        <f>AA701+AB701</f>
        <v>82.215000000000003</v>
      </c>
      <c r="AD749" s="95"/>
      <c r="AE749" s="95"/>
      <c r="AF749" s="95"/>
      <c r="AG749" s="95"/>
      <c r="AH749" s="95"/>
      <c r="AI749" s="95"/>
      <c r="AJ749" s="95"/>
      <c r="AK749" s="95"/>
      <c r="AL749" s="95"/>
      <c r="AM749" s="7"/>
      <c r="AN749" s="95"/>
      <c r="AO749" s="95"/>
      <c r="AP749" s="98"/>
      <c r="AQ749" s="4"/>
      <c r="AR749" s="4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8"/>
      <c r="BK749" s="8"/>
      <c r="BL749" s="8"/>
      <c r="BM749" s="8"/>
    </row>
    <row r="750" spans="1:65" ht="29.25" customHeight="1" x14ac:dyDescent="0.45">
      <c r="A750" s="99"/>
      <c r="B750" s="95"/>
      <c r="C750" s="95">
        <f>C749*16200</f>
        <v>648972</v>
      </c>
      <c r="D750" s="95">
        <f>D749*(5200/5800)-7</f>
        <v>61.864137931034492</v>
      </c>
      <c r="E750" s="95" t="s">
        <v>39</v>
      </c>
      <c r="F750" s="95">
        <f>G701</f>
        <v>99.58</v>
      </c>
      <c r="G750" s="95">
        <f>G749/2</f>
        <v>94.88</v>
      </c>
      <c r="H750" s="95"/>
      <c r="I750" s="95"/>
      <c r="J750" s="95">
        <f>J749-1</f>
        <v>43.169999999999995</v>
      </c>
      <c r="K750" s="95"/>
      <c r="L750" s="95">
        <f>AVERAGE(E721:E724)</f>
        <v>44.075000000000003</v>
      </c>
      <c r="M750" s="96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>
        <f>Z701*4700/5000</f>
        <v>59.396250000000002</v>
      </c>
      <c r="AA750" s="95"/>
      <c r="AB750" s="95"/>
      <c r="AC750" s="95">
        <f>AC749/2</f>
        <v>41.107500000000002</v>
      </c>
      <c r="AD750" s="95"/>
      <c r="AE750" s="95"/>
      <c r="AF750" s="95"/>
      <c r="AG750" s="95"/>
      <c r="AH750" s="95"/>
      <c r="AI750" s="95"/>
      <c r="AJ750" s="95"/>
      <c r="AK750" s="95"/>
      <c r="AL750" s="95"/>
      <c r="AM750" s="7"/>
      <c r="AN750" s="95"/>
      <c r="AO750" s="95"/>
      <c r="AP750" s="98"/>
      <c r="AQ750" s="4"/>
      <c r="AR750" s="4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8"/>
      <c r="BK750" s="8"/>
      <c r="BL750" s="8"/>
      <c r="BM750" s="8"/>
    </row>
    <row r="751" spans="1:65" ht="29.25" customHeight="1" x14ac:dyDescent="0.45">
      <c r="A751" s="99"/>
      <c r="B751" s="95"/>
      <c r="C751" s="95">
        <f>C750+165000</f>
        <v>813972</v>
      </c>
      <c r="D751" s="95">
        <f>D752*(5200/5300)</f>
        <v>61.807200000000002</v>
      </c>
      <c r="E751" s="95" t="s">
        <v>40</v>
      </c>
      <c r="F751" s="95">
        <f>F749*0.9777</f>
        <v>61.116026999999995</v>
      </c>
      <c r="G751" s="101" t="s">
        <v>41</v>
      </c>
      <c r="H751" s="95"/>
      <c r="I751" s="95"/>
      <c r="J751" s="100">
        <v>16590</v>
      </c>
      <c r="K751" s="95"/>
      <c r="L751" s="100">
        <f>L750*J751</f>
        <v>731204.25</v>
      </c>
      <c r="M751" s="96"/>
      <c r="N751" s="95">
        <f>SUM(D713:D716)/4</f>
        <v>57.545000000000002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>
        <f>Z750-1.5</f>
        <v>57.896250000000002</v>
      </c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>
        <f>AF733-3.11</f>
        <v>35.545000000000002</v>
      </c>
      <c r="AM751" s="7"/>
      <c r="AN751" s="95"/>
      <c r="AO751" s="95"/>
      <c r="AP751" s="98"/>
      <c r="AQ751" s="4"/>
      <c r="AR751" s="4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8"/>
      <c r="BK751" s="8"/>
      <c r="BL751" s="8"/>
      <c r="BM751" s="8"/>
    </row>
    <row r="752" spans="1:65" ht="29.25" customHeight="1" x14ac:dyDescent="0.45">
      <c r="A752" s="99"/>
      <c r="B752" s="95"/>
      <c r="C752" s="95">
        <f>(C753+D753)/2</f>
        <v>67.955000000000013</v>
      </c>
      <c r="D752" s="95">
        <f>D722*(5300/5000)</f>
        <v>62.995800000000003</v>
      </c>
      <c r="E752" s="95" t="s">
        <v>42</v>
      </c>
      <c r="F752" s="95">
        <f>F750*0.707</f>
        <v>70.403059999999996</v>
      </c>
      <c r="G752" s="101" t="s">
        <v>43</v>
      </c>
      <c r="H752" s="95"/>
      <c r="I752" s="95"/>
      <c r="J752" s="100">
        <f>J750*J751</f>
        <v>716190.29999999993</v>
      </c>
      <c r="K752" s="95"/>
      <c r="L752" s="95"/>
      <c r="M752" s="96"/>
      <c r="N752" s="95">
        <f>SUM(D699:D702)/4</f>
        <v>62.53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7"/>
      <c r="AN752" s="95"/>
      <c r="AO752" s="95"/>
      <c r="AP752" s="98"/>
      <c r="AQ752" s="4"/>
      <c r="AR752" s="4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8"/>
      <c r="BK752" s="8"/>
      <c r="BL752" s="8"/>
      <c r="BM752" s="8"/>
    </row>
    <row r="753" spans="1:65" ht="29.25" customHeight="1" x14ac:dyDescent="0.45">
      <c r="A753" s="99"/>
      <c r="B753" s="95"/>
      <c r="C753" s="95">
        <f t="shared" ref="C753:D753" si="4106">AVERAGE(C721:C722)</f>
        <v>76.580000000000013</v>
      </c>
      <c r="D753" s="95">
        <f t="shared" si="4106"/>
        <v>59.33</v>
      </c>
      <c r="E753" s="102" t="s">
        <v>44</v>
      </c>
      <c r="F753" s="102">
        <f>(F751*50%)+(F752*50%)</f>
        <v>65.759543499999992</v>
      </c>
      <c r="G753" s="103" t="s">
        <v>45</v>
      </c>
      <c r="H753" s="95"/>
      <c r="I753" s="95"/>
      <c r="J753" s="100">
        <f>J752-80000</f>
        <v>636190.29999999993</v>
      </c>
      <c r="K753" s="95"/>
      <c r="L753" s="100">
        <f>L751+L749</f>
        <v>859204.25</v>
      </c>
      <c r="M753" s="96"/>
      <c r="N753" s="95"/>
      <c r="O753" s="95"/>
      <c r="P753" s="104"/>
      <c r="Q753" s="104" t="s">
        <v>46</v>
      </c>
      <c r="R753" s="104"/>
      <c r="S753" s="95"/>
      <c r="T753" s="104"/>
      <c r="U753" s="104" t="s">
        <v>47</v>
      </c>
      <c r="V753" s="104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7"/>
      <c r="AN753" s="95"/>
      <c r="AO753" s="95"/>
      <c r="AP753" s="98"/>
      <c r="AQ753" s="4"/>
      <c r="AR753" s="4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8"/>
      <c r="BK753" s="8"/>
      <c r="BL753" s="8"/>
      <c r="BM753" s="8"/>
    </row>
    <row r="754" spans="1:65" ht="29.25" customHeight="1" x14ac:dyDescent="0.45">
      <c r="A754" s="99"/>
      <c r="B754" s="95"/>
      <c r="C754" s="95">
        <f>(C753+D753)/2</f>
        <v>67.955000000000013</v>
      </c>
      <c r="D754" s="95">
        <f>D755*(5200/5300)</f>
        <v>60.641026415094345</v>
      </c>
      <c r="E754" s="95"/>
      <c r="F754" s="95">
        <f>F753+23.5</f>
        <v>89.259543499999992</v>
      </c>
      <c r="G754" s="95"/>
      <c r="H754" s="95"/>
      <c r="I754" s="95"/>
      <c r="J754" s="95"/>
      <c r="K754" s="95"/>
      <c r="L754" s="95"/>
      <c r="M754" s="96"/>
      <c r="N754" s="95"/>
      <c r="O754" s="95"/>
      <c r="P754" s="104"/>
      <c r="Q754" s="104">
        <f>SUM(D722:D725)+D725</f>
        <v>303.31</v>
      </c>
      <c r="R754" s="104"/>
      <c r="S754" s="95"/>
      <c r="T754" s="104"/>
      <c r="U754" s="104">
        <f>SUM(D724:D725)+D725+D725</f>
        <v>245.26</v>
      </c>
      <c r="V754" s="104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7"/>
      <c r="AN754" s="95"/>
      <c r="AO754" s="95"/>
      <c r="AP754" s="98"/>
      <c r="AQ754" s="4"/>
      <c r="AR754" s="4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8"/>
      <c r="BK754" s="8"/>
      <c r="BL754" s="8"/>
      <c r="BM754" s="8"/>
    </row>
    <row r="755" spans="1:65" ht="29.25" customHeight="1" x14ac:dyDescent="0.45">
      <c r="A755" s="99"/>
      <c r="B755" s="95"/>
      <c r="C755" s="95">
        <f>C754</f>
        <v>67.955000000000013</v>
      </c>
      <c r="D755" s="95">
        <f>(5200/5000)*D722</f>
        <v>61.807200000000002</v>
      </c>
      <c r="E755" s="95">
        <f>D752-D755</f>
        <v>1.188600000000001</v>
      </c>
      <c r="F755" s="95"/>
      <c r="G755" s="95"/>
      <c r="H755" s="95"/>
      <c r="I755" s="95"/>
      <c r="J755" s="95"/>
      <c r="K755" s="95"/>
      <c r="L755" s="95"/>
      <c r="M755" s="96"/>
      <c r="N755" s="95"/>
      <c r="O755" s="95"/>
      <c r="P755" s="104"/>
      <c r="Q755" s="104">
        <f>Q754/5</f>
        <v>60.661999999999999</v>
      </c>
      <c r="R755" s="104"/>
      <c r="S755" s="95"/>
      <c r="T755" s="104"/>
      <c r="U755" s="104">
        <f>U754/4</f>
        <v>61.314999999999998</v>
      </c>
      <c r="V755" s="104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7"/>
      <c r="AN755" s="95"/>
      <c r="AO755" s="95"/>
      <c r="AP755" s="98"/>
      <c r="AQ755" s="4"/>
      <c r="AR755" s="4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8"/>
      <c r="BK755" s="8"/>
      <c r="BL755" s="8"/>
      <c r="BM755" s="8"/>
    </row>
    <row r="756" spans="1:65" ht="29.25" customHeight="1" x14ac:dyDescent="0.45">
      <c r="A756" s="99"/>
      <c r="B756" s="95"/>
      <c r="C756" s="95">
        <f>(5300/5400)*C755</f>
        <v>66.696574074074093</v>
      </c>
      <c r="D756" s="95">
        <f>D755-7.8</f>
        <v>54.007200000000005</v>
      </c>
      <c r="E756" s="95">
        <f>C756-D756</f>
        <v>12.689374074074088</v>
      </c>
      <c r="F756" s="95"/>
      <c r="G756" s="95"/>
      <c r="H756" s="95"/>
      <c r="I756" s="95"/>
      <c r="J756" s="95">
        <f>(E739+F739)/2</f>
        <v>39.885000000000005</v>
      </c>
      <c r="K756" s="100">
        <f>4.1*J757</f>
        <v>68777.5</v>
      </c>
      <c r="L756" s="95"/>
      <c r="M756" s="96"/>
      <c r="N756" s="95"/>
      <c r="O756" s="95"/>
      <c r="P756" s="104"/>
      <c r="Q756" s="104">
        <f>Q755+0.75</f>
        <v>61.411999999999999</v>
      </c>
      <c r="R756" s="104"/>
      <c r="S756" s="95"/>
      <c r="T756" s="104"/>
      <c r="U756" s="104">
        <f>U755+1.45</f>
        <v>62.765000000000001</v>
      </c>
      <c r="V756" s="104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7"/>
      <c r="AN756" s="95"/>
      <c r="AO756" s="95"/>
      <c r="AP756" s="98"/>
      <c r="AQ756" s="4"/>
      <c r="AR756" s="4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8"/>
      <c r="BK756" s="8"/>
      <c r="BL756" s="8"/>
      <c r="BM756" s="8"/>
    </row>
    <row r="757" spans="1:65" ht="16.5" customHeight="1" x14ac:dyDescent="0.45">
      <c r="A757" s="7"/>
      <c r="B757" s="7"/>
      <c r="C757" s="40"/>
      <c r="D757" s="105">
        <f>D680*5400/5000</f>
        <v>78.623999999999995</v>
      </c>
      <c r="E757" s="106"/>
      <c r="F757" s="107">
        <f>C680+D680</f>
        <v>166.1</v>
      </c>
      <c r="G757" s="107">
        <f>F757/2</f>
        <v>83.05</v>
      </c>
      <c r="H757" s="108"/>
      <c r="I757" s="38"/>
      <c r="J757" s="38">
        <v>16775</v>
      </c>
      <c r="K757" s="38"/>
      <c r="L757" s="38"/>
      <c r="M757" s="38"/>
      <c r="N757" s="40"/>
      <c r="O757" s="40"/>
      <c r="P757" s="109"/>
      <c r="Q757" s="104">
        <f>Q756+1</f>
        <v>62.411999999999999</v>
      </c>
      <c r="R757" s="109"/>
      <c r="S757" s="40"/>
      <c r="T757" s="109"/>
      <c r="U757" s="104">
        <f>U756+1</f>
        <v>63.765000000000001</v>
      </c>
      <c r="V757" s="109"/>
      <c r="W757" s="40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4"/>
      <c r="AR757" s="4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8"/>
      <c r="BK757" s="8"/>
      <c r="BL757" s="8"/>
      <c r="BM757" s="8"/>
    </row>
    <row r="758" spans="1:65" ht="30" customHeight="1" x14ac:dyDescent="0.45">
      <c r="A758" s="7"/>
      <c r="B758" s="7"/>
      <c r="C758" s="110">
        <f>C756-6.5</f>
        <v>60.196574074074093</v>
      </c>
      <c r="D758" s="40">
        <f t="shared" ref="D758:E758" si="4107">AVERAGE(D681:D683)</f>
        <v>71.796666666666667</v>
      </c>
      <c r="E758" s="40">
        <f t="shared" si="4107"/>
        <v>50.20333333333334</v>
      </c>
      <c r="F758" s="7"/>
      <c r="G758" s="7"/>
      <c r="H758" s="108"/>
      <c r="I758" s="38"/>
      <c r="J758" s="100">
        <f>J756*J757</f>
        <v>669070.87500000012</v>
      </c>
      <c r="K758" s="100">
        <f>J758-K756</f>
        <v>600293.37500000012</v>
      </c>
      <c r="L758" s="38"/>
      <c r="M758" s="38"/>
      <c r="N758" s="40"/>
      <c r="O758" s="40"/>
      <c r="P758" s="40"/>
      <c r="Q758" s="111">
        <f>ROUNDUP(Q757,2)</f>
        <v>62.419999999999995</v>
      </c>
      <c r="R758" s="40"/>
      <c r="S758" s="40"/>
      <c r="T758" s="40"/>
      <c r="U758" s="111">
        <f>ROUNDUP(U757,2)</f>
        <v>63.769999999999996</v>
      </c>
      <c r="V758" s="40"/>
      <c r="W758" s="40"/>
      <c r="X758" s="7"/>
      <c r="Y758" s="7"/>
      <c r="Z758" s="7"/>
      <c r="AA758" s="7"/>
      <c r="AB758" s="7"/>
      <c r="AC758" s="7"/>
      <c r="AD758" s="40">
        <f>SUM(E684:E686)/3</f>
        <v>49.18</v>
      </c>
      <c r="AE758" s="40">
        <f>AD758-1</f>
        <v>48.18</v>
      </c>
      <c r="AF758" s="7">
        <v>48.18</v>
      </c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4"/>
      <c r="AR758" s="4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8"/>
      <c r="BK758" s="8"/>
      <c r="BL758" s="8"/>
      <c r="BM758" s="8"/>
    </row>
    <row r="759" spans="1:65" ht="24" customHeight="1" x14ac:dyDescent="0.45">
      <c r="A759" s="7"/>
      <c r="B759" s="7"/>
      <c r="C759" s="112" t="s">
        <v>48</v>
      </c>
      <c r="D759" s="112"/>
      <c r="E759" s="113">
        <f>D680*5400/5000</f>
        <v>78.623999999999995</v>
      </c>
      <c r="F759" s="7"/>
      <c r="G759" s="7"/>
      <c r="H759" s="108"/>
      <c r="I759" s="38"/>
      <c r="J759" s="100">
        <v>535000</v>
      </c>
      <c r="K759" s="38"/>
      <c r="L759" s="38"/>
      <c r="M759" s="38"/>
      <c r="N759" s="40"/>
      <c r="O759" s="40"/>
      <c r="P759" s="40"/>
      <c r="Q759" s="40">
        <f>Q758*55</f>
        <v>3433.1</v>
      </c>
      <c r="R759" s="40"/>
      <c r="S759" s="40"/>
      <c r="T759" s="40"/>
      <c r="U759" s="40">
        <f>U758*55</f>
        <v>3507.35</v>
      </c>
      <c r="V759" s="40"/>
      <c r="W759" s="40"/>
      <c r="X759" s="7"/>
      <c r="Y759" s="7"/>
      <c r="Z759" s="40">
        <f>AD689-6.5</f>
        <v>70.41</v>
      </c>
      <c r="AA759" s="7"/>
      <c r="AB759" s="7"/>
      <c r="AC759" s="7"/>
      <c r="AD759" s="7"/>
      <c r="AE759" s="114">
        <v>16276</v>
      </c>
      <c r="AF759" s="7">
        <f>AF758*AE759</f>
        <v>784177.68</v>
      </c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4"/>
      <c r="AR759" s="4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8"/>
      <c r="BK759" s="8"/>
      <c r="BL759" s="8"/>
      <c r="BM759" s="8"/>
    </row>
    <row r="760" spans="1:65" ht="23.25" customHeight="1" x14ac:dyDescent="0.45">
      <c r="A760" s="7"/>
      <c r="B760" s="7"/>
      <c r="C760" s="115" t="s">
        <v>23</v>
      </c>
      <c r="D760" s="115"/>
      <c r="E760" s="113">
        <f>(C680+D680)/2</f>
        <v>83.05</v>
      </c>
      <c r="F760" s="7"/>
      <c r="G760" s="7"/>
      <c r="H760" s="108"/>
      <c r="I760" s="38"/>
      <c r="J760" s="100">
        <f>J758-J759</f>
        <v>134070.87500000012</v>
      </c>
      <c r="K760" s="38"/>
      <c r="L760" s="38"/>
      <c r="M760" s="38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7"/>
      <c r="Y760" s="7"/>
      <c r="Z760" s="7"/>
      <c r="AA760" s="7"/>
      <c r="AB760" s="7"/>
      <c r="AC760" s="7"/>
      <c r="AD760" s="40">
        <f>AVERAGE(AE685:AE688)</f>
        <v>59.046250000000001</v>
      </c>
      <c r="AE760" s="40"/>
      <c r="AF760" s="7">
        <f>AF759-80000</f>
        <v>704177.68</v>
      </c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4"/>
      <c r="AR760" s="4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8"/>
      <c r="BK760" s="8"/>
      <c r="BL760" s="8"/>
      <c r="BM760" s="8"/>
    </row>
    <row r="761" spans="1:65" ht="30" customHeight="1" x14ac:dyDescent="0.45">
      <c r="A761" s="116"/>
      <c r="B761" s="108"/>
      <c r="C761" s="117" t="s">
        <v>49</v>
      </c>
      <c r="D761" s="117"/>
      <c r="E761" s="117">
        <f>E760-E759</f>
        <v>4.4260000000000019</v>
      </c>
      <c r="F761" s="108"/>
      <c r="G761" s="108"/>
      <c r="H761" s="108"/>
      <c r="I761" s="108"/>
      <c r="J761" s="100"/>
      <c r="K761" s="108"/>
      <c r="L761" s="108"/>
      <c r="M761" s="108"/>
      <c r="N761" s="38"/>
      <c r="O761" s="38"/>
      <c r="P761" s="38"/>
      <c r="Q761" s="38"/>
      <c r="R761" s="3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>
        <f>AD760-1</f>
        <v>58.046250000000001</v>
      </c>
      <c r="AE761" s="108"/>
      <c r="AF761" s="108"/>
      <c r="AG761" s="108"/>
      <c r="AH761" s="108"/>
      <c r="AI761" s="108"/>
      <c r="AJ761" s="108"/>
      <c r="AK761" s="108"/>
      <c r="AL761" s="108"/>
      <c r="AM761" s="118">
        <v>49.962023809523807</v>
      </c>
      <c r="AN761" s="108"/>
      <c r="AO761" s="7"/>
      <c r="AP761" s="7"/>
      <c r="AQ761" s="4"/>
      <c r="AR761" s="4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8"/>
      <c r="BK761" s="8"/>
      <c r="BL761" s="8"/>
      <c r="BM761" s="8"/>
    </row>
    <row r="762" spans="1:65" ht="15.75" customHeight="1" x14ac:dyDescent="0.45">
      <c r="A762" s="57"/>
      <c r="B762" s="7"/>
      <c r="C762" s="7"/>
      <c r="D762" s="7" t="s">
        <v>50</v>
      </c>
      <c r="E762" s="7"/>
      <c r="F762" s="7"/>
      <c r="G762" s="7"/>
      <c r="H762" s="4"/>
      <c r="I762" s="4"/>
      <c r="J762" s="4"/>
      <c r="K762" s="4"/>
      <c r="L762" s="4"/>
      <c r="M762" s="4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4"/>
      <c r="AR762" s="4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8"/>
      <c r="BK762" s="8"/>
      <c r="BL762" s="8"/>
      <c r="BM762" s="8"/>
    </row>
    <row r="763" spans="1:65" ht="18.75" customHeight="1" x14ac:dyDescent="0.45">
      <c r="A763" s="57"/>
      <c r="B763" s="7" t="s">
        <v>51</v>
      </c>
      <c r="C763" s="112">
        <f>AVERAGE(D681:D683)</f>
        <v>71.796666666666667</v>
      </c>
      <c r="D763" s="112">
        <f>C763*4750/5000</f>
        <v>68.206833333333336</v>
      </c>
      <c r="E763" s="40">
        <f>D763-3</f>
        <v>65.206833333333336</v>
      </c>
      <c r="F763" s="7"/>
      <c r="G763" s="7"/>
      <c r="H763" s="4"/>
      <c r="I763" s="4" t="s">
        <v>52</v>
      </c>
      <c r="J763" s="4"/>
      <c r="K763" s="4"/>
      <c r="L763" s="4"/>
      <c r="M763" s="4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4"/>
      <c r="AR763" s="4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8"/>
      <c r="BK763" s="8"/>
      <c r="BL763" s="8"/>
      <c r="BM763" s="8"/>
    </row>
    <row r="764" spans="1:65" ht="14.25" customHeight="1" x14ac:dyDescent="0.45">
      <c r="A764" s="57"/>
      <c r="B764" s="7" t="s">
        <v>53</v>
      </c>
      <c r="C764" s="112">
        <f>(D758+E758)/2</f>
        <v>61</v>
      </c>
      <c r="D764" s="40">
        <f>C764</f>
        <v>61</v>
      </c>
      <c r="E764" s="40">
        <f>C764-1</f>
        <v>60</v>
      </c>
      <c r="F764" s="7"/>
      <c r="G764" s="7"/>
      <c r="H764" s="4"/>
      <c r="I764" s="4"/>
      <c r="J764" s="4"/>
      <c r="K764" s="4"/>
      <c r="L764" s="4"/>
      <c r="M764" s="4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4"/>
      <c r="AR764" s="4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8"/>
      <c r="BK764" s="8"/>
      <c r="BL764" s="8"/>
      <c r="BM764" s="8"/>
    </row>
    <row r="765" spans="1:65" ht="14.25" customHeight="1" x14ac:dyDescent="0.45">
      <c r="A765" s="57"/>
      <c r="B765" s="7"/>
      <c r="C765" s="7"/>
      <c r="D765" s="7"/>
      <c r="E765" s="7"/>
      <c r="F765" s="7"/>
      <c r="G765" s="7"/>
      <c r="H765" s="4"/>
      <c r="I765" s="4"/>
      <c r="J765" s="4"/>
      <c r="K765" s="4"/>
      <c r="L765" s="4"/>
      <c r="M765" s="4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4"/>
      <c r="AR765" s="4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8"/>
      <c r="BK765" s="8"/>
      <c r="BL765" s="8"/>
      <c r="BM765" s="8"/>
    </row>
    <row r="766" spans="1:65" ht="14.25" customHeight="1" x14ac:dyDescent="0.45">
      <c r="A766" s="57"/>
      <c r="B766" s="7"/>
      <c r="C766" s="7"/>
      <c r="D766" s="7"/>
      <c r="E766" s="7"/>
      <c r="F766" s="7"/>
      <c r="G766" s="7"/>
      <c r="H766" s="4"/>
      <c r="I766" s="4"/>
      <c r="J766" s="4"/>
      <c r="K766" s="4"/>
      <c r="L766" s="4"/>
      <c r="M766" s="4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4"/>
      <c r="AR766" s="4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8"/>
      <c r="BK766" s="8"/>
      <c r="BL766" s="8"/>
      <c r="BM766" s="8"/>
    </row>
    <row r="767" spans="1:65" ht="14.25" customHeight="1" x14ac:dyDescent="0.45">
      <c r="A767" s="57"/>
      <c r="B767" s="7"/>
      <c r="C767" s="7"/>
      <c r="D767" s="7"/>
      <c r="E767" s="7"/>
      <c r="F767" s="7"/>
      <c r="G767" s="7"/>
      <c r="H767" s="4"/>
      <c r="I767" s="4"/>
      <c r="J767" s="4"/>
      <c r="K767" s="4"/>
      <c r="L767" s="4"/>
      <c r="M767" s="4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4"/>
      <c r="AR767" s="4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8"/>
      <c r="BK767" s="8"/>
      <c r="BL767" s="8"/>
      <c r="BM767" s="8"/>
    </row>
    <row r="768" spans="1:65" ht="14.25" customHeight="1" x14ac:dyDescent="0.45">
      <c r="A768" s="57"/>
      <c r="B768" s="7"/>
      <c r="C768" s="7"/>
      <c r="D768" s="7"/>
      <c r="E768" s="7"/>
      <c r="F768" s="7"/>
      <c r="G768" s="7"/>
      <c r="H768" s="4"/>
      <c r="I768" s="4"/>
      <c r="J768" s="4"/>
      <c r="K768" s="4"/>
      <c r="L768" s="4"/>
      <c r="M768" s="4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4"/>
      <c r="AR768" s="4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8"/>
      <c r="BK768" s="8"/>
      <c r="BL768" s="8"/>
      <c r="BM768" s="8"/>
    </row>
    <row r="769" spans="1:65" ht="21" customHeight="1" x14ac:dyDescent="0.45">
      <c r="A769" s="57"/>
      <c r="B769" s="7"/>
      <c r="C769" s="7" t="s">
        <v>54</v>
      </c>
      <c r="D769" s="92">
        <v>76.73</v>
      </c>
      <c r="E769" s="7"/>
      <c r="F769" s="7"/>
      <c r="G769" s="7"/>
      <c r="H769" s="4"/>
      <c r="I769" s="4"/>
      <c r="J769" s="4"/>
      <c r="K769" s="4"/>
      <c r="L769" s="4"/>
      <c r="M769" s="4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4"/>
      <c r="AR769" s="4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8"/>
      <c r="BK769" s="8"/>
      <c r="BL769" s="8"/>
      <c r="BM769" s="8"/>
    </row>
    <row r="770" spans="1:65" ht="18.75" customHeight="1" x14ac:dyDescent="0.45">
      <c r="A770" s="57"/>
      <c r="B770" s="7"/>
      <c r="C770" s="7" t="s">
        <v>55</v>
      </c>
      <c r="D770" s="92">
        <v>59.43</v>
      </c>
      <c r="E770" s="7"/>
      <c r="F770" s="7"/>
      <c r="G770" s="7"/>
      <c r="H770" s="4"/>
      <c r="I770" s="4"/>
      <c r="J770" s="4"/>
      <c r="K770" s="4"/>
      <c r="L770" s="4"/>
      <c r="M770" s="4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4"/>
      <c r="AR770" s="4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8"/>
      <c r="BK770" s="8"/>
      <c r="BL770" s="8"/>
      <c r="BM770" s="8"/>
    </row>
    <row r="771" spans="1:65" ht="18.75" customHeight="1" x14ac:dyDescent="0.45">
      <c r="A771" s="57"/>
      <c r="B771" s="7"/>
      <c r="C771" s="7" t="s">
        <v>56</v>
      </c>
      <c r="D771" s="7">
        <f>((D769+D770)/2)-6.5</f>
        <v>61.58</v>
      </c>
      <c r="E771" s="7"/>
      <c r="F771" s="7"/>
      <c r="G771" s="7"/>
      <c r="H771" s="4"/>
      <c r="I771" s="4"/>
      <c r="J771" s="4"/>
      <c r="K771" s="4"/>
      <c r="L771" s="4"/>
      <c r="M771" s="4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4"/>
      <c r="AR771" s="4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8"/>
      <c r="BK771" s="8"/>
      <c r="BL771" s="8"/>
      <c r="BM771" s="8"/>
    </row>
    <row r="772" spans="1:65" ht="14.25" customHeight="1" x14ac:dyDescent="0.45">
      <c r="A772" s="57"/>
      <c r="B772" s="7"/>
      <c r="C772" s="7"/>
      <c r="D772" s="7"/>
      <c r="E772" s="7"/>
      <c r="F772" s="7"/>
      <c r="G772" s="7"/>
      <c r="H772" s="4"/>
      <c r="I772" s="4"/>
      <c r="J772" s="4"/>
      <c r="K772" s="4"/>
      <c r="L772" s="4"/>
      <c r="M772" s="4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4"/>
      <c r="AR772" s="4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8"/>
      <c r="BK772" s="8"/>
      <c r="BL772" s="8"/>
      <c r="BM772" s="8"/>
    </row>
    <row r="773" spans="1:65" ht="14.25" customHeight="1" x14ac:dyDescent="0.45">
      <c r="A773" s="57"/>
      <c r="B773" s="7"/>
      <c r="C773" s="7"/>
      <c r="D773" s="7"/>
      <c r="E773" s="7"/>
      <c r="F773" s="7"/>
      <c r="G773" s="7"/>
      <c r="H773" s="4"/>
      <c r="I773" s="4"/>
      <c r="J773" s="4"/>
      <c r="K773" s="4"/>
      <c r="L773" s="4"/>
      <c r="M773" s="4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4"/>
      <c r="AR773" s="4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8"/>
      <c r="BK773" s="8"/>
      <c r="BL773" s="8"/>
      <c r="BM773" s="8"/>
    </row>
    <row r="774" spans="1:65" ht="14.25" customHeight="1" x14ac:dyDescent="0.45">
      <c r="A774" s="57"/>
      <c r="B774" s="7"/>
      <c r="C774" s="7"/>
      <c r="D774" s="7"/>
      <c r="E774" s="7"/>
      <c r="F774" s="7"/>
      <c r="G774" s="7"/>
      <c r="H774" s="4"/>
      <c r="I774" s="4"/>
      <c r="J774" s="4"/>
      <c r="K774" s="4"/>
      <c r="L774" s="4"/>
      <c r="M774" s="4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4"/>
      <c r="AR774" s="4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8"/>
      <c r="BK774" s="8"/>
      <c r="BL774" s="8"/>
      <c r="BM774" s="8"/>
    </row>
    <row r="775" spans="1:65" ht="14.25" customHeight="1" x14ac:dyDescent="0.45">
      <c r="A775" s="57"/>
      <c r="B775" s="7"/>
      <c r="C775" s="7"/>
      <c r="D775" s="7"/>
      <c r="E775" s="7"/>
      <c r="F775" s="7"/>
      <c r="G775" s="7"/>
      <c r="H775" s="4"/>
      <c r="I775" s="4"/>
      <c r="J775" s="4"/>
      <c r="K775" s="4"/>
      <c r="L775" s="4"/>
      <c r="M775" s="4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4"/>
      <c r="AR775" s="4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8"/>
      <c r="BK775" s="8"/>
      <c r="BL775" s="8"/>
      <c r="BM775" s="8"/>
    </row>
    <row r="776" spans="1:65" ht="14.25" customHeight="1" x14ac:dyDescent="0.45">
      <c r="A776" s="57"/>
      <c r="B776" s="7"/>
      <c r="C776" s="7"/>
      <c r="D776" s="7"/>
      <c r="E776" s="7"/>
      <c r="F776" s="7"/>
      <c r="G776" s="7"/>
      <c r="H776" s="4"/>
      <c r="I776" s="4"/>
      <c r="J776" s="4"/>
      <c r="K776" s="4"/>
      <c r="L776" s="4"/>
      <c r="M776" s="4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 t="s">
        <v>57</v>
      </c>
      <c r="AF776" s="7" t="s">
        <v>58</v>
      </c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4"/>
      <c r="AR776" s="4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8"/>
      <c r="BK776" s="8"/>
      <c r="BL776" s="8"/>
      <c r="BM776" s="8"/>
    </row>
    <row r="777" spans="1:65" ht="14.25" customHeight="1" x14ac:dyDescent="0.45">
      <c r="A777" s="57"/>
      <c r="B777" s="7" t="s">
        <v>57</v>
      </c>
      <c r="C777" s="7" t="s">
        <v>58</v>
      </c>
      <c r="D777" s="7"/>
      <c r="E777" s="7"/>
      <c r="F777" s="7"/>
      <c r="G777" s="7"/>
      <c r="H777" s="4"/>
      <c r="I777" s="4"/>
      <c r="J777" s="4"/>
      <c r="K777" s="4"/>
      <c r="L777" s="4"/>
      <c r="M777" s="4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4"/>
      <c r="AR777" s="4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8"/>
      <c r="BK777" s="8"/>
      <c r="BL777" s="8"/>
      <c r="BM777" s="8"/>
    </row>
    <row r="778" spans="1:65" ht="14.25" customHeight="1" x14ac:dyDescent="0.45">
      <c r="A778" s="57"/>
      <c r="B778" s="7"/>
      <c r="C778" s="7"/>
      <c r="D778" s="7"/>
      <c r="E778" s="7"/>
      <c r="F778" s="7"/>
      <c r="G778" s="7"/>
      <c r="H778" s="4"/>
      <c r="I778" s="4"/>
      <c r="J778" s="4"/>
      <c r="K778" s="4"/>
      <c r="L778" s="4"/>
      <c r="M778" s="4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40">
        <f>33-((((AF733-3.11)-AF734))/2)</f>
        <v>34.3675</v>
      </c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4"/>
      <c r="AR778" s="4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8"/>
      <c r="BK778" s="8"/>
      <c r="BL778" s="8"/>
      <c r="BM778" s="8"/>
    </row>
    <row r="779" spans="1:65" ht="14.25" customHeight="1" x14ac:dyDescent="0.45">
      <c r="A779" s="57"/>
      <c r="B779" s="7"/>
      <c r="C779" s="40">
        <f>33+(AF733-3.11)-(AF734/2)</f>
        <v>49.405000000000001</v>
      </c>
      <c r="D779" s="7"/>
      <c r="E779" s="7"/>
      <c r="F779" s="7"/>
      <c r="G779" s="7"/>
      <c r="H779" s="4"/>
      <c r="I779" s="4"/>
      <c r="J779" s="4"/>
      <c r="K779" s="4"/>
      <c r="L779" s="4"/>
      <c r="M779" s="4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40">
        <f>AF733-3.11</f>
        <v>35.545000000000002</v>
      </c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4"/>
      <c r="AR779" s="4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8"/>
      <c r="BK779" s="8"/>
      <c r="BL779" s="8"/>
      <c r="BM779" s="8"/>
    </row>
    <row r="780" spans="1:65" ht="14.25" customHeight="1" x14ac:dyDescent="0.45">
      <c r="A780" s="57"/>
      <c r="B780" s="7"/>
      <c r="C780" s="7"/>
      <c r="D780" s="7"/>
      <c r="E780" s="7"/>
      <c r="F780" s="7"/>
      <c r="G780" s="7"/>
      <c r="H780" s="4"/>
      <c r="I780" s="4"/>
      <c r="J780" s="4"/>
      <c r="K780" s="4"/>
      <c r="L780" s="4"/>
      <c r="M780" s="4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40">
        <f>AF779-AF735</f>
        <v>-2.6700000000000017</v>
      </c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4"/>
      <c r="AR780" s="4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8"/>
      <c r="BK780" s="8"/>
      <c r="BL780" s="8"/>
      <c r="BM780" s="8"/>
    </row>
    <row r="781" spans="1:65" ht="14.25" customHeight="1" x14ac:dyDescent="0.45">
      <c r="A781" s="57"/>
      <c r="B781" s="7"/>
      <c r="C781" s="7"/>
      <c r="D781" s="7"/>
      <c r="E781" s="7"/>
      <c r="F781" s="7"/>
      <c r="G781" s="7"/>
      <c r="H781" s="4"/>
      <c r="I781" s="4"/>
      <c r="J781" s="4"/>
      <c r="K781" s="4"/>
      <c r="L781" s="4"/>
      <c r="M781" s="4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40">
        <f>AF780/2</f>
        <v>-1.3350000000000009</v>
      </c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4"/>
      <c r="AR781" s="4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8"/>
      <c r="BK781" s="8"/>
      <c r="BL781" s="8"/>
      <c r="BM781" s="8"/>
    </row>
    <row r="782" spans="1:65" ht="14.25" customHeight="1" x14ac:dyDescent="0.45">
      <c r="A782" s="57"/>
      <c r="B782" s="7"/>
      <c r="C782" s="7"/>
      <c r="D782" s="7"/>
      <c r="E782" s="7"/>
      <c r="F782" s="7"/>
      <c r="G782" s="7"/>
      <c r="H782" s="4"/>
      <c r="I782" s="4"/>
      <c r="J782" s="4"/>
      <c r="K782" s="4"/>
      <c r="L782" s="4"/>
      <c r="M782" s="4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40">
        <f>33-AF781</f>
        <v>34.335000000000001</v>
      </c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4"/>
      <c r="AR782" s="4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8"/>
      <c r="BK782" s="8"/>
      <c r="BL782" s="8"/>
      <c r="BM782" s="8"/>
    </row>
    <row r="783" spans="1:65" ht="14.25" customHeight="1" x14ac:dyDescent="0.45">
      <c r="A783" s="57"/>
      <c r="B783" s="7"/>
      <c r="C783" s="7"/>
      <c r="D783" s="7"/>
      <c r="E783" s="7"/>
      <c r="F783" s="7"/>
      <c r="G783" s="7"/>
      <c r="H783" s="4"/>
      <c r="I783" s="4"/>
      <c r="J783" s="4"/>
      <c r="K783" s="4"/>
      <c r="L783" s="4"/>
      <c r="M783" s="4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4"/>
      <c r="AR783" s="4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8"/>
      <c r="BK783" s="8"/>
      <c r="BL783" s="8"/>
      <c r="BM783" s="8"/>
    </row>
    <row r="784" spans="1:65" ht="14.25" customHeight="1" x14ac:dyDescent="0.45">
      <c r="A784" s="57"/>
      <c r="B784" s="7"/>
      <c r="C784" s="7"/>
      <c r="D784" s="7"/>
      <c r="E784" s="7"/>
      <c r="F784" s="7"/>
      <c r="G784" s="7"/>
      <c r="H784" s="4"/>
      <c r="I784" s="4"/>
      <c r="J784" s="4"/>
      <c r="K784" s="4"/>
      <c r="L784" s="4"/>
      <c r="M784" s="4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4"/>
      <c r="AR784" s="4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8"/>
      <c r="BK784" s="8"/>
      <c r="BL784" s="8"/>
      <c r="BM784" s="8"/>
    </row>
    <row r="785" spans="1:65" ht="14.25" customHeight="1" x14ac:dyDescent="0.45">
      <c r="A785" s="57"/>
      <c r="B785" s="7"/>
      <c r="C785" s="7"/>
      <c r="D785" s="7"/>
      <c r="E785" s="7"/>
      <c r="F785" s="7"/>
      <c r="G785" s="7"/>
      <c r="H785" s="4"/>
      <c r="I785" s="4"/>
      <c r="J785" s="4"/>
      <c r="K785" s="4"/>
      <c r="L785" s="4"/>
      <c r="M785" s="4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4"/>
      <c r="AR785" s="4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8"/>
      <c r="BK785" s="8"/>
      <c r="BL785" s="8"/>
      <c r="BM785" s="8"/>
    </row>
    <row r="786" spans="1:65" ht="14.25" customHeight="1" x14ac:dyDescent="0.45">
      <c r="A786" s="57"/>
      <c r="B786" s="7"/>
      <c r="C786" s="7"/>
      <c r="D786" s="7"/>
      <c r="E786" s="7"/>
      <c r="F786" s="7"/>
      <c r="G786" s="7"/>
      <c r="H786" s="4"/>
      <c r="I786" s="4"/>
      <c r="J786" s="4"/>
      <c r="K786" s="4"/>
      <c r="L786" s="4"/>
      <c r="M786" s="4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4"/>
      <c r="AR786" s="4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8"/>
      <c r="BK786" s="8"/>
      <c r="BL786" s="8"/>
      <c r="BM786" s="8"/>
    </row>
    <row r="787" spans="1:65" ht="14.25" customHeight="1" x14ac:dyDescent="0.45">
      <c r="A787" s="57"/>
      <c r="B787" s="7"/>
      <c r="C787" s="7"/>
      <c r="D787" s="7"/>
      <c r="E787" s="7"/>
      <c r="F787" s="7"/>
      <c r="G787" s="7"/>
      <c r="H787" s="4"/>
      <c r="I787" s="4"/>
      <c r="J787" s="4"/>
      <c r="K787" s="4"/>
      <c r="L787" s="4"/>
      <c r="M787" s="4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4"/>
      <c r="AR787" s="4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8"/>
      <c r="BK787" s="8"/>
      <c r="BL787" s="8"/>
      <c r="BM787" s="8"/>
    </row>
    <row r="788" spans="1:65" ht="14.25" customHeight="1" x14ac:dyDescent="0.45">
      <c r="A788" s="57"/>
      <c r="B788" s="7"/>
      <c r="C788" s="7"/>
      <c r="D788" s="7"/>
      <c r="E788" s="7"/>
      <c r="F788" s="7"/>
      <c r="G788" s="7"/>
      <c r="H788" s="4"/>
      <c r="I788" s="4"/>
      <c r="J788" s="4"/>
      <c r="K788" s="4"/>
      <c r="L788" s="4"/>
      <c r="M788" s="4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4"/>
      <c r="AR788" s="4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8"/>
      <c r="BK788" s="8"/>
      <c r="BL788" s="8"/>
      <c r="BM788" s="8"/>
    </row>
    <row r="789" spans="1:65" ht="14.25" customHeight="1" x14ac:dyDescent="0.45">
      <c r="A789" s="57"/>
      <c r="B789" s="7"/>
      <c r="C789" s="7"/>
      <c r="D789" s="7"/>
      <c r="E789" s="7"/>
      <c r="F789" s="7"/>
      <c r="G789" s="7"/>
      <c r="H789" s="4"/>
      <c r="I789" s="4"/>
      <c r="J789" s="4"/>
      <c r="K789" s="4"/>
      <c r="L789" s="4"/>
      <c r="M789" s="4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4"/>
      <c r="AR789" s="4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8"/>
      <c r="BK789" s="8"/>
      <c r="BL789" s="8"/>
      <c r="BM789" s="8"/>
    </row>
    <row r="790" spans="1:65" ht="14.25" customHeight="1" x14ac:dyDescent="0.45">
      <c r="A790" s="57"/>
      <c r="B790" s="7"/>
      <c r="C790" s="7"/>
      <c r="D790" s="7"/>
      <c r="E790" s="7"/>
      <c r="F790" s="7"/>
      <c r="G790" s="7"/>
      <c r="H790" s="4"/>
      <c r="I790" s="4"/>
      <c r="J790" s="4"/>
      <c r="K790" s="4"/>
      <c r="L790" s="4"/>
      <c r="M790" s="4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4"/>
      <c r="AR790" s="4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8"/>
      <c r="BK790" s="8"/>
      <c r="BL790" s="8"/>
      <c r="BM790" s="8"/>
    </row>
    <row r="791" spans="1:65" ht="14.25" customHeight="1" x14ac:dyDescent="0.45">
      <c r="A791" s="57"/>
      <c r="B791" s="7"/>
      <c r="C791" s="7"/>
      <c r="D791" s="7"/>
      <c r="E791" s="7"/>
      <c r="F791" s="7"/>
      <c r="G791" s="7"/>
      <c r="H791" s="4"/>
      <c r="I791" s="4"/>
      <c r="J791" s="4"/>
      <c r="K791" s="4"/>
      <c r="L791" s="4"/>
      <c r="M791" s="4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4"/>
      <c r="AR791" s="4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8"/>
      <c r="BK791" s="8"/>
      <c r="BL791" s="8"/>
      <c r="BM791" s="8"/>
    </row>
    <row r="792" spans="1:65" ht="14.25" customHeight="1" x14ac:dyDescent="0.45">
      <c r="A792" s="57"/>
      <c r="B792" s="7"/>
      <c r="C792" s="7"/>
      <c r="D792" s="7"/>
      <c r="E792" s="7"/>
      <c r="F792" s="7"/>
      <c r="G792" s="7"/>
      <c r="H792" s="4"/>
      <c r="I792" s="4"/>
      <c r="J792" s="4"/>
      <c r="K792" s="4"/>
      <c r="L792" s="4"/>
      <c r="M792" s="4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4"/>
      <c r="AR792" s="4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8"/>
      <c r="BK792" s="8"/>
      <c r="BL792" s="8"/>
      <c r="BM792" s="8"/>
    </row>
    <row r="793" spans="1:65" ht="14.25" customHeight="1" x14ac:dyDescent="0.45">
      <c r="A793" s="57"/>
      <c r="B793" s="7"/>
      <c r="C793" s="7"/>
      <c r="D793" s="7"/>
      <c r="E793" s="7"/>
      <c r="F793" s="7"/>
      <c r="G793" s="7"/>
      <c r="H793" s="4"/>
      <c r="I793" s="4"/>
      <c r="J793" s="4"/>
      <c r="K793" s="4"/>
      <c r="L793" s="4"/>
      <c r="M793" s="4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4"/>
      <c r="AR793" s="4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8"/>
      <c r="BK793" s="8"/>
      <c r="BL793" s="8"/>
      <c r="BM793" s="8"/>
    </row>
    <row r="794" spans="1:65" ht="14.25" customHeight="1" x14ac:dyDescent="0.45">
      <c r="A794" s="57"/>
      <c r="B794" s="7"/>
      <c r="C794" s="7"/>
      <c r="D794" s="7"/>
      <c r="E794" s="7"/>
      <c r="F794" s="7"/>
      <c r="G794" s="7"/>
      <c r="H794" s="4"/>
      <c r="I794" s="4"/>
      <c r="J794" s="4"/>
      <c r="K794" s="4"/>
      <c r="L794" s="4"/>
      <c r="M794" s="4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4"/>
      <c r="AR794" s="4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8"/>
      <c r="BK794" s="8"/>
      <c r="BL794" s="8"/>
      <c r="BM794" s="8"/>
    </row>
    <row r="795" spans="1:65" ht="14.25" customHeight="1" x14ac:dyDescent="0.45">
      <c r="A795" s="57"/>
      <c r="B795" s="7"/>
      <c r="C795" s="7"/>
      <c r="D795" s="7"/>
      <c r="E795" s="7"/>
      <c r="F795" s="7"/>
      <c r="G795" s="7"/>
      <c r="H795" s="4"/>
      <c r="I795" s="4"/>
      <c r="J795" s="4"/>
      <c r="K795" s="4"/>
      <c r="L795" s="4"/>
      <c r="M795" s="4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4"/>
      <c r="AR795" s="4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8"/>
      <c r="BK795" s="8"/>
      <c r="BL795" s="8"/>
      <c r="BM795" s="8"/>
    </row>
    <row r="796" spans="1:65" ht="14.25" customHeight="1" x14ac:dyDescent="0.45">
      <c r="A796" s="57"/>
      <c r="B796" s="7"/>
      <c r="C796" s="7"/>
      <c r="D796" s="7"/>
      <c r="E796" s="7"/>
      <c r="F796" s="7"/>
      <c r="G796" s="7"/>
      <c r="H796" s="4"/>
      <c r="I796" s="4"/>
      <c r="J796" s="4"/>
      <c r="K796" s="4"/>
      <c r="L796" s="4"/>
      <c r="M796" s="4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4"/>
      <c r="AR796" s="4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8"/>
      <c r="BK796" s="8"/>
      <c r="BL796" s="8"/>
      <c r="BM796" s="8"/>
    </row>
    <row r="797" spans="1:65" ht="14.25" customHeight="1" x14ac:dyDescent="0.45">
      <c r="A797" s="57"/>
      <c r="B797" s="7"/>
      <c r="C797" s="7"/>
      <c r="D797" s="7"/>
      <c r="E797" s="7"/>
      <c r="F797" s="7"/>
      <c r="G797" s="7"/>
      <c r="H797" s="4"/>
      <c r="I797" s="4"/>
      <c r="J797" s="4"/>
      <c r="K797" s="4"/>
      <c r="L797" s="4"/>
      <c r="M797" s="4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4"/>
      <c r="AR797" s="4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8"/>
      <c r="BK797" s="8"/>
      <c r="BL797" s="8"/>
      <c r="BM797" s="8"/>
    </row>
    <row r="798" spans="1:65" ht="14.25" customHeight="1" x14ac:dyDescent="0.45">
      <c r="A798" s="57"/>
      <c r="B798" s="7"/>
      <c r="C798" s="7"/>
      <c r="D798" s="7"/>
      <c r="E798" s="7"/>
      <c r="F798" s="7"/>
      <c r="G798" s="7"/>
      <c r="H798" s="4"/>
      <c r="I798" s="4"/>
      <c r="J798" s="4"/>
      <c r="K798" s="4"/>
      <c r="L798" s="4"/>
      <c r="M798" s="4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4"/>
      <c r="AR798" s="4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8"/>
      <c r="BK798" s="8"/>
      <c r="BL798" s="8"/>
      <c r="BM798" s="8"/>
    </row>
    <row r="799" spans="1:65" ht="14.25" customHeight="1" x14ac:dyDescent="0.45">
      <c r="A799" s="57"/>
      <c r="B799" s="7"/>
      <c r="C799" s="7"/>
      <c r="D799" s="7"/>
      <c r="E799" s="7"/>
      <c r="F799" s="7"/>
      <c r="G799" s="7"/>
      <c r="H799" s="4"/>
      <c r="I799" s="4"/>
      <c r="J799" s="4"/>
      <c r="K799" s="4"/>
      <c r="L799" s="4"/>
      <c r="M799" s="4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4"/>
      <c r="AR799" s="4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8"/>
      <c r="BK799" s="8"/>
      <c r="BL799" s="8"/>
      <c r="BM799" s="8"/>
    </row>
    <row r="800" spans="1:65" ht="14.25" customHeight="1" x14ac:dyDescent="0.45">
      <c r="A800" s="57"/>
      <c r="B800" s="7"/>
      <c r="C800" s="7"/>
      <c r="D800" s="7"/>
      <c r="E800" s="7"/>
      <c r="F800" s="7"/>
      <c r="G800" s="7"/>
      <c r="H800" s="4"/>
      <c r="I800" s="4"/>
      <c r="J800" s="4"/>
      <c r="K800" s="4"/>
      <c r="L800" s="4"/>
      <c r="M800" s="4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4"/>
      <c r="AR800" s="4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8"/>
      <c r="BK800" s="8"/>
      <c r="BL800" s="8"/>
      <c r="BM800" s="8"/>
    </row>
    <row r="801" spans="1:65" ht="14.25" customHeight="1" x14ac:dyDescent="0.45">
      <c r="A801" s="57"/>
      <c r="B801" s="7"/>
      <c r="C801" s="7"/>
      <c r="D801" s="7"/>
      <c r="E801" s="7"/>
      <c r="F801" s="7"/>
      <c r="G801" s="7"/>
      <c r="H801" s="4"/>
      <c r="I801" s="4"/>
      <c r="J801" s="4"/>
      <c r="K801" s="4"/>
      <c r="L801" s="4"/>
      <c r="M801" s="4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4"/>
      <c r="AR801" s="4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8"/>
      <c r="BK801" s="8"/>
      <c r="BL801" s="8"/>
      <c r="BM801" s="8"/>
    </row>
    <row r="802" spans="1:65" ht="14.25" customHeight="1" x14ac:dyDescent="0.45">
      <c r="A802" s="57"/>
      <c r="B802" s="7"/>
      <c r="C802" s="7"/>
      <c r="D802" s="7"/>
      <c r="E802" s="7"/>
      <c r="F802" s="7"/>
      <c r="G802" s="7"/>
      <c r="H802" s="4"/>
      <c r="I802" s="4"/>
      <c r="J802" s="4"/>
      <c r="K802" s="4"/>
      <c r="L802" s="4"/>
      <c r="M802" s="4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4"/>
      <c r="AR802" s="4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8"/>
      <c r="BK802" s="8"/>
      <c r="BL802" s="8"/>
      <c r="BM802" s="8"/>
    </row>
    <row r="803" spans="1:65" ht="14.25" customHeight="1" x14ac:dyDescent="0.45">
      <c r="A803" s="57"/>
      <c r="B803" s="7"/>
      <c r="C803" s="7"/>
      <c r="D803" s="7"/>
      <c r="E803" s="7"/>
      <c r="F803" s="7"/>
      <c r="G803" s="7"/>
      <c r="H803" s="4"/>
      <c r="I803" s="4"/>
      <c r="J803" s="4"/>
      <c r="K803" s="4"/>
      <c r="L803" s="4"/>
      <c r="M803" s="4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4"/>
      <c r="AR803" s="4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8"/>
      <c r="BK803" s="8"/>
      <c r="BL803" s="8"/>
      <c r="BM803" s="8"/>
    </row>
    <row r="804" spans="1:65" ht="14.25" customHeight="1" x14ac:dyDescent="0.45">
      <c r="A804" s="57"/>
      <c r="B804" s="7"/>
      <c r="C804" s="7"/>
      <c r="D804" s="7"/>
      <c r="E804" s="7"/>
      <c r="F804" s="7"/>
      <c r="G804" s="7"/>
      <c r="H804" s="4"/>
      <c r="I804" s="4"/>
      <c r="J804" s="4"/>
      <c r="K804" s="4"/>
      <c r="L804" s="4"/>
      <c r="M804" s="4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4"/>
      <c r="AR804" s="4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8"/>
      <c r="BK804" s="8"/>
      <c r="BL804" s="8"/>
      <c r="BM804" s="8"/>
    </row>
    <row r="805" spans="1:65" ht="14.25" customHeight="1" x14ac:dyDescent="0.45">
      <c r="A805" s="57"/>
      <c r="B805" s="7"/>
      <c r="C805" s="7"/>
      <c r="D805" s="7"/>
      <c r="E805" s="7"/>
      <c r="F805" s="7"/>
      <c r="G805" s="7"/>
      <c r="H805" s="4"/>
      <c r="I805" s="4"/>
      <c r="J805" s="4"/>
      <c r="K805" s="4"/>
      <c r="L805" s="4"/>
      <c r="M805" s="4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4"/>
      <c r="AR805" s="4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8"/>
      <c r="BK805" s="8"/>
      <c r="BL805" s="8"/>
      <c r="BM805" s="8"/>
    </row>
    <row r="806" spans="1:65" ht="14.25" customHeight="1" x14ac:dyDescent="0.45">
      <c r="A806" s="57"/>
      <c r="B806" s="7"/>
      <c r="C806" s="7"/>
      <c r="D806" s="7"/>
      <c r="E806" s="7"/>
      <c r="F806" s="7"/>
      <c r="G806" s="7"/>
      <c r="H806" s="4"/>
      <c r="I806" s="4"/>
      <c r="J806" s="4"/>
      <c r="K806" s="4"/>
      <c r="L806" s="4"/>
      <c r="M806" s="4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4"/>
      <c r="AR806" s="4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8"/>
      <c r="BK806" s="8"/>
      <c r="BL806" s="8"/>
      <c r="BM806" s="8"/>
    </row>
    <row r="807" spans="1:65" ht="14.25" customHeight="1" x14ac:dyDescent="0.45">
      <c r="A807" s="57"/>
      <c r="B807" s="7"/>
      <c r="C807" s="7"/>
      <c r="D807" s="7"/>
      <c r="E807" s="7"/>
      <c r="F807" s="7"/>
      <c r="G807" s="7"/>
      <c r="H807" s="4"/>
      <c r="I807" s="4"/>
      <c r="J807" s="4"/>
      <c r="K807" s="4"/>
      <c r="L807" s="4"/>
      <c r="M807" s="4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4"/>
      <c r="AR807" s="4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8"/>
      <c r="BK807" s="8"/>
      <c r="BL807" s="8"/>
      <c r="BM807" s="8"/>
    </row>
    <row r="808" spans="1:65" ht="14.25" customHeight="1" x14ac:dyDescent="0.45">
      <c r="A808" s="57"/>
      <c r="B808" s="7"/>
      <c r="C808" s="7"/>
      <c r="D808" s="7"/>
      <c r="E808" s="7"/>
      <c r="F808" s="7"/>
      <c r="G808" s="7"/>
      <c r="H808" s="4"/>
      <c r="I808" s="4"/>
      <c r="J808" s="4"/>
      <c r="K808" s="4"/>
      <c r="L808" s="4"/>
      <c r="M808" s="4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4"/>
      <c r="AR808" s="4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8"/>
      <c r="BK808" s="8"/>
      <c r="BL808" s="8"/>
      <c r="BM808" s="8"/>
    </row>
    <row r="809" spans="1:65" ht="14.25" customHeight="1" x14ac:dyDescent="0.45">
      <c r="A809" s="57"/>
      <c r="B809" s="7"/>
      <c r="C809" s="7"/>
      <c r="D809" s="7"/>
      <c r="E809" s="7"/>
      <c r="F809" s="7"/>
      <c r="G809" s="7"/>
      <c r="H809" s="4"/>
      <c r="I809" s="4"/>
      <c r="J809" s="4"/>
      <c r="K809" s="4"/>
      <c r="L809" s="4"/>
      <c r="M809" s="4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4"/>
      <c r="AR809" s="4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8"/>
      <c r="BK809" s="8"/>
      <c r="BL809" s="8"/>
      <c r="BM809" s="8"/>
    </row>
    <row r="810" spans="1:65" ht="14.25" customHeight="1" x14ac:dyDescent="0.45">
      <c r="A810" s="57"/>
      <c r="B810" s="7"/>
      <c r="C810" s="7"/>
      <c r="D810" s="7"/>
      <c r="E810" s="7"/>
      <c r="F810" s="7"/>
      <c r="G810" s="7"/>
      <c r="H810" s="4"/>
      <c r="I810" s="4"/>
      <c r="J810" s="4"/>
      <c r="K810" s="4"/>
      <c r="L810" s="4"/>
      <c r="M810" s="4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4"/>
      <c r="AR810" s="4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8"/>
      <c r="BK810" s="8"/>
      <c r="BL810" s="8"/>
      <c r="BM810" s="8"/>
    </row>
    <row r="811" spans="1:65" ht="14.25" customHeight="1" x14ac:dyDescent="0.45">
      <c r="A811" s="57"/>
      <c r="B811" s="7"/>
      <c r="C811" s="7"/>
      <c r="D811" s="7"/>
      <c r="E811" s="7"/>
      <c r="F811" s="7"/>
      <c r="G811" s="7"/>
      <c r="H811" s="4"/>
      <c r="I811" s="4"/>
      <c r="J811" s="4"/>
      <c r="K811" s="4"/>
      <c r="L811" s="4"/>
      <c r="M811" s="4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4"/>
      <c r="AR811" s="4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8"/>
      <c r="BK811" s="8"/>
      <c r="BL811" s="8"/>
      <c r="BM811" s="8"/>
    </row>
    <row r="812" spans="1:65" ht="14.25" customHeight="1" x14ac:dyDescent="0.45">
      <c r="A812" s="57"/>
      <c r="B812" s="7"/>
      <c r="C812" s="7"/>
      <c r="D812" s="7"/>
      <c r="E812" s="7"/>
      <c r="F812" s="7"/>
      <c r="G812" s="7"/>
      <c r="H812" s="4"/>
      <c r="I812" s="4"/>
      <c r="J812" s="4"/>
      <c r="K812" s="4"/>
      <c r="L812" s="4"/>
      <c r="M812" s="4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4"/>
      <c r="AR812" s="4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8"/>
      <c r="BK812" s="8"/>
      <c r="BL812" s="8"/>
      <c r="BM812" s="8"/>
    </row>
    <row r="813" spans="1:65" ht="14.25" customHeight="1" x14ac:dyDescent="0.45">
      <c r="A813" s="57"/>
      <c r="B813" s="7"/>
      <c r="C813" s="7"/>
      <c r="D813" s="7"/>
      <c r="E813" s="7"/>
      <c r="F813" s="7"/>
      <c r="G813" s="7"/>
      <c r="H813" s="4"/>
      <c r="I813" s="4"/>
      <c r="J813" s="4"/>
      <c r="K813" s="4"/>
      <c r="L813" s="4"/>
      <c r="M813" s="4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4"/>
      <c r="AR813" s="4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8"/>
      <c r="BK813" s="8"/>
      <c r="BL813" s="8"/>
      <c r="BM813" s="8"/>
    </row>
    <row r="814" spans="1:65" ht="14.25" customHeight="1" x14ac:dyDescent="0.45">
      <c r="A814" s="57"/>
      <c r="B814" s="7"/>
      <c r="C814" s="7"/>
      <c r="D814" s="7"/>
      <c r="E814" s="7"/>
      <c r="F814" s="7"/>
      <c r="G814" s="7"/>
      <c r="H814" s="4"/>
      <c r="I814" s="4"/>
      <c r="J814" s="4"/>
      <c r="K814" s="4"/>
      <c r="L814" s="4"/>
      <c r="M814" s="4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4"/>
      <c r="AR814" s="4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8"/>
      <c r="BK814" s="8"/>
      <c r="BL814" s="8"/>
      <c r="BM814" s="8"/>
    </row>
    <row r="815" spans="1:65" ht="14.25" customHeight="1" x14ac:dyDescent="0.45">
      <c r="A815" s="57"/>
      <c r="B815" s="7"/>
      <c r="C815" s="7"/>
      <c r="D815" s="7"/>
      <c r="E815" s="7"/>
      <c r="F815" s="7"/>
      <c r="G815" s="7"/>
      <c r="H815" s="4"/>
      <c r="I815" s="4"/>
      <c r="J815" s="4"/>
      <c r="K815" s="4"/>
      <c r="L815" s="4"/>
      <c r="M815" s="4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4"/>
      <c r="AR815" s="4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8"/>
      <c r="BK815" s="8"/>
      <c r="BL815" s="8"/>
      <c r="BM815" s="8"/>
    </row>
    <row r="816" spans="1:65" ht="14.25" customHeight="1" x14ac:dyDescent="0.45">
      <c r="A816" s="57"/>
      <c r="B816" s="7"/>
      <c r="C816" s="7"/>
      <c r="D816" s="7"/>
      <c r="E816" s="7"/>
      <c r="F816" s="7"/>
      <c r="G816" s="7"/>
      <c r="H816" s="4"/>
      <c r="I816" s="4"/>
      <c r="J816" s="4"/>
      <c r="K816" s="4"/>
      <c r="L816" s="4"/>
      <c r="M816" s="4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4"/>
      <c r="AR816" s="4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8"/>
      <c r="BK816" s="8"/>
      <c r="BL816" s="8"/>
      <c r="BM816" s="8"/>
    </row>
    <row r="817" spans="1:65" ht="14.25" customHeight="1" x14ac:dyDescent="0.45">
      <c r="A817" s="57"/>
      <c r="B817" s="7"/>
      <c r="C817" s="7"/>
      <c r="D817" s="7"/>
      <c r="E817" s="7"/>
      <c r="F817" s="7"/>
      <c r="G817" s="7"/>
      <c r="H817" s="4"/>
      <c r="I817" s="4"/>
      <c r="J817" s="4"/>
      <c r="K817" s="4"/>
      <c r="L817" s="4"/>
      <c r="M817" s="4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4"/>
      <c r="AR817" s="4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8"/>
      <c r="BK817" s="8"/>
      <c r="BL817" s="8"/>
      <c r="BM817" s="8"/>
    </row>
    <row r="818" spans="1:65" ht="14.25" customHeight="1" x14ac:dyDescent="0.45">
      <c r="A818" s="57"/>
      <c r="B818" s="7"/>
      <c r="C818" s="7"/>
      <c r="D818" s="7"/>
      <c r="E818" s="7"/>
      <c r="F818" s="7"/>
      <c r="G818" s="7"/>
      <c r="H818" s="4"/>
      <c r="I818" s="4"/>
      <c r="J818" s="4"/>
      <c r="K818" s="4"/>
      <c r="L818" s="4"/>
      <c r="M818" s="4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4"/>
      <c r="AR818" s="4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8"/>
      <c r="BK818" s="8"/>
      <c r="BL818" s="8"/>
      <c r="BM818" s="8"/>
    </row>
    <row r="819" spans="1:65" ht="14.25" customHeight="1" x14ac:dyDescent="0.45">
      <c r="A819" s="57"/>
      <c r="B819" s="7"/>
      <c r="C819" s="7"/>
      <c r="D819" s="7"/>
      <c r="E819" s="7"/>
      <c r="F819" s="7"/>
      <c r="G819" s="7"/>
      <c r="H819" s="4"/>
      <c r="I819" s="4"/>
      <c r="J819" s="4"/>
      <c r="K819" s="4"/>
      <c r="L819" s="4"/>
      <c r="M819" s="4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4"/>
      <c r="AR819" s="4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8"/>
      <c r="BK819" s="8"/>
      <c r="BL819" s="8"/>
      <c r="BM819" s="8"/>
    </row>
    <row r="820" spans="1:65" ht="14.25" customHeight="1" x14ac:dyDescent="0.45">
      <c r="A820" s="57"/>
      <c r="B820" s="7"/>
      <c r="C820" s="7"/>
      <c r="D820" s="7"/>
      <c r="E820" s="7"/>
      <c r="F820" s="7"/>
      <c r="G820" s="7"/>
      <c r="H820" s="4"/>
      <c r="I820" s="4"/>
      <c r="J820" s="4"/>
      <c r="K820" s="4"/>
      <c r="L820" s="4"/>
      <c r="M820" s="4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4"/>
      <c r="AR820" s="4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8"/>
      <c r="BK820" s="8"/>
      <c r="BL820" s="8"/>
      <c r="BM820" s="8"/>
    </row>
    <row r="821" spans="1:65" ht="14.25" customHeight="1" x14ac:dyDescent="0.45">
      <c r="A821" s="57"/>
      <c r="B821" s="7"/>
      <c r="C821" s="7"/>
      <c r="D821" s="7"/>
      <c r="E821" s="7"/>
      <c r="F821" s="7"/>
      <c r="G821" s="7"/>
      <c r="H821" s="4"/>
      <c r="I821" s="4"/>
      <c r="J821" s="4"/>
      <c r="K821" s="4"/>
      <c r="L821" s="4"/>
      <c r="M821" s="4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4"/>
      <c r="AR821" s="4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8"/>
      <c r="BK821" s="8"/>
      <c r="BL821" s="8"/>
      <c r="BM821" s="8"/>
    </row>
    <row r="822" spans="1:65" ht="14.25" customHeight="1" x14ac:dyDescent="0.45">
      <c r="A822" s="57"/>
      <c r="B822" s="7"/>
      <c r="C822" s="7"/>
      <c r="D822" s="7"/>
      <c r="E822" s="7"/>
      <c r="F822" s="7"/>
      <c r="G822" s="7"/>
      <c r="H822" s="4"/>
      <c r="I822" s="4"/>
      <c r="J822" s="4"/>
      <c r="K822" s="4"/>
      <c r="L822" s="4"/>
      <c r="M822" s="4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4"/>
      <c r="AR822" s="4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8"/>
      <c r="BK822" s="8"/>
      <c r="BL822" s="8"/>
      <c r="BM822" s="8"/>
    </row>
    <row r="823" spans="1:65" ht="14.25" customHeight="1" x14ac:dyDescent="0.45">
      <c r="A823" s="57"/>
      <c r="B823" s="7"/>
      <c r="C823" s="7"/>
      <c r="D823" s="7"/>
      <c r="E823" s="7"/>
      <c r="F823" s="7"/>
      <c r="G823" s="7"/>
      <c r="H823" s="4"/>
      <c r="I823" s="4"/>
      <c r="J823" s="4"/>
      <c r="K823" s="4"/>
      <c r="L823" s="4"/>
      <c r="M823" s="4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4"/>
      <c r="AR823" s="4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8"/>
      <c r="BK823" s="8"/>
      <c r="BL823" s="8"/>
      <c r="BM823" s="8"/>
    </row>
    <row r="824" spans="1:65" ht="14.25" customHeight="1" x14ac:dyDescent="0.45">
      <c r="A824" s="57"/>
      <c r="B824" s="7"/>
      <c r="C824" s="7"/>
      <c r="D824" s="7"/>
      <c r="E824" s="7"/>
      <c r="F824" s="7"/>
      <c r="G824" s="7"/>
      <c r="H824" s="4"/>
      <c r="I824" s="4"/>
      <c r="J824" s="4"/>
      <c r="K824" s="4"/>
      <c r="L824" s="4"/>
      <c r="M824" s="4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4"/>
      <c r="AR824" s="4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8"/>
      <c r="BK824" s="8"/>
      <c r="BL824" s="8"/>
      <c r="BM824" s="8"/>
    </row>
    <row r="825" spans="1:65" ht="14.25" customHeight="1" x14ac:dyDescent="0.45">
      <c r="A825" s="57"/>
      <c r="B825" s="7"/>
      <c r="C825" s="7"/>
      <c r="D825" s="7"/>
      <c r="E825" s="7"/>
      <c r="F825" s="7"/>
      <c r="G825" s="7"/>
      <c r="H825" s="4"/>
      <c r="I825" s="4"/>
      <c r="J825" s="4"/>
      <c r="K825" s="4"/>
      <c r="L825" s="4"/>
      <c r="M825" s="4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4"/>
      <c r="AR825" s="4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8"/>
      <c r="BK825" s="8"/>
      <c r="BL825" s="8"/>
      <c r="BM825" s="8"/>
    </row>
    <row r="826" spans="1:65" ht="14.25" customHeight="1" x14ac:dyDescent="0.45">
      <c r="A826" s="57"/>
      <c r="B826" s="7"/>
      <c r="C826" s="7"/>
      <c r="D826" s="7"/>
      <c r="E826" s="7"/>
      <c r="F826" s="7"/>
      <c r="G826" s="7"/>
      <c r="H826" s="4"/>
      <c r="I826" s="4"/>
      <c r="J826" s="4"/>
      <c r="K826" s="4"/>
      <c r="L826" s="4"/>
      <c r="M826" s="4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4"/>
      <c r="AR826" s="4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8"/>
      <c r="BK826" s="8"/>
      <c r="BL826" s="8"/>
      <c r="BM826" s="8"/>
    </row>
    <row r="827" spans="1:65" ht="14.25" customHeight="1" x14ac:dyDescent="0.45">
      <c r="A827" s="57"/>
      <c r="B827" s="7"/>
      <c r="C827" s="7"/>
      <c r="D827" s="7"/>
      <c r="E827" s="7"/>
      <c r="F827" s="7"/>
      <c r="G827" s="7"/>
      <c r="H827" s="4"/>
      <c r="I827" s="4"/>
      <c r="J827" s="4"/>
      <c r="K827" s="4"/>
      <c r="L827" s="4"/>
      <c r="M827" s="4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4"/>
      <c r="AR827" s="4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8"/>
      <c r="BK827" s="8"/>
      <c r="BL827" s="8"/>
      <c r="BM827" s="8"/>
    </row>
    <row r="828" spans="1:65" ht="14.25" customHeight="1" x14ac:dyDescent="0.45">
      <c r="A828" s="57"/>
      <c r="B828" s="7"/>
      <c r="C828" s="7"/>
      <c r="D828" s="7"/>
      <c r="E828" s="7"/>
      <c r="F828" s="7"/>
      <c r="G828" s="7"/>
      <c r="H828" s="4"/>
      <c r="I828" s="4"/>
      <c r="J828" s="4"/>
      <c r="K828" s="4"/>
      <c r="L828" s="4"/>
      <c r="M828" s="4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4"/>
      <c r="AR828" s="4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8"/>
      <c r="BK828" s="8"/>
      <c r="BL828" s="8"/>
      <c r="BM828" s="8"/>
    </row>
    <row r="829" spans="1:65" ht="14.25" customHeight="1" x14ac:dyDescent="0.45">
      <c r="A829" s="57"/>
      <c r="B829" s="7"/>
      <c r="C829" s="7"/>
      <c r="D829" s="7"/>
      <c r="E829" s="7"/>
      <c r="F829" s="7"/>
      <c r="G829" s="7"/>
      <c r="H829" s="4"/>
      <c r="I829" s="4"/>
      <c r="J829" s="4"/>
      <c r="K829" s="4"/>
      <c r="L829" s="4"/>
      <c r="M829" s="4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4"/>
      <c r="AR829" s="4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8"/>
      <c r="BK829" s="8"/>
      <c r="BL829" s="8"/>
      <c r="BM829" s="8"/>
    </row>
    <row r="830" spans="1:65" ht="14.25" customHeight="1" x14ac:dyDescent="0.45">
      <c r="A830" s="57"/>
      <c r="B830" s="7"/>
      <c r="C830" s="7"/>
      <c r="D830" s="7"/>
      <c r="E830" s="7"/>
      <c r="F830" s="7"/>
      <c r="G830" s="7"/>
      <c r="H830" s="4"/>
      <c r="I830" s="4"/>
      <c r="J830" s="4"/>
      <c r="K830" s="4"/>
      <c r="L830" s="4"/>
      <c r="M830" s="4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4"/>
      <c r="AR830" s="4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8"/>
      <c r="BK830" s="8"/>
      <c r="BL830" s="8"/>
      <c r="BM830" s="8"/>
    </row>
    <row r="831" spans="1:65" ht="14.25" customHeight="1" x14ac:dyDescent="0.45">
      <c r="A831" s="57"/>
      <c r="B831" s="7"/>
      <c r="C831" s="7"/>
      <c r="D831" s="7"/>
      <c r="E831" s="7"/>
      <c r="F831" s="7"/>
      <c r="G831" s="7"/>
      <c r="H831" s="4"/>
      <c r="I831" s="4"/>
      <c r="J831" s="4"/>
      <c r="K831" s="4"/>
      <c r="L831" s="4"/>
      <c r="M831" s="4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4"/>
      <c r="AR831" s="4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8"/>
      <c r="BK831" s="8"/>
      <c r="BL831" s="8"/>
      <c r="BM831" s="8"/>
    </row>
    <row r="832" spans="1:65" ht="14.25" customHeight="1" x14ac:dyDescent="0.45">
      <c r="A832" s="57"/>
      <c r="B832" s="7"/>
      <c r="C832" s="7"/>
      <c r="D832" s="7"/>
      <c r="E832" s="7"/>
      <c r="F832" s="7"/>
      <c r="G832" s="7"/>
      <c r="H832" s="4"/>
      <c r="I832" s="4"/>
      <c r="J832" s="4"/>
      <c r="K832" s="4"/>
      <c r="L832" s="4"/>
      <c r="M832" s="4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4"/>
      <c r="AR832" s="4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8"/>
      <c r="BK832" s="8"/>
      <c r="BL832" s="8"/>
      <c r="BM832" s="8"/>
    </row>
    <row r="833" spans="1:65" ht="14.25" customHeight="1" x14ac:dyDescent="0.45">
      <c r="A833" s="57"/>
      <c r="B833" s="7"/>
      <c r="C833" s="7"/>
      <c r="D833" s="7"/>
      <c r="E833" s="7"/>
      <c r="F833" s="7"/>
      <c r="G833" s="7"/>
      <c r="H833" s="4"/>
      <c r="I833" s="4"/>
      <c r="J833" s="4"/>
      <c r="K833" s="4"/>
      <c r="L833" s="4"/>
      <c r="M833" s="4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4"/>
      <c r="AR833" s="4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8"/>
      <c r="BK833" s="8"/>
      <c r="BL833" s="8"/>
      <c r="BM833" s="8"/>
    </row>
    <row r="834" spans="1:65" ht="14.25" customHeight="1" x14ac:dyDescent="0.45">
      <c r="A834" s="57"/>
      <c r="B834" s="7"/>
      <c r="C834" s="7"/>
      <c r="D834" s="7"/>
      <c r="E834" s="7"/>
      <c r="F834" s="7"/>
      <c r="G834" s="7"/>
      <c r="H834" s="4"/>
      <c r="I834" s="4"/>
      <c r="J834" s="4"/>
      <c r="K834" s="4"/>
      <c r="L834" s="4"/>
      <c r="M834" s="4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4"/>
      <c r="AR834" s="4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8"/>
      <c r="BK834" s="8"/>
      <c r="BL834" s="8"/>
      <c r="BM834" s="8"/>
    </row>
    <row r="835" spans="1:65" ht="14.25" customHeight="1" x14ac:dyDescent="0.45">
      <c r="A835" s="57"/>
      <c r="B835" s="7"/>
      <c r="C835" s="7"/>
      <c r="D835" s="7"/>
      <c r="E835" s="7"/>
      <c r="F835" s="7"/>
      <c r="G835" s="7"/>
      <c r="H835" s="4"/>
      <c r="I835" s="4"/>
      <c r="J835" s="4"/>
      <c r="K835" s="4"/>
      <c r="L835" s="4"/>
      <c r="M835" s="4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4"/>
      <c r="AR835" s="4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8"/>
      <c r="BK835" s="8"/>
      <c r="BL835" s="8"/>
      <c r="BM835" s="8"/>
    </row>
    <row r="836" spans="1:65" ht="14.25" customHeight="1" x14ac:dyDescent="0.45">
      <c r="A836" s="57"/>
      <c r="B836" s="7"/>
      <c r="C836" s="7"/>
      <c r="D836" s="7"/>
      <c r="E836" s="7"/>
      <c r="F836" s="7"/>
      <c r="G836" s="7"/>
      <c r="H836" s="4"/>
      <c r="I836" s="4"/>
      <c r="J836" s="4"/>
      <c r="K836" s="4"/>
      <c r="L836" s="4"/>
      <c r="M836" s="4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4"/>
      <c r="AR836" s="4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8"/>
      <c r="BK836" s="8"/>
      <c r="BL836" s="8"/>
      <c r="BM836" s="8"/>
    </row>
    <row r="837" spans="1:65" ht="14.25" customHeight="1" x14ac:dyDescent="0.45">
      <c r="A837" s="57"/>
      <c r="B837" s="7"/>
      <c r="C837" s="7"/>
      <c r="D837" s="7"/>
      <c r="E837" s="7"/>
      <c r="F837" s="7"/>
      <c r="G837" s="7"/>
      <c r="H837" s="4"/>
      <c r="I837" s="4"/>
      <c r="J837" s="4"/>
      <c r="K837" s="4"/>
      <c r="L837" s="4"/>
      <c r="M837" s="4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4"/>
      <c r="AR837" s="4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8"/>
      <c r="BK837" s="8"/>
      <c r="BL837" s="8"/>
      <c r="BM837" s="8"/>
    </row>
    <row r="838" spans="1:65" ht="14.25" customHeight="1" x14ac:dyDescent="0.45">
      <c r="A838" s="57"/>
      <c r="B838" s="7"/>
      <c r="C838" s="7"/>
      <c r="D838" s="7"/>
      <c r="E838" s="7"/>
      <c r="F838" s="7"/>
      <c r="G838" s="7"/>
      <c r="H838" s="4"/>
      <c r="I838" s="4"/>
      <c r="J838" s="4"/>
      <c r="K838" s="4"/>
      <c r="L838" s="4"/>
      <c r="M838" s="4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4"/>
      <c r="AR838" s="4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8"/>
      <c r="BK838" s="8"/>
      <c r="BL838" s="8"/>
      <c r="BM838" s="8"/>
    </row>
    <row r="839" spans="1:65" ht="14.25" customHeight="1" x14ac:dyDescent="0.45">
      <c r="A839" s="57"/>
      <c r="B839" s="7"/>
      <c r="C839" s="7"/>
      <c r="D839" s="7"/>
      <c r="E839" s="7"/>
      <c r="F839" s="7"/>
      <c r="G839" s="7"/>
      <c r="H839" s="4"/>
      <c r="I839" s="4"/>
      <c r="J839" s="4"/>
      <c r="K839" s="4"/>
      <c r="L839" s="4"/>
      <c r="M839" s="4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4"/>
      <c r="AR839" s="4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8"/>
      <c r="BK839" s="8"/>
      <c r="BL839" s="8"/>
      <c r="BM839" s="8"/>
    </row>
    <row r="840" spans="1:65" ht="14.25" customHeight="1" x14ac:dyDescent="0.45">
      <c r="A840" s="57"/>
      <c r="B840" s="7"/>
      <c r="C840" s="7"/>
      <c r="D840" s="7"/>
      <c r="E840" s="7"/>
      <c r="F840" s="7"/>
      <c r="G840" s="7"/>
      <c r="H840" s="4"/>
      <c r="I840" s="4"/>
      <c r="J840" s="4"/>
      <c r="K840" s="4"/>
      <c r="L840" s="4"/>
      <c r="M840" s="4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4"/>
      <c r="AR840" s="4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8"/>
      <c r="BK840" s="8"/>
      <c r="BL840" s="8"/>
      <c r="BM840" s="8"/>
    </row>
    <row r="841" spans="1:65" ht="14.25" customHeight="1" x14ac:dyDescent="0.45">
      <c r="A841" s="57"/>
      <c r="B841" s="7"/>
      <c r="C841" s="7"/>
      <c r="D841" s="7"/>
      <c r="E841" s="7"/>
      <c r="F841" s="7"/>
      <c r="G841" s="7"/>
      <c r="H841" s="4"/>
      <c r="I841" s="4"/>
      <c r="J841" s="4"/>
      <c r="K841" s="4"/>
      <c r="L841" s="4"/>
      <c r="M841" s="4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4"/>
      <c r="AR841" s="4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8"/>
      <c r="BK841" s="8"/>
      <c r="BL841" s="8"/>
      <c r="BM841" s="8"/>
    </row>
    <row r="842" spans="1:65" ht="14.25" customHeight="1" x14ac:dyDescent="0.45">
      <c r="A842" s="57"/>
      <c r="B842" s="7"/>
      <c r="C842" s="7"/>
      <c r="D842" s="7"/>
      <c r="E842" s="7"/>
      <c r="F842" s="7"/>
      <c r="G842" s="7"/>
      <c r="H842" s="4"/>
      <c r="I842" s="4"/>
      <c r="J842" s="4"/>
      <c r="K842" s="4"/>
      <c r="L842" s="4"/>
      <c r="M842" s="4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4"/>
      <c r="AR842" s="4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8"/>
      <c r="BK842" s="8"/>
      <c r="BL842" s="8"/>
      <c r="BM842" s="8"/>
    </row>
    <row r="843" spans="1:65" ht="14.25" customHeight="1" x14ac:dyDescent="0.45">
      <c r="A843" s="57"/>
      <c r="B843" s="7"/>
      <c r="C843" s="7"/>
      <c r="D843" s="7"/>
      <c r="E843" s="7"/>
      <c r="F843" s="7"/>
      <c r="G843" s="7"/>
      <c r="H843" s="4"/>
      <c r="I843" s="4"/>
      <c r="J843" s="4"/>
      <c r="K843" s="4"/>
      <c r="L843" s="4"/>
      <c r="M843" s="4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4"/>
      <c r="AR843" s="4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8"/>
      <c r="BK843" s="8"/>
      <c r="BL843" s="8"/>
      <c r="BM843" s="8"/>
    </row>
    <row r="844" spans="1:65" ht="14.25" customHeight="1" x14ac:dyDescent="0.45">
      <c r="A844" s="57"/>
      <c r="B844" s="7"/>
      <c r="C844" s="7"/>
      <c r="D844" s="7"/>
      <c r="E844" s="7"/>
      <c r="F844" s="7"/>
      <c r="G844" s="7"/>
      <c r="H844" s="4"/>
      <c r="I844" s="4"/>
      <c r="J844" s="4"/>
      <c r="K844" s="4"/>
      <c r="L844" s="4"/>
      <c r="M844" s="4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4"/>
      <c r="AR844" s="4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8"/>
      <c r="BK844" s="8"/>
      <c r="BL844" s="8"/>
      <c r="BM844" s="8"/>
    </row>
    <row r="845" spans="1:65" ht="14.25" customHeight="1" x14ac:dyDescent="0.45">
      <c r="A845" s="57"/>
      <c r="B845" s="7"/>
      <c r="C845" s="7"/>
      <c r="D845" s="7"/>
      <c r="E845" s="7"/>
      <c r="F845" s="7"/>
      <c r="G845" s="7"/>
      <c r="H845" s="4"/>
      <c r="I845" s="4"/>
      <c r="J845" s="4"/>
      <c r="K845" s="4"/>
      <c r="L845" s="4"/>
      <c r="M845" s="4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4"/>
      <c r="AR845" s="4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8"/>
      <c r="BK845" s="8"/>
      <c r="BL845" s="8"/>
      <c r="BM845" s="8"/>
    </row>
    <row r="846" spans="1:65" ht="14.25" customHeight="1" x14ac:dyDescent="0.45">
      <c r="A846" s="57"/>
      <c r="B846" s="7"/>
      <c r="C846" s="7"/>
      <c r="D846" s="7"/>
      <c r="E846" s="7"/>
      <c r="F846" s="7"/>
      <c r="G846" s="7"/>
      <c r="H846" s="4"/>
      <c r="I846" s="4"/>
      <c r="J846" s="4"/>
      <c r="K846" s="4"/>
      <c r="L846" s="4"/>
      <c r="M846" s="4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4"/>
      <c r="AR846" s="4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8"/>
      <c r="BK846" s="8"/>
      <c r="BL846" s="8"/>
      <c r="BM846" s="8"/>
    </row>
    <row r="847" spans="1:65" ht="14.25" customHeight="1" x14ac:dyDescent="0.45">
      <c r="A847" s="57"/>
      <c r="B847" s="7"/>
      <c r="C847" s="7"/>
      <c r="D847" s="7"/>
      <c r="E847" s="7"/>
      <c r="F847" s="7"/>
      <c r="G847" s="7"/>
      <c r="H847" s="4"/>
      <c r="I847" s="4"/>
      <c r="J847" s="4"/>
      <c r="K847" s="4"/>
      <c r="L847" s="4"/>
      <c r="M847" s="4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4"/>
      <c r="AR847" s="4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8"/>
      <c r="BK847" s="8"/>
      <c r="BL847" s="8"/>
      <c r="BM847" s="8"/>
    </row>
    <row r="848" spans="1:65" ht="14.25" customHeight="1" x14ac:dyDescent="0.45">
      <c r="A848" s="57"/>
      <c r="B848" s="7"/>
      <c r="C848" s="7"/>
      <c r="D848" s="7"/>
      <c r="E848" s="7"/>
      <c r="F848" s="7"/>
      <c r="G848" s="7"/>
      <c r="H848" s="4"/>
      <c r="I848" s="4"/>
      <c r="J848" s="4"/>
      <c r="K848" s="4"/>
      <c r="L848" s="4"/>
      <c r="M848" s="4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4"/>
      <c r="AR848" s="4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8"/>
      <c r="BK848" s="8"/>
      <c r="BL848" s="8"/>
      <c r="BM848" s="8"/>
    </row>
    <row r="849" spans="1:65" ht="14.25" customHeight="1" x14ac:dyDescent="0.45">
      <c r="A849" s="57"/>
      <c r="B849" s="7"/>
      <c r="C849" s="7"/>
      <c r="D849" s="7"/>
      <c r="E849" s="7"/>
      <c r="F849" s="7"/>
      <c r="G849" s="7"/>
      <c r="H849" s="4"/>
      <c r="I849" s="4"/>
      <c r="J849" s="4"/>
      <c r="K849" s="4"/>
      <c r="L849" s="4"/>
      <c r="M849" s="4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4"/>
      <c r="AR849" s="4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8"/>
      <c r="BK849" s="8"/>
      <c r="BL849" s="8"/>
      <c r="BM849" s="8"/>
    </row>
    <row r="850" spans="1:65" ht="14.25" customHeight="1" x14ac:dyDescent="0.45">
      <c r="A850" s="57"/>
      <c r="B850" s="7"/>
      <c r="C850" s="7"/>
      <c r="D850" s="7"/>
      <c r="E850" s="7"/>
      <c r="F850" s="7"/>
      <c r="G850" s="7"/>
      <c r="H850" s="4"/>
      <c r="I850" s="4"/>
      <c r="J850" s="4"/>
      <c r="K850" s="4"/>
      <c r="L850" s="4"/>
      <c r="M850" s="4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4"/>
      <c r="AR850" s="4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8"/>
      <c r="BK850" s="8"/>
      <c r="BL850" s="8"/>
      <c r="BM850" s="8"/>
    </row>
    <row r="851" spans="1:65" ht="14.25" customHeight="1" x14ac:dyDescent="0.45">
      <c r="A851" s="57"/>
      <c r="B851" s="7"/>
      <c r="C851" s="7"/>
      <c r="D851" s="7"/>
      <c r="E851" s="7"/>
      <c r="F851" s="7"/>
      <c r="G851" s="7"/>
      <c r="H851" s="4"/>
      <c r="I851" s="4"/>
      <c r="J851" s="4"/>
      <c r="K851" s="4"/>
      <c r="L851" s="4"/>
      <c r="M851" s="4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4"/>
      <c r="AR851" s="4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8"/>
      <c r="BK851" s="8"/>
      <c r="BL851" s="8"/>
      <c r="BM851" s="8"/>
    </row>
    <row r="852" spans="1:65" ht="14.25" customHeight="1" x14ac:dyDescent="0.45">
      <c r="A852" s="57"/>
      <c r="B852" s="7"/>
      <c r="C852" s="7"/>
      <c r="D852" s="7"/>
      <c r="E852" s="7"/>
      <c r="F852" s="7"/>
      <c r="G852" s="7"/>
      <c r="H852" s="4"/>
      <c r="I852" s="4"/>
      <c r="J852" s="4"/>
      <c r="K852" s="4"/>
      <c r="L852" s="4"/>
      <c r="M852" s="4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4"/>
      <c r="AR852" s="4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8"/>
      <c r="BK852" s="8"/>
      <c r="BL852" s="8"/>
      <c r="BM852" s="8"/>
    </row>
    <row r="853" spans="1:65" ht="14.25" customHeight="1" x14ac:dyDescent="0.45">
      <c r="A853" s="57"/>
      <c r="B853" s="7"/>
      <c r="C853" s="7"/>
      <c r="D853" s="7"/>
      <c r="E853" s="7"/>
      <c r="F853" s="7"/>
      <c r="G853" s="7"/>
      <c r="H853" s="4"/>
      <c r="I853" s="4"/>
      <c r="J853" s="4"/>
      <c r="K853" s="4"/>
      <c r="L853" s="4"/>
      <c r="M853" s="4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4"/>
      <c r="AR853" s="4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8"/>
      <c r="BK853" s="8"/>
      <c r="BL853" s="8"/>
      <c r="BM853" s="8"/>
    </row>
    <row r="854" spans="1:65" ht="14.25" customHeight="1" x14ac:dyDescent="0.45">
      <c r="A854" s="57"/>
      <c r="B854" s="7"/>
      <c r="C854" s="7"/>
      <c r="D854" s="7"/>
      <c r="E854" s="7"/>
      <c r="F854" s="7"/>
      <c r="G854" s="7"/>
      <c r="H854" s="4"/>
      <c r="I854" s="4"/>
      <c r="J854" s="4"/>
      <c r="K854" s="4"/>
      <c r="L854" s="4"/>
      <c r="M854" s="4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4"/>
      <c r="AR854" s="4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8"/>
      <c r="BK854" s="8"/>
      <c r="BL854" s="8"/>
      <c r="BM854" s="8"/>
    </row>
    <row r="855" spans="1:65" ht="14.25" customHeight="1" x14ac:dyDescent="0.45">
      <c r="A855" s="57"/>
      <c r="B855" s="7"/>
      <c r="C855" s="7"/>
      <c r="D855" s="7"/>
      <c r="E855" s="7"/>
      <c r="F855" s="7"/>
      <c r="G855" s="7"/>
      <c r="H855" s="4"/>
      <c r="I855" s="4"/>
      <c r="J855" s="4"/>
      <c r="K855" s="4"/>
      <c r="L855" s="4"/>
      <c r="M855" s="4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4"/>
      <c r="AR855" s="4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8"/>
      <c r="BK855" s="8"/>
      <c r="BL855" s="8"/>
      <c r="BM855" s="8"/>
    </row>
    <row r="856" spans="1:65" ht="14.25" customHeight="1" x14ac:dyDescent="0.45">
      <c r="A856" s="57"/>
      <c r="B856" s="7"/>
      <c r="C856" s="7"/>
      <c r="D856" s="7"/>
      <c r="E856" s="7"/>
      <c r="F856" s="7"/>
      <c r="G856" s="7"/>
      <c r="H856" s="4"/>
      <c r="I856" s="4"/>
      <c r="J856" s="4"/>
      <c r="K856" s="4"/>
      <c r="L856" s="4"/>
      <c r="M856" s="4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4"/>
      <c r="AR856" s="4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8"/>
      <c r="BK856" s="8"/>
      <c r="BL856" s="8"/>
      <c r="BM856" s="8"/>
    </row>
    <row r="857" spans="1:65" ht="14.25" customHeight="1" x14ac:dyDescent="0.45">
      <c r="A857" s="57"/>
      <c r="B857" s="7"/>
      <c r="C857" s="7"/>
      <c r="D857" s="7"/>
      <c r="E857" s="7"/>
      <c r="F857" s="7"/>
      <c r="G857" s="7"/>
      <c r="H857" s="4"/>
      <c r="I857" s="4"/>
      <c r="J857" s="4"/>
      <c r="K857" s="4"/>
      <c r="L857" s="4"/>
      <c r="M857" s="4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4"/>
      <c r="AR857" s="4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8"/>
      <c r="BK857" s="8"/>
      <c r="BL857" s="8"/>
      <c r="BM857" s="8"/>
    </row>
  </sheetData>
  <autoFilter ref="A4:G760" xr:uid="{00000000-0009-0000-0000-000000000000}"/>
  <mergeCells count="7">
    <mergeCell ref="AC2:AF3"/>
    <mergeCell ref="AG2:AR2"/>
    <mergeCell ref="G2:G3"/>
    <mergeCell ref="H2:M3"/>
    <mergeCell ref="N2:R3"/>
    <mergeCell ref="S2:W3"/>
    <mergeCell ref="X2:AB3"/>
  </mergeCells>
  <printOptions horizontalCentered="1"/>
  <pageMargins left="0" right="0" top="0" bottom="0" header="0" footer="0"/>
  <pageSetup paperSize="9" pageOrder="overThenDown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49EDD"/>
    <pageSetUpPr fitToPage="1"/>
  </sheetPr>
  <dimension ref="A1:AC1041"/>
  <sheetViews>
    <sheetView showGridLines="0" workbookViewId="0"/>
  </sheetViews>
  <sheetFormatPr defaultColWidth="11.25" defaultRowHeight="15" customHeight="1" x14ac:dyDescent="0.4"/>
  <cols>
    <col min="1" max="1" width="12.33203125" customWidth="1"/>
    <col min="2" max="2" width="24" customWidth="1"/>
    <col min="3" max="12" width="10.6640625" customWidth="1"/>
    <col min="13" max="13" width="10.6640625" hidden="1" customWidth="1"/>
    <col min="14" max="14" width="10.6640625" customWidth="1"/>
    <col min="15" max="15" width="11" customWidth="1"/>
    <col min="16" max="17" width="14.6640625" hidden="1" customWidth="1"/>
    <col min="18" max="18" width="14.6640625" customWidth="1"/>
    <col min="19" max="19" width="14.6640625" hidden="1" customWidth="1"/>
    <col min="20" max="20" width="14.6640625" customWidth="1"/>
    <col min="21" max="21" width="12.6640625" customWidth="1"/>
    <col min="22" max="22" width="8.33203125" customWidth="1"/>
    <col min="23" max="23" width="5" customWidth="1"/>
    <col min="24" max="25" width="11" customWidth="1"/>
    <col min="26" max="26" width="10.33203125" customWidth="1"/>
    <col min="27" max="27" width="17" customWidth="1"/>
    <col min="28" max="29" width="10.33203125" customWidth="1"/>
  </cols>
  <sheetData>
    <row r="1" spans="1:29" ht="18.75" customHeight="1" x14ac:dyDescent="0.4">
      <c r="A1" s="119" t="s">
        <v>59</v>
      </c>
      <c r="B1" s="120"/>
      <c r="C1" s="120"/>
      <c r="D1" s="120"/>
      <c r="E1" s="120"/>
      <c r="F1" s="120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29" ht="15.75" customHeight="1" x14ac:dyDescent="0.4">
      <c r="A2" s="122" t="s">
        <v>60</v>
      </c>
      <c r="B2" s="120"/>
      <c r="C2" s="120"/>
      <c r="D2" s="120"/>
      <c r="E2" s="120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</row>
    <row r="3" spans="1:29" ht="15.75" customHeight="1" x14ac:dyDescent="0.4">
      <c r="A3" s="123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</row>
    <row r="4" spans="1:29" ht="15.75" customHeight="1" x14ac:dyDescent="0.4">
      <c r="A4" s="124" t="s">
        <v>61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spans="1:29" ht="15.75" customHeight="1" x14ac:dyDescent="0.4">
      <c r="A5" s="121" t="s">
        <v>62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</row>
    <row r="6" spans="1:29" ht="15.75" customHeight="1" x14ac:dyDescent="0.4">
      <c r="A6" s="125" t="s">
        <v>63</v>
      </c>
      <c r="B6" s="121" t="s">
        <v>64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</row>
    <row r="7" spans="1:29" ht="15.75" customHeight="1" x14ac:dyDescent="0.4">
      <c r="A7" s="125" t="s">
        <v>65</v>
      </c>
      <c r="B7" s="121" t="s">
        <v>66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</row>
    <row r="8" spans="1:29" ht="15.75" customHeight="1" x14ac:dyDescent="0.4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</row>
    <row r="9" spans="1:29" ht="15.75" customHeight="1" x14ac:dyDescent="0.4">
      <c r="A9" s="124" t="s">
        <v>67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</row>
    <row r="10" spans="1:29" ht="15.75" customHeight="1" x14ac:dyDescent="0.4">
      <c r="A10" s="121" t="s">
        <v>62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</row>
    <row r="11" spans="1:29" ht="15.75" customHeight="1" x14ac:dyDescent="0.4">
      <c r="A11" s="125" t="s">
        <v>63</v>
      </c>
      <c r="B11" s="121" t="s">
        <v>68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</row>
    <row r="12" spans="1:29" ht="15.75" customHeight="1" x14ac:dyDescent="0.4">
      <c r="A12" s="125" t="s">
        <v>65</v>
      </c>
      <c r="B12" s="121" t="s">
        <v>69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</row>
    <row r="13" spans="1:29" ht="15.75" customHeight="1" x14ac:dyDescent="0.4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</row>
    <row r="14" spans="1:29" ht="15.75" customHeight="1" x14ac:dyDescent="0.4">
      <c r="A14" s="126" t="s">
        <v>70</v>
      </c>
      <c r="B14" s="126" t="s">
        <v>71</v>
      </c>
      <c r="C14" s="126" t="s">
        <v>72</v>
      </c>
      <c r="D14" s="126" t="s">
        <v>73</v>
      </c>
      <c r="E14" s="126" t="s">
        <v>74</v>
      </c>
      <c r="F14" s="126" t="s">
        <v>75</v>
      </c>
      <c r="G14" s="127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</row>
    <row r="15" spans="1:29" ht="15.75" customHeight="1" x14ac:dyDescent="0.4">
      <c r="A15" s="127" t="s">
        <v>76</v>
      </c>
      <c r="B15" s="128">
        <v>6322</v>
      </c>
      <c r="C15" s="128">
        <v>12.26</v>
      </c>
      <c r="D15" s="128">
        <v>0.66</v>
      </c>
      <c r="E15" s="128">
        <v>7.94</v>
      </c>
      <c r="F15" s="127" t="s">
        <v>77</v>
      </c>
      <c r="G15" s="127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</row>
    <row r="16" spans="1:29" ht="15.75" customHeight="1" x14ac:dyDescent="0.4">
      <c r="A16" s="127" t="s">
        <v>78</v>
      </c>
      <c r="B16" s="128">
        <v>5300</v>
      </c>
      <c r="C16" s="128">
        <v>21.32</v>
      </c>
      <c r="D16" s="128">
        <v>0.75</v>
      </c>
      <c r="E16" s="128">
        <v>6.04</v>
      </c>
      <c r="F16" s="127" t="s">
        <v>79</v>
      </c>
      <c r="G16" s="127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</row>
    <row r="17" spans="1:29" ht="15.75" customHeight="1" x14ac:dyDescent="0.4">
      <c r="A17" s="127" t="s">
        <v>80</v>
      </c>
      <c r="B17" s="128">
        <v>4100</v>
      </c>
      <c r="C17" s="128">
        <v>35.729999999999997</v>
      </c>
      <c r="D17" s="128">
        <v>0.23</v>
      </c>
      <c r="E17" s="128">
        <v>3.9</v>
      </c>
      <c r="F17" s="127" t="s">
        <v>81</v>
      </c>
      <c r="G17" s="127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</row>
    <row r="18" spans="1:29" ht="15.75" customHeight="1" x14ac:dyDescent="0.4">
      <c r="A18" s="127"/>
      <c r="B18" s="128"/>
      <c r="C18" s="128"/>
      <c r="D18" s="128"/>
      <c r="E18" s="128"/>
      <c r="F18" s="127" t="s">
        <v>82</v>
      </c>
      <c r="G18" s="127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</row>
    <row r="19" spans="1:29" ht="15.75" customHeight="1" x14ac:dyDescent="0.4">
      <c r="A19" s="127" t="s">
        <v>83</v>
      </c>
      <c r="B19" s="128">
        <v>3400</v>
      </c>
      <c r="C19" s="128">
        <v>44.3</v>
      </c>
      <c r="D19" s="128">
        <v>0.24</v>
      </c>
      <c r="E19" s="128">
        <v>3.88</v>
      </c>
      <c r="F19" s="127" t="s">
        <v>84</v>
      </c>
      <c r="G19" s="127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</row>
    <row r="20" spans="1:29" ht="15.75" customHeight="1" x14ac:dyDescent="0.4">
      <c r="A20" s="127" t="s">
        <v>85</v>
      </c>
      <c r="B20" s="128">
        <v>6322</v>
      </c>
      <c r="C20" s="128">
        <v>12.26</v>
      </c>
      <c r="D20" s="128">
        <v>0.66</v>
      </c>
      <c r="E20" s="128">
        <v>7.94</v>
      </c>
      <c r="F20" s="127" t="s">
        <v>86</v>
      </c>
      <c r="G20" s="127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</row>
    <row r="21" spans="1:29" ht="15.75" customHeight="1" x14ac:dyDescent="0.4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</row>
    <row r="22" spans="1:29" ht="15.75" customHeight="1" x14ac:dyDescent="0.4">
      <c r="A22" s="129" t="s">
        <v>87</v>
      </c>
      <c r="B22" s="130"/>
      <c r="C22" s="130"/>
      <c r="D22" s="130"/>
      <c r="E22" s="130"/>
      <c r="F22" s="13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</row>
    <row r="23" spans="1:29" ht="15.75" customHeight="1" x14ac:dyDescent="0.4">
      <c r="A23" s="132" t="s">
        <v>88</v>
      </c>
      <c r="B23" s="133" t="s">
        <v>76</v>
      </c>
      <c r="C23" s="133" t="s">
        <v>78</v>
      </c>
      <c r="D23" s="133" t="s">
        <v>80</v>
      </c>
      <c r="E23" s="133" t="s">
        <v>83</v>
      </c>
      <c r="F23" s="134" t="s">
        <v>89</v>
      </c>
      <c r="G23" s="135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1:29" ht="15.75" hidden="1" customHeight="1" x14ac:dyDescent="0.4">
      <c r="A24" s="136">
        <v>45658</v>
      </c>
      <c r="B24" s="137">
        <v>124.24</v>
      </c>
      <c r="C24" s="137">
        <v>82.26</v>
      </c>
      <c r="D24" s="137">
        <v>52.75</v>
      </c>
      <c r="E24" s="137">
        <v>34.380000000000003</v>
      </c>
      <c r="F24" s="135">
        <f t="shared" ref="F24:F31" si="0">C24-D24</f>
        <v>29.510000000000005</v>
      </c>
      <c r="G24" s="135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1:29" ht="15.75" hidden="1" customHeight="1" x14ac:dyDescent="0.4">
      <c r="A25" s="136">
        <v>45689</v>
      </c>
      <c r="B25" s="138">
        <v>124.01</v>
      </c>
      <c r="C25" s="137">
        <v>83.95</v>
      </c>
      <c r="D25" s="138">
        <v>50.52</v>
      </c>
      <c r="E25" s="137">
        <v>34.700000000000003</v>
      </c>
      <c r="F25" s="135">
        <f t="shared" si="0"/>
        <v>33.43</v>
      </c>
      <c r="G25" s="135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1:29" ht="15.75" hidden="1" customHeight="1" x14ac:dyDescent="0.4">
      <c r="A26" s="139">
        <v>45717</v>
      </c>
      <c r="B26" s="137">
        <v>128.24</v>
      </c>
      <c r="C26" s="138">
        <v>82.66</v>
      </c>
      <c r="D26" s="140">
        <v>50.7</v>
      </c>
      <c r="E26" s="138">
        <v>34.14</v>
      </c>
      <c r="F26" s="141">
        <f t="shared" si="0"/>
        <v>31.959999999999994</v>
      </c>
      <c r="G26" s="135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1:29" ht="15.75" hidden="1" customHeight="1" x14ac:dyDescent="0.4">
      <c r="A27" s="139">
        <v>45731</v>
      </c>
      <c r="B27" s="138">
        <v>117.76</v>
      </c>
      <c r="C27" s="138">
        <v>80.7</v>
      </c>
      <c r="D27" s="138">
        <v>49.44</v>
      </c>
      <c r="E27" s="138">
        <v>33.17</v>
      </c>
      <c r="F27" s="135">
        <f t="shared" si="0"/>
        <v>31.260000000000005</v>
      </c>
      <c r="G27" s="135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1:29" ht="15.75" hidden="1" customHeight="1" x14ac:dyDescent="0.4">
      <c r="A28" s="139">
        <v>45748</v>
      </c>
      <c r="B28" s="137">
        <v>123.32</v>
      </c>
      <c r="C28" s="138">
        <v>78.400000000000006</v>
      </c>
      <c r="D28" s="137">
        <v>49.54</v>
      </c>
      <c r="E28" s="138">
        <v>32.71</v>
      </c>
      <c r="F28" s="135">
        <f t="shared" si="0"/>
        <v>28.860000000000007</v>
      </c>
      <c r="G28" s="135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1:29" ht="15.75" hidden="1" customHeight="1" x14ac:dyDescent="0.4">
      <c r="A29" s="139">
        <v>45762</v>
      </c>
      <c r="B29" s="138">
        <v>120.2</v>
      </c>
      <c r="C29" s="137">
        <v>78.459999999999994</v>
      </c>
      <c r="D29" s="137">
        <v>50.07</v>
      </c>
      <c r="E29" s="137">
        <v>34.32</v>
      </c>
      <c r="F29" s="135">
        <f t="shared" si="0"/>
        <v>28.389999999999993</v>
      </c>
      <c r="G29" s="135"/>
      <c r="H29" s="121"/>
      <c r="I29" s="121"/>
      <c r="J29" s="121"/>
      <c r="K29" s="142"/>
      <c r="L29" s="121"/>
      <c r="M29" s="121"/>
      <c r="N29" s="143"/>
      <c r="O29" s="144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1:29" ht="15.75" hidden="1" customHeight="1" x14ac:dyDescent="0.4">
      <c r="A30" s="139">
        <v>45778</v>
      </c>
      <c r="B30" s="137">
        <v>121.15</v>
      </c>
      <c r="C30" s="137">
        <v>80.8</v>
      </c>
      <c r="D30" s="137">
        <v>50.43</v>
      </c>
      <c r="E30" s="137">
        <v>34.729999999999997</v>
      </c>
      <c r="F30" s="135">
        <f t="shared" si="0"/>
        <v>30.369999999999997</v>
      </c>
      <c r="G30" s="135"/>
      <c r="H30" s="121"/>
      <c r="I30" s="121"/>
      <c r="J30" s="121"/>
      <c r="K30" s="121"/>
      <c r="L30" s="121"/>
      <c r="M30" s="121"/>
      <c r="N30" s="143"/>
      <c r="O30" s="144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1:29" ht="15.75" hidden="1" customHeight="1" x14ac:dyDescent="0.4">
      <c r="A31" s="139">
        <v>45792</v>
      </c>
      <c r="B31" s="138">
        <v>110.38</v>
      </c>
      <c r="C31" s="138">
        <v>76.62</v>
      </c>
      <c r="D31" s="137">
        <v>50.58</v>
      </c>
      <c r="E31" s="137">
        <v>35.42</v>
      </c>
      <c r="F31" s="135">
        <f t="shared" si="0"/>
        <v>26.040000000000006</v>
      </c>
      <c r="G31" s="135"/>
      <c r="H31" s="121"/>
      <c r="I31" s="121"/>
      <c r="J31" s="121"/>
      <c r="K31" s="121"/>
      <c r="L31" s="121"/>
      <c r="M31" s="121"/>
      <c r="N31" s="143"/>
      <c r="O31" s="144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1:29" ht="15.75" hidden="1" customHeight="1" x14ac:dyDescent="0.4">
      <c r="A32" s="139">
        <v>45809</v>
      </c>
      <c r="B32" s="138">
        <v>100.97</v>
      </c>
      <c r="C32" s="137">
        <v>77.59</v>
      </c>
      <c r="D32" s="138">
        <v>50.08</v>
      </c>
      <c r="E32" s="137">
        <v>35.47</v>
      </c>
      <c r="F32" s="135"/>
      <c r="G32" s="144"/>
      <c r="H32" s="121"/>
      <c r="I32" s="121"/>
      <c r="J32" s="121"/>
      <c r="K32" s="121"/>
      <c r="L32" s="121"/>
      <c r="M32" s="121"/>
      <c r="N32" s="144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1:29" ht="15.75" hidden="1" customHeight="1" x14ac:dyDescent="0.4">
      <c r="A33" s="139">
        <v>45823</v>
      </c>
      <c r="B33" s="138">
        <v>98.61</v>
      </c>
      <c r="C33" s="138">
        <v>75.64</v>
      </c>
      <c r="D33" s="137">
        <v>50.25</v>
      </c>
      <c r="E33" s="137">
        <v>36.14</v>
      </c>
      <c r="F33" s="135"/>
      <c r="G33" s="144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1:29" ht="15.75" hidden="1" customHeight="1" x14ac:dyDescent="0.4">
      <c r="A34" s="139">
        <v>45839</v>
      </c>
      <c r="B34" s="137">
        <v>107.35</v>
      </c>
      <c r="C34" s="145">
        <v>71.5</v>
      </c>
      <c r="D34" s="138">
        <v>49.78</v>
      </c>
      <c r="E34" s="138">
        <v>35.869999999999997</v>
      </c>
      <c r="F34" s="141"/>
      <c r="G34" s="144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</row>
    <row r="35" spans="1:29" ht="15.75" hidden="1" customHeight="1" x14ac:dyDescent="0.4">
      <c r="A35" s="139">
        <v>45853</v>
      </c>
      <c r="B35" s="138">
        <v>97.65</v>
      </c>
      <c r="C35" s="140">
        <v>75.94</v>
      </c>
      <c r="D35" s="138">
        <v>48.35</v>
      </c>
      <c r="E35" s="140">
        <v>36</v>
      </c>
      <c r="F35" s="141"/>
      <c r="G35" s="144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1:29" ht="15.75" hidden="1" customHeight="1" x14ac:dyDescent="0.4">
      <c r="A36" s="139">
        <v>45870</v>
      </c>
      <c r="B36" s="137">
        <v>102.22</v>
      </c>
      <c r="C36" s="145">
        <v>67.33</v>
      </c>
      <c r="D36" s="145">
        <v>45.74</v>
      </c>
      <c r="E36" s="145">
        <v>34.86</v>
      </c>
      <c r="F36" s="141"/>
      <c r="G36" s="144"/>
      <c r="H36" s="121"/>
      <c r="I36" s="121"/>
      <c r="J36" s="121"/>
      <c r="K36" s="121"/>
      <c r="L36" s="121"/>
      <c r="M36" s="121"/>
      <c r="N36" s="121"/>
      <c r="O36" s="144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1:29" ht="15.75" hidden="1" customHeight="1" x14ac:dyDescent="0.4">
      <c r="A37" s="139">
        <v>45884</v>
      </c>
      <c r="B37" s="138">
        <v>100.69</v>
      </c>
      <c r="C37" s="145">
        <v>67.2</v>
      </c>
      <c r="D37" s="145">
        <v>43.7</v>
      </c>
      <c r="E37" s="145">
        <v>33.479999999999997</v>
      </c>
      <c r="F37" s="141"/>
      <c r="G37" s="144"/>
      <c r="H37" s="121"/>
      <c r="I37" s="121"/>
      <c r="J37" s="121"/>
      <c r="K37" s="121"/>
      <c r="L37" s="121"/>
      <c r="M37" s="121"/>
      <c r="N37" s="121"/>
      <c r="O37" s="144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1:29" ht="15.75" customHeight="1" x14ac:dyDescent="0.4">
      <c r="A38" s="139">
        <v>45901</v>
      </c>
      <c r="B38" s="138">
        <v>105.33</v>
      </c>
      <c r="C38" s="145">
        <v>66.5</v>
      </c>
      <c r="D38" s="145">
        <v>42.3</v>
      </c>
      <c r="E38" s="145">
        <v>32.32</v>
      </c>
      <c r="F38" s="141"/>
      <c r="G38" s="144"/>
      <c r="H38" s="121"/>
      <c r="I38" s="121"/>
      <c r="J38" s="121"/>
      <c r="K38" s="121"/>
      <c r="L38" s="121"/>
      <c r="M38" s="121"/>
      <c r="N38" s="121"/>
      <c r="O38" s="144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1:29" ht="15.75" customHeight="1" x14ac:dyDescent="0.4">
      <c r="A39" s="139">
        <v>45915</v>
      </c>
      <c r="B39" s="140">
        <v>103.49</v>
      </c>
      <c r="C39" s="140">
        <v>64.400000000000006</v>
      </c>
      <c r="D39" s="140">
        <v>42.58</v>
      </c>
      <c r="E39" s="140">
        <v>32.78</v>
      </c>
      <c r="F39" s="141"/>
      <c r="G39" s="144"/>
      <c r="H39" s="121"/>
      <c r="I39" s="121"/>
      <c r="J39" s="121"/>
      <c r="K39" s="121"/>
      <c r="L39" s="121"/>
      <c r="M39" s="121"/>
      <c r="N39" s="121"/>
      <c r="O39" s="144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1:29" ht="15.75" customHeight="1" x14ac:dyDescent="0.4">
      <c r="A40" s="139">
        <v>45931</v>
      </c>
      <c r="B40" s="140">
        <v>106.94</v>
      </c>
      <c r="C40" s="140">
        <v>64.84</v>
      </c>
      <c r="D40" s="140">
        <v>43.12</v>
      </c>
      <c r="E40" s="140">
        <v>32.950000000000003</v>
      </c>
      <c r="F40" s="141"/>
      <c r="G40" s="144"/>
      <c r="H40" s="121"/>
      <c r="I40" s="121"/>
      <c r="J40" s="121"/>
      <c r="K40" s="121"/>
      <c r="L40" s="121"/>
      <c r="M40" s="121"/>
      <c r="N40" s="121"/>
      <c r="O40" s="144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1:29" ht="15.75" customHeight="1" x14ac:dyDescent="0.4">
      <c r="A41" s="139">
        <v>45945</v>
      </c>
      <c r="B41" s="140">
        <v>109.74</v>
      </c>
      <c r="C41" s="140">
        <v>67.760000000000005</v>
      </c>
      <c r="D41" s="140">
        <v>43.71</v>
      </c>
      <c r="E41" s="140">
        <v>33.92</v>
      </c>
      <c r="F41" s="141"/>
      <c r="G41" s="144"/>
      <c r="H41" s="121"/>
      <c r="I41" s="121"/>
      <c r="J41" s="121"/>
      <c r="K41" s="121"/>
      <c r="L41" s="121"/>
      <c r="M41" s="121"/>
      <c r="N41" s="121"/>
      <c r="O41" s="144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</row>
    <row r="42" spans="1:29" ht="15.75" customHeight="1" x14ac:dyDescent="0.4">
      <c r="A42" s="139">
        <v>45962</v>
      </c>
      <c r="B42" s="145">
        <v>103.75</v>
      </c>
      <c r="C42" s="145">
        <v>67.22</v>
      </c>
      <c r="D42" s="140">
        <v>44.02</v>
      </c>
      <c r="E42" s="145">
        <v>33.74</v>
      </c>
      <c r="F42" s="141"/>
      <c r="G42" s="144"/>
      <c r="H42" s="121"/>
      <c r="I42" s="121"/>
      <c r="J42" s="121"/>
      <c r="K42" s="121"/>
      <c r="L42" s="121"/>
      <c r="M42" s="121"/>
      <c r="N42" s="121"/>
      <c r="O42" s="144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</row>
    <row r="43" spans="1:29" ht="15.75" customHeight="1" x14ac:dyDescent="0.4">
      <c r="A43" s="139">
        <v>45976</v>
      </c>
      <c r="B43" s="145">
        <v>102.03</v>
      </c>
      <c r="C43" s="140">
        <v>67.290000000000006</v>
      </c>
      <c r="D43" s="140">
        <v>44.29</v>
      </c>
      <c r="E43" s="140">
        <v>33.880000000000003</v>
      </c>
      <c r="F43" s="141"/>
      <c r="G43" s="144"/>
      <c r="H43" s="121"/>
      <c r="I43" s="121"/>
      <c r="J43" s="121"/>
      <c r="K43" s="121"/>
      <c r="L43" s="121"/>
      <c r="M43" s="121"/>
      <c r="N43" s="121"/>
      <c r="O43" s="144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1:29" ht="15.75" customHeight="1" x14ac:dyDescent="0.4">
      <c r="A44" s="139">
        <v>45992</v>
      </c>
      <c r="B44" s="145">
        <v>98.26</v>
      </c>
      <c r="C44" s="140">
        <v>67.989999999999995</v>
      </c>
      <c r="D44" s="140">
        <v>44.37</v>
      </c>
      <c r="E44" s="140">
        <v>34.15</v>
      </c>
      <c r="F44" s="141"/>
      <c r="G44" s="144"/>
      <c r="H44" s="121"/>
      <c r="I44" s="121"/>
      <c r="J44" s="121"/>
      <c r="K44" s="121"/>
      <c r="L44" s="121"/>
      <c r="M44" s="121"/>
      <c r="N44" s="121"/>
      <c r="O44" s="144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</row>
    <row r="45" spans="1:29" ht="15.75" customHeight="1" x14ac:dyDescent="0.4">
      <c r="A45" s="139">
        <v>46006</v>
      </c>
      <c r="B45" s="140">
        <v>100.81</v>
      </c>
      <c r="C45" s="140">
        <v>69.930000000000007</v>
      </c>
      <c r="D45" s="140">
        <v>45.44</v>
      </c>
      <c r="E45" s="140">
        <v>35.020000000000003</v>
      </c>
      <c r="F45" s="141"/>
      <c r="G45" s="144"/>
      <c r="H45" s="121"/>
      <c r="I45" s="121"/>
      <c r="J45" s="121"/>
      <c r="K45" s="121"/>
      <c r="L45" s="121"/>
      <c r="M45" s="121"/>
      <c r="N45" s="121"/>
      <c r="O45" s="144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1:29" ht="15.75" customHeight="1" x14ac:dyDescent="0.4">
      <c r="A46" s="139">
        <v>46023</v>
      </c>
      <c r="B46" s="140">
        <v>103.3</v>
      </c>
      <c r="C46" s="140">
        <v>72.23</v>
      </c>
      <c r="D46" s="140">
        <v>47.05</v>
      </c>
      <c r="E46" s="140">
        <v>35.130000000000003</v>
      </c>
      <c r="F46" s="141"/>
      <c r="G46" s="144"/>
      <c r="H46" s="121"/>
      <c r="I46" s="121"/>
      <c r="J46" s="121"/>
      <c r="K46" s="121"/>
      <c r="L46" s="121"/>
      <c r="M46" s="121"/>
      <c r="N46" s="121"/>
      <c r="O46" s="144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1:29" ht="15.75" customHeight="1" x14ac:dyDescent="0.4">
      <c r="A47" s="139">
        <v>46037</v>
      </c>
      <c r="B47" s="140">
        <v>104.03</v>
      </c>
      <c r="C47" s="145">
        <v>71.61</v>
      </c>
      <c r="D47" s="140">
        <v>48.39</v>
      </c>
      <c r="E47" s="140">
        <v>35.380000000000003</v>
      </c>
      <c r="F47" s="141"/>
      <c r="G47" s="144"/>
      <c r="H47" s="121"/>
      <c r="I47" s="121"/>
      <c r="J47" s="121"/>
      <c r="K47" s="121"/>
      <c r="L47" s="121"/>
      <c r="M47" s="121"/>
      <c r="N47" s="121"/>
      <c r="O47" s="144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</row>
    <row r="48" spans="1:29" ht="15.75" customHeight="1" x14ac:dyDescent="0.4">
      <c r="A48" s="139">
        <v>46054</v>
      </c>
      <c r="B48" s="140">
        <v>106.11</v>
      </c>
      <c r="C48" s="140">
        <v>73.959999999999994</v>
      </c>
      <c r="D48" s="145">
        <v>48.21</v>
      </c>
      <c r="E48" s="140">
        <v>35.83</v>
      </c>
      <c r="F48" s="141"/>
      <c r="G48" s="144"/>
      <c r="H48" s="121"/>
      <c r="I48" s="121"/>
      <c r="J48" s="121"/>
      <c r="K48" s="121"/>
      <c r="L48" s="121"/>
      <c r="M48" s="121"/>
      <c r="N48" s="121"/>
      <c r="O48" s="144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1:29" ht="15.75" customHeight="1" x14ac:dyDescent="0.4">
      <c r="A49" s="139">
        <v>46068</v>
      </c>
      <c r="B49" s="145">
        <v>102.87</v>
      </c>
      <c r="C49" s="145">
        <v>71.739999999999995</v>
      </c>
      <c r="D49" s="145">
        <v>47.34</v>
      </c>
      <c r="E49" s="145">
        <v>33.85</v>
      </c>
      <c r="F49" s="141"/>
      <c r="G49" s="144"/>
      <c r="H49" s="121"/>
      <c r="I49" s="121"/>
      <c r="J49" s="121"/>
      <c r="K49" s="121"/>
      <c r="L49" s="121"/>
      <c r="M49" s="121"/>
      <c r="N49" s="121"/>
      <c r="O49" s="144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1:29" ht="15.75" customHeight="1" x14ac:dyDescent="0.4">
      <c r="A50" s="146">
        <v>46082</v>
      </c>
      <c r="B50" s="147">
        <v>102.37</v>
      </c>
      <c r="C50" s="148">
        <v>71.290000000000006</v>
      </c>
      <c r="D50" s="149">
        <v>47.64</v>
      </c>
      <c r="E50" s="149">
        <v>34.25</v>
      </c>
      <c r="F50" s="141"/>
      <c r="G50" s="144"/>
      <c r="H50" s="121"/>
      <c r="I50" s="121"/>
      <c r="J50" s="121"/>
      <c r="K50" s="121"/>
      <c r="L50" s="121"/>
      <c r="M50" s="121"/>
      <c r="N50" s="121"/>
      <c r="O50" s="144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</row>
    <row r="51" spans="1:29" ht="15.75" customHeight="1" x14ac:dyDescent="0.4">
      <c r="A51" s="477"/>
      <c r="B51" s="465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44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</row>
    <row r="52" spans="1:29" ht="16.5" customHeight="1" x14ac:dyDescent="0.4">
      <c r="A52" s="478" t="s">
        <v>90</v>
      </c>
      <c r="B52" s="463"/>
      <c r="C52" s="481" t="s">
        <v>91</v>
      </c>
      <c r="D52" s="468"/>
      <c r="E52" s="468"/>
      <c r="F52" s="468"/>
      <c r="G52" s="469"/>
      <c r="H52" s="150" t="s">
        <v>92</v>
      </c>
      <c r="I52" s="150" t="s">
        <v>92</v>
      </c>
      <c r="J52" s="150" t="s">
        <v>93</v>
      </c>
      <c r="K52" s="150" t="s">
        <v>93</v>
      </c>
      <c r="L52" s="151" t="s">
        <v>94</v>
      </c>
      <c r="M52" s="151" t="s">
        <v>95</v>
      </c>
      <c r="N52" s="151" t="s">
        <v>96</v>
      </c>
      <c r="O52" s="152" t="s">
        <v>97</v>
      </c>
      <c r="P52" s="153" t="s">
        <v>98</v>
      </c>
      <c r="Q52" s="153" t="s">
        <v>99</v>
      </c>
      <c r="R52" s="154" t="s">
        <v>38</v>
      </c>
      <c r="S52" s="154" t="s">
        <v>100</v>
      </c>
      <c r="T52" s="154" t="s">
        <v>101</v>
      </c>
      <c r="U52" s="154" t="s">
        <v>102</v>
      </c>
      <c r="V52" s="155" t="s">
        <v>103</v>
      </c>
      <c r="W52" s="155"/>
      <c r="X52" s="156" t="s">
        <v>104</v>
      </c>
      <c r="Y52" s="157" t="s">
        <v>105</v>
      </c>
      <c r="Z52" s="482" t="s">
        <v>106</v>
      </c>
      <c r="AA52" s="482" t="s">
        <v>107</v>
      </c>
      <c r="AB52" s="121"/>
      <c r="AC52" s="121"/>
    </row>
    <row r="53" spans="1:29" ht="15.75" customHeight="1" x14ac:dyDescent="0.4">
      <c r="A53" s="479"/>
      <c r="B53" s="480"/>
      <c r="C53" s="158" t="s">
        <v>71</v>
      </c>
      <c r="D53" s="158" t="s">
        <v>108</v>
      </c>
      <c r="E53" s="158" t="s">
        <v>109</v>
      </c>
      <c r="F53" s="158" t="s">
        <v>110</v>
      </c>
      <c r="G53" s="158" t="s">
        <v>111</v>
      </c>
      <c r="H53" s="159" t="s">
        <v>112</v>
      </c>
      <c r="I53" s="158" t="s">
        <v>113</v>
      </c>
      <c r="J53" s="160" t="s">
        <v>114</v>
      </c>
      <c r="K53" s="160" t="s">
        <v>115</v>
      </c>
      <c r="L53" s="160"/>
      <c r="M53" s="160"/>
      <c r="N53" s="160"/>
      <c r="O53" s="161"/>
      <c r="P53" s="162" t="s">
        <v>116</v>
      </c>
      <c r="Q53" s="162" t="s">
        <v>117</v>
      </c>
      <c r="R53" s="163"/>
      <c r="S53" s="163"/>
      <c r="T53" s="163"/>
      <c r="U53" s="163" t="s">
        <v>118</v>
      </c>
      <c r="V53" s="164" t="s">
        <v>119</v>
      </c>
      <c r="W53" s="164" t="s">
        <v>102</v>
      </c>
      <c r="X53" s="165" t="s">
        <v>120</v>
      </c>
      <c r="Y53" s="166" t="s">
        <v>120</v>
      </c>
      <c r="Z53" s="483"/>
      <c r="AA53" s="483"/>
      <c r="AB53" s="167"/>
      <c r="AC53" s="167"/>
    </row>
    <row r="54" spans="1:29" ht="36.75" hidden="1" customHeight="1" x14ac:dyDescent="0.4">
      <c r="A54" s="168" t="s">
        <v>121</v>
      </c>
      <c r="B54" s="169"/>
      <c r="C54" s="170">
        <v>5350</v>
      </c>
      <c r="D54" s="171">
        <v>25</v>
      </c>
      <c r="E54" s="171">
        <v>11</v>
      </c>
      <c r="F54" s="171">
        <v>0.8</v>
      </c>
      <c r="G54" s="171">
        <v>6</v>
      </c>
      <c r="H54" s="172">
        <f t="shared" ref="H54:H308" si="1">((100-D54)/(100-E54))*F54</f>
        <v>0.6741573033707865</v>
      </c>
      <c r="I54" s="172">
        <f t="shared" ref="I54:I308" si="2">((100-D54)/(100-E54))*G54</f>
        <v>5.0561797752808983</v>
      </c>
      <c r="J54" s="172" t="str">
        <f t="shared" ref="J54:J55" si="3">IF(C54&gt;6000,"HBA 0",IF(C54&gt;5300,"HBA I",IF(C54&gt;4100,"HBA II","HBA III")))</f>
        <v>HBA I</v>
      </c>
      <c r="K54" s="172">
        <f t="array" ref="K54">IF(J54="", "", INDEX($B$24:$E$31, MATCH(DATE(2025,5,15), $A$24:$A$31, 0), MATCH(J54, $B$23:$E$23, 0)))</f>
        <v>76.62</v>
      </c>
      <c r="L54" s="172">
        <f t="shared" ref="L54:L308" si="4">IF(J54="HBA 0", K54*C54/6322*((100 - D54)/(100 - 12.26)), IF(J54="HBA I", K54*C54/5300*((100 - D54)/(100 - 21.32)), IF(J54="HBA II", K54*C54/4100*((100 - D54)/(100 - 35.73)), IF(J54="HBA III", K54*C54/3400*((100 - D54)/((100 - 44.3)/M54)), ""))))</f>
        <v>73.725371938878268</v>
      </c>
      <c r="M54" s="173" t="str">
        <f t="shared" ref="M54:M308" si="5">IF(C54&lt;=3400, (((100 - 44.3)/(100 - D54))*D54 + (100 - 44.3))/100, IF(C54&lt;4100, (((100 - 35.73)/(100 - D54))*D54 + (100 - 35.73))/100, ""))</f>
        <v/>
      </c>
      <c r="N54" s="174">
        <f t="shared" ref="N54:N68" si="6">IF(J54="HBA 0", (H54 - 0.66)*4 + (I54 - 7.94)*0.4, IF(J54="HBA I", (H54 - 0.75)*4 + (I54 - 6.04)*0.4, IF(J54="HBA II", (H54 - 0.23)*4 + (I54 - 3.9)*0.4, IF(J54="HBA III", (H54 - 0.24)*4 + (I54 - 3.88)*0.4, ""))))</f>
        <v>-0.69689887640449477</v>
      </c>
      <c r="O54" s="175">
        <f>IF(C54&gt;5999,K54*C54/6322*((100 - D54)/(100 - 12.26)) - N54,IF(C54&gt;5299,K54*C54/5300*((100 - D54)/(100 - 21.32)) - N54,IF(C54&gt;3999,K54*C54/4100*((100 - D54)/(100 - 35.73)) - N54,IF(C54&gt;3399,K54*C54/4100*((100 - D54)/(100 - (35.73/M54))) - N54,K54*C54/3400*((100 - D54)/((100 - 44.3)/M54)) - N54))))</f>
        <v>74.422270815282758</v>
      </c>
      <c r="P54" s="176"/>
      <c r="Q54" s="177"/>
      <c r="R54" s="176">
        <v>0</v>
      </c>
      <c r="S54" s="178" t="e">
        <f>((#REF!*50%)+(#REF!*50%))+R54</f>
        <v>#REF!</v>
      </c>
      <c r="T54" s="179"/>
      <c r="U54" s="179"/>
      <c r="V54" s="179"/>
      <c r="W54" s="179"/>
      <c r="X54" s="179"/>
      <c r="Y54" s="179"/>
      <c r="Z54" s="180"/>
      <c r="AA54" s="180"/>
      <c r="AB54" s="180"/>
      <c r="AC54" s="180"/>
    </row>
    <row r="55" spans="1:29" ht="36.75" hidden="1" customHeight="1" x14ac:dyDescent="0.4">
      <c r="A55" s="168" t="s">
        <v>122</v>
      </c>
      <c r="B55" s="169"/>
      <c r="C55" s="181">
        <v>5301</v>
      </c>
      <c r="D55" s="182">
        <v>26.34</v>
      </c>
      <c r="E55" s="182">
        <v>11.8</v>
      </c>
      <c r="F55" s="182">
        <v>0.65</v>
      </c>
      <c r="G55" s="182">
        <v>3.17</v>
      </c>
      <c r="H55" s="183">
        <f t="shared" si="1"/>
        <v>0.54284580498866208</v>
      </c>
      <c r="I55" s="183">
        <f t="shared" si="2"/>
        <v>2.6474172335600903</v>
      </c>
      <c r="J55" s="183" t="str">
        <f t="shared" si="3"/>
        <v>HBA I</v>
      </c>
      <c r="K55" s="172">
        <f t="array" ref="K55">IF(J55="", "", INDEX($B$24:$E$30, MATCH(DATE(2025,4,15), $A$24:$A$30, 0), MATCH(J55, $B$23:$E$23, 0)))</f>
        <v>78.459999999999994</v>
      </c>
      <c r="L55" s="183">
        <f t="shared" si="4"/>
        <v>73.46789585615484</v>
      </c>
      <c r="M55" s="184" t="str">
        <f t="shared" si="5"/>
        <v/>
      </c>
      <c r="N55" s="185">
        <f t="shared" si="6"/>
        <v>-2.1856498866213157</v>
      </c>
      <c r="O55" s="175">
        <f t="shared" ref="O55:O57" si="7">IF(C55&gt;5999,K55*C55/6322*((100 - D55)/(100 - 12.26)) - N55,IF(C55&gt;5299,K55*C55/5299*((100 - D55)/(100 - 21.32)) - N55,IF(C55&gt;3999,K55*C55/4100*((100 - D55)/(100 - 35.73)) - N55,IF(C55&gt;3399,K55*C55/4100*((100 - D55)/(100 - (35.73/M55))) - N55,K55*C55/3400*((100 - D55)/((100 - 44.3)/M55)) - N55))))</f>
        <v>75.66741022585903</v>
      </c>
      <c r="P55" s="186"/>
      <c r="Q55" s="187"/>
      <c r="R55" s="176">
        <v>0</v>
      </c>
      <c r="S55" s="178" t="e">
        <f t="shared" ref="S55:S56" si="8">(((#REF!*50%)+(#REF!*50%))*C55/5400)+R55</f>
        <v>#REF!</v>
      </c>
      <c r="T55" s="179"/>
      <c r="U55" s="179"/>
      <c r="V55" s="179"/>
      <c r="W55" s="179"/>
      <c r="X55" s="179"/>
      <c r="Y55" s="179"/>
      <c r="Z55" s="180"/>
      <c r="AA55" s="180"/>
      <c r="AB55" s="180"/>
      <c r="AC55" s="180"/>
    </row>
    <row r="56" spans="1:29" ht="36.75" hidden="1" customHeight="1" x14ac:dyDescent="0.4">
      <c r="A56" s="168" t="s">
        <v>123</v>
      </c>
      <c r="B56" s="169"/>
      <c r="C56" s="181">
        <v>5300</v>
      </c>
      <c r="D56" s="182">
        <v>26.58</v>
      </c>
      <c r="E56" s="182">
        <v>12.68</v>
      </c>
      <c r="F56" s="182">
        <v>0.51</v>
      </c>
      <c r="G56" s="182">
        <v>3.3</v>
      </c>
      <c r="H56" s="183">
        <f t="shared" si="1"/>
        <v>0.4288158497480532</v>
      </c>
      <c r="I56" s="183">
        <f t="shared" si="2"/>
        <v>2.7746907924874029</v>
      </c>
      <c r="J56" s="183" t="str">
        <f t="shared" ref="J56:J57" si="9">IF(C56&gt;5999,"HBA 0",IF(C56&gt;5299,"HBA I",IF(C56&gt;4099,"HBA II","HBA III")))</f>
        <v>HBA I</v>
      </c>
      <c r="K56" s="172">
        <f t="shared" ref="K56:K57" si="10">IF(J56="", "", INDEX($B$24:$E$31, MATCH(DATE(2025,4,15), $A$24:$A$31, 0), MATCH(J56, $B$23:$E$23, 0)))</f>
        <v>78.459999999999994</v>
      </c>
      <c r="L56" s="183">
        <f t="shared" si="4"/>
        <v>73.214707676664958</v>
      </c>
      <c r="M56" s="184" t="str">
        <f t="shared" si="5"/>
        <v/>
      </c>
      <c r="N56" s="185">
        <f t="shared" si="6"/>
        <v>-2.5908602840128259</v>
      </c>
      <c r="O56" s="175">
        <f t="shared" si="7"/>
        <v>75.819384663390863</v>
      </c>
      <c r="P56" s="186"/>
      <c r="Q56" s="187"/>
      <c r="R56" s="176">
        <v>0</v>
      </c>
      <c r="S56" s="178" t="e">
        <f t="shared" si="8"/>
        <v>#REF!</v>
      </c>
      <c r="T56" s="179"/>
      <c r="U56" s="179"/>
      <c r="V56" s="179"/>
      <c r="W56" s="179"/>
      <c r="X56" s="179"/>
      <c r="Y56" s="179"/>
      <c r="Z56" s="180"/>
      <c r="AA56" s="180"/>
      <c r="AB56" s="180"/>
      <c r="AC56" s="180"/>
    </row>
    <row r="57" spans="1:29" ht="36.75" hidden="1" customHeight="1" x14ac:dyDescent="0.4">
      <c r="A57" s="168" t="s">
        <v>124</v>
      </c>
      <c r="B57" s="169"/>
      <c r="C57" s="181">
        <v>5302</v>
      </c>
      <c r="D57" s="182">
        <v>26.1</v>
      </c>
      <c r="E57" s="182">
        <v>10.91</v>
      </c>
      <c r="F57" s="182">
        <v>0.8</v>
      </c>
      <c r="G57" s="182">
        <v>3.03</v>
      </c>
      <c r="H57" s="183">
        <f t="shared" si="1"/>
        <v>0.6635986081490628</v>
      </c>
      <c r="I57" s="183">
        <f t="shared" si="2"/>
        <v>2.5133797283645749</v>
      </c>
      <c r="J57" s="183" t="str">
        <f t="shared" si="9"/>
        <v>HBA I</v>
      </c>
      <c r="K57" s="172">
        <f t="shared" si="10"/>
        <v>78.459999999999994</v>
      </c>
      <c r="L57" s="183">
        <f t="shared" si="4"/>
        <v>73.721174348447491</v>
      </c>
      <c r="M57" s="184" t="str">
        <f t="shared" si="5"/>
        <v/>
      </c>
      <c r="N57" s="185">
        <f t="shared" si="6"/>
        <v>-1.756253676057919</v>
      </c>
      <c r="O57" s="175">
        <f t="shared" si="7"/>
        <v>75.491340305001444</v>
      </c>
      <c r="P57" s="186"/>
      <c r="Q57" s="187"/>
      <c r="R57" s="176"/>
      <c r="S57" s="178"/>
      <c r="T57" s="179"/>
      <c r="U57" s="179"/>
      <c r="V57" s="179"/>
      <c r="W57" s="179"/>
      <c r="X57" s="179"/>
      <c r="Y57" s="179"/>
      <c r="Z57" s="180"/>
      <c r="AA57" s="180"/>
      <c r="AB57" s="180"/>
      <c r="AC57" s="180"/>
    </row>
    <row r="58" spans="1:29" ht="36.75" hidden="1" customHeight="1" x14ac:dyDescent="0.4">
      <c r="A58" s="168" t="s">
        <v>125</v>
      </c>
      <c r="B58" s="169"/>
      <c r="C58" s="181">
        <v>5400</v>
      </c>
      <c r="D58" s="182">
        <v>22</v>
      </c>
      <c r="E58" s="182">
        <v>14</v>
      </c>
      <c r="F58" s="182">
        <v>1</v>
      </c>
      <c r="G58" s="182">
        <v>6</v>
      </c>
      <c r="H58" s="183">
        <f t="shared" si="1"/>
        <v>0.90697674418604646</v>
      </c>
      <c r="I58" s="183">
        <f t="shared" si="2"/>
        <v>5.441860465116279</v>
      </c>
      <c r="J58" s="183" t="str">
        <f t="shared" ref="J58:J68" si="11">IF(C58&gt;6000,"HBA 0",IF(C58&gt;5300,"HBA I",IF(C58&gt;4100,"HBA II","HBA III")))</f>
        <v>HBA I</v>
      </c>
      <c r="K58" s="172">
        <f t="shared" ref="K58:K59" si="12">IF(J58="", "", INDEX($B$24:$E$30, MATCH(DATE(2025,5,1), $A$24:$A$30, 0), MATCH(J58, $B$23:$E$23, 0)))</f>
        <v>80.8</v>
      </c>
      <c r="L58" s="183">
        <f t="shared" si="4"/>
        <v>81.61303009083845</v>
      </c>
      <c r="M58" s="184" t="str">
        <f t="shared" si="5"/>
        <v/>
      </c>
      <c r="N58" s="185">
        <f t="shared" si="6"/>
        <v>0.38865116279069739</v>
      </c>
      <c r="O58" s="175">
        <f t="shared" ref="O58:O77" si="13">IF(C58&gt;5999,K58*C58/6322*((100 - D58)/(100 - 12.26)) - N58,IF(C58&gt;5299,K58*C58/5300*((100 - D58)/(100 - 21.32)) - N58,IF(C58&gt;3999,K58*C58/4100*((100 - D58)/(100 - 35.73)) - N58,IF(C58&gt;3399,K58*C58/4100*((100 - D58)/(100 - (35.73/M58))) - N58,K58*C58/3400*((100 - D58)/((100 - 44.3)/M58)) - N58))))</f>
        <v>81.224378928047756</v>
      </c>
      <c r="P58" s="186"/>
      <c r="Q58" s="187"/>
      <c r="R58" s="186">
        <v>1.9</v>
      </c>
      <c r="S58" s="178" t="e">
        <f>((#REF!*50%)+(#REF!*50%))+R58</f>
        <v>#REF!</v>
      </c>
      <c r="T58" s="179"/>
      <c r="U58" s="179"/>
      <c r="V58" s="179"/>
      <c r="W58" s="179"/>
      <c r="X58" s="179"/>
      <c r="Y58" s="179"/>
      <c r="Z58" s="180"/>
      <c r="AA58" s="180"/>
      <c r="AB58" s="180"/>
      <c r="AC58" s="180"/>
    </row>
    <row r="59" spans="1:29" ht="36.75" hidden="1" customHeight="1" x14ac:dyDescent="0.4">
      <c r="A59" s="168" t="s">
        <v>126</v>
      </c>
      <c r="B59" s="169"/>
      <c r="C59" s="181">
        <v>5200</v>
      </c>
      <c r="D59" s="182">
        <v>22</v>
      </c>
      <c r="E59" s="182">
        <v>14</v>
      </c>
      <c r="F59" s="182">
        <v>1</v>
      </c>
      <c r="G59" s="182">
        <v>8</v>
      </c>
      <c r="H59" s="183">
        <f t="shared" si="1"/>
        <v>0.90697674418604646</v>
      </c>
      <c r="I59" s="183">
        <f t="shared" si="2"/>
        <v>7.2558139534883717</v>
      </c>
      <c r="J59" s="183" t="str">
        <f t="shared" si="11"/>
        <v>HBA II</v>
      </c>
      <c r="K59" s="172">
        <f t="shared" si="12"/>
        <v>50.43</v>
      </c>
      <c r="L59" s="183">
        <f t="shared" si="4"/>
        <v>77.623774700482329</v>
      </c>
      <c r="M59" s="188" t="str">
        <f t="shared" si="5"/>
        <v/>
      </c>
      <c r="N59" s="185">
        <f t="shared" si="6"/>
        <v>4.0502325581395349</v>
      </c>
      <c r="O59" s="175">
        <f t="shared" si="13"/>
        <v>73.573542142342788</v>
      </c>
      <c r="P59" s="182"/>
      <c r="Q59" s="189"/>
      <c r="R59" s="186">
        <v>1.9</v>
      </c>
      <c r="S59" s="178" t="e">
        <f>(((#REF!*50%)+(#REF!*50%))*C59/5400)+R59</f>
        <v>#REF!</v>
      </c>
      <c r="T59" s="179"/>
      <c r="U59" s="179"/>
      <c r="V59" s="179"/>
      <c r="W59" s="179"/>
      <c r="X59" s="179"/>
      <c r="Y59" s="179"/>
      <c r="Z59" s="180"/>
      <c r="AA59" s="180"/>
      <c r="AB59" s="180"/>
      <c r="AC59" s="180"/>
    </row>
    <row r="60" spans="1:29" ht="36.75" hidden="1" customHeight="1" x14ac:dyDescent="0.4">
      <c r="A60" s="168" t="s">
        <v>127</v>
      </c>
      <c r="B60" s="169"/>
      <c r="C60" s="181">
        <v>5000</v>
      </c>
      <c r="D60" s="182">
        <v>28</v>
      </c>
      <c r="E60" s="182">
        <v>13</v>
      </c>
      <c r="F60" s="182">
        <v>0.8</v>
      </c>
      <c r="G60" s="182">
        <v>8</v>
      </c>
      <c r="H60" s="183">
        <f t="shared" si="1"/>
        <v>0.66206896551724137</v>
      </c>
      <c r="I60" s="183">
        <f t="shared" si="2"/>
        <v>6.6206896551724137</v>
      </c>
      <c r="J60" s="190" t="str">
        <f t="shared" si="11"/>
        <v>HBA II</v>
      </c>
      <c r="K60" s="172">
        <f t="array" ref="K60">IF(J60="", "", INDEX($B$24:$E$34, MATCH(DATE(2025,7,1), $A$24:$A$34, 0), MATCH(J60, $B$23:$E$23, 0)))</f>
        <v>49.78</v>
      </c>
      <c r="L60" s="183">
        <f t="shared" si="4"/>
        <v>68.008819500051231</v>
      </c>
      <c r="M60" s="188" t="str">
        <f t="shared" si="5"/>
        <v/>
      </c>
      <c r="N60" s="185">
        <f t="shared" si="6"/>
        <v>2.8165517241379314</v>
      </c>
      <c r="O60" s="175">
        <f t="shared" si="13"/>
        <v>65.192267775913294</v>
      </c>
      <c r="P60" s="182">
        <v>3.01</v>
      </c>
      <c r="Q60" s="191">
        <f t="shared" ref="Q60:Q61" si="14">O60+P60</f>
        <v>68.202267775913299</v>
      </c>
      <c r="R60" s="186">
        <v>0.75</v>
      </c>
      <c r="S60" s="178" t="e">
        <f>AVERAGE(#REF!)+0.75</f>
        <v>#REF!</v>
      </c>
      <c r="T60" s="179"/>
      <c r="U60" s="179"/>
      <c r="V60" s="179"/>
      <c r="W60" s="179"/>
      <c r="X60" s="179"/>
      <c r="Y60" s="179"/>
      <c r="Z60" s="180"/>
      <c r="AA60" s="180"/>
      <c r="AB60" s="180"/>
      <c r="AC60" s="180"/>
    </row>
    <row r="61" spans="1:29" ht="36.75" hidden="1" customHeight="1" x14ac:dyDescent="0.4">
      <c r="A61" s="168" t="s">
        <v>128</v>
      </c>
      <c r="B61" s="169"/>
      <c r="C61" s="181">
        <v>5000</v>
      </c>
      <c r="D61" s="182">
        <v>29.75</v>
      </c>
      <c r="E61" s="182">
        <v>14.73</v>
      </c>
      <c r="F61" s="182">
        <v>0.66</v>
      </c>
      <c r="G61" s="182">
        <v>5.75</v>
      </c>
      <c r="H61" s="183">
        <f t="shared" si="1"/>
        <v>0.54374340330714199</v>
      </c>
      <c r="I61" s="192">
        <f t="shared" si="2"/>
        <v>4.7371584379031315</v>
      </c>
      <c r="J61" s="192" t="str">
        <f t="shared" si="11"/>
        <v>HBA II</v>
      </c>
      <c r="K61" s="172">
        <f t="array" ref="K61">IF(J61="", "", INDEX($B$24:$E$31, MATCH(DATE(2025,5,15), $A$24:$A$31, 0), MATCH(J61, $B$23:$E$23, 0)))</f>
        <v>50.58</v>
      </c>
      <c r="L61" s="183">
        <f t="shared" si="4"/>
        <v>67.422212692641921</v>
      </c>
      <c r="M61" s="188" t="str">
        <f t="shared" si="5"/>
        <v/>
      </c>
      <c r="N61" s="185">
        <f t="shared" si="6"/>
        <v>1.5898369883898207</v>
      </c>
      <c r="O61" s="175">
        <f t="shared" si="13"/>
        <v>65.832375704252101</v>
      </c>
      <c r="P61" s="182">
        <v>4.6900000000000004</v>
      </c>
      <c r="Q61" s="191">
        <f t="shared" si="14"/>
        <v>70.522375704252099</v>
      </c>
      <c r="R61" s="186"/>
      <c r="S61" s="178" t="e">
        <f>(AVERAGE(#REF!))*4800/5000</f>
        <v>#REF!</v>
      </c>
      <c r="T61" s="179"/>
      <c r="U61" s="179"/>
      <c r="V61" s="179"/>
      <c r="W61" s="179"/>
      <c r="X61" s="179"/>
      <c r="Y61" s="179"/>
      <c r="Z61" s="180"/>
      <c r="AA61" s="180"/>
      <c r="AB61" s="180"/>
      <c r="AC61" s="180"/>
    </row>
    <row r="62" spans="1:29" ht="36.75" hidden="1" customHeight="1" x14ac:dyDescent="0.4">
      <c r="A62" s="168" t="s">
        <v>129</v>
      </c>
      <c r="B62" s="169"/>
      <c r="C62" s="181">
        <v>5007</v>
      </c>
      <c r="D62" s="182">
        <v>30.55</v>
      </c>
      <c r="E62" s="182">
        <v>13.39</v>
      </c>
      <c r="F62" s="182">
        <v>0.79</v>
      </c>
      <c r="G62" s="182">
        <v>7.57</v>
      </c>
      <c r="H62" s="183">
        <f t="shared" si="1"/>
        <v>0.63347765846899895</v>
      </c>
      <c r="I62" s="183">
        <f t="shared" si="2"/>
        <v>6.0701593349497749</v>
      </c>
      <c r="J62" s="192" t="str">
        <f t="shared" si="11"/>
        <v>HBA II</v>
      </c>
      <c r="K62" s="172">
        <f t="shared" ref="K62:K63" si="15">IF(J62="", "", INDEX($B$24:$E$33, MATCH(DATE(2025,6,15), $A$24:$A$33, 0), MATCH(J62, $B$23:$E$23, 0)))</f>
        <v>50.25</v>
      </c>
      <c r="L62" s="183">
        <f t="shared" si="4"/>
        <v>66.312248014284251</v>
      </c>
      <c r="M62" s="188" t="str">
        <f t="shared" si="5"/>
        <v/>
      </c>
      <c r="N62" s="185">
        <f t="shared" si="6"/>
        <v>2.4819743678559059</v>
      </c>
      <c r="O62" s="175">
        <f t="shared" si="13"/>
        <v>63.830273646428346</v>
      </c>
      <c r="P62" s="182"/>
      <c r="Q62" s="191"/>
      <c r="R62" s="186"/>
      <c r="S62" s="178"/>
      <c r="T62" s="179"/>
      <c r="U62" s="179"/>
      <c r="V62" s="179"/>
      <c r="W62" s="179"/>
      <c r="X62" s="179"/>
      <c r="Y62" s="179"/>
      <c r="Z62" s="180"/>
      <c r="AA62" s="180"/>
      <c r="AB62" s="180"/>
      <c r="AC62" s="180"/>
    </row>
    <row r="63" spans="1:29" ht="36.75" hidden="1" customHeight="1" x14ac:dyDescent="0.4">
      <c r="A63" s="168" t="s">
        <v>130</v>
      </c>
      <c r="B63" s="169"/>
      <c r="C63" s="181">
        <v>5400</v>
      </c>
      <c r="D63" s="182">
        <v>19</v>
      </c>
      <c r="E63" s="182">
        <v>14</v>
      </c>
      <c r="F63" s="182">
        <v>0.2</v>
      </c>
      <c r="G63" s="182">
        <v>6</v>
      </c>
      <c r="H63" s="183">
        <f t="shared" si="1"/>
        <v>0.18837209302325583</v>
      </c>
      <c r="I63" s="192">
        <f t="shared" si="2"/>
        <v>5.6511627906976747</v>
      </c>
      <c r="J63" s="192" t="str">
        <f t="shared" si="11"/>
        <v>HBA I</v>
      </c>
      <c r="K63" s="172">
        <f t="shared" si="15"/>
        <v>75.64</v>
      </c>
      <c r="L63" s="183">
        <f t="shared" si="4"/>
        <v>79.339613049275286</v>
      </c>
      <c r="M63" s="188" t="str">
        <f t="shared" si="5"/>
        <v/>
      </c>
      <c r="N63" s="185">
        <f t="shared" si="6"/>
        <v>-2.4020465116279066</v>
      </c>
      <c r="O63" s="175">
        <f t="shared" si="13"/>
        <v>81.741659560903187</v>
      </c>
      <c r="P63" s="193">
        <v>-7.12</v>
      </c>
      <c r="Q63" s="191">
        <f t="shared" ref="Q63:Q64" si="16">O63+P63</f>
        <v>74.621659560903183</v>
      </c>
      <c r="R63" s="186"/>
      <c r="S63" s="194"/>
      <c r="T63" s="195"/>
      <c r="U63" s="195"/>
      <c r="V63" s="195"/>
      <c r="W63" s="195"/>
      <c r="X63" s="195"/>
      <c r="Y63" s="195"/>
      <c r="Z63" s="180"/>
      <c r="AA63" s="180"/>
      <c r="AB63" s="180"/>
      <c r="AC63" s="180"/>
    </row>
    <row r="64" spans="1:29" ht="36.75" hidden="1" customHeight="1" x14ac:dyDescent="0.4">
      <c r="A64" s="168" t="s">
        <v>131</v>
      </c>
      <c r="B64" s="169"/>
      <c r="C64" s="181">
        <v>5358</v>
      </c>
      <c r="D64" s="182">
        <v>20.5</v>
      </c>
      <c r="E64" s="182">
        <v>9.2100000000000009</v>
      </c>
      <c r="F64" s="182">
        <v>0.2</v>
      </c>
      <c r="G64" s="182">
        <v>5.23</v>
      </c>
      <c r="H64" s="183">
        <f t="shared" si="1"/>
        <v>0.1751294195395969</v>
      </c>
      <c r="I64" s="192">
        <f t="shared" si="2"/>
        <v>4.5796343209604586</v>
      </c>
      <c r="J64" s="192" t="str">
        <f t="shared" si="11"/>
        <v>HBA I</v>
      </c>
      <c r="K64" s="172">
        <f t="shared" ref="K64:K66" si="17">IF(J64="", "", INDEX($B$24:$E$30, MATCH(DATE(2025,5,1), $A$24:$A$30, 0), MATCH(J64, $B$23:$E$23, 0)))</f>
        <v>80.8</v>
      </c>
      <c r="L64" s="183">
        <f t="shared" si="4"/>
        <v>82.535536349771206</v>
      </c>
      <c r="M64" s="188" t="str">
        <f t="shared" si="5"/>
        <v/>
      </c>
      <c r="N64" s="185">
        <f t="shared" si="6"/>
        <v>-2.8836285934574288</v>
      </c>
      <c r="O64" s="175">
        <f t="shared" si="13"/>
        <v>85.419164943228637</v>
      </c>
      <c r="P64" s="193">
        <v>-7.12</v>
      </c>
      <c r="Q64" s="191">
        <f t="shared" si="16"/>
        <v>78.299164943228632</v>
      </c>
      <c r="R64" s="186"/>
      <c r="S64" s="178"/>
      <c r="T64" s="179"/>
      <c r="U64" s="179"/>
      <c r="V64" s="179"/>
      <c r="W64" s="179"/>
      <c r="X64" s="179"/>
      <c r="Y64" s="179"/>
      <c r="Z64" s="180"/>
      <c r="AA64" s="180"/>
      <c r="AB64" s="180"/>
      <c r="AC64" s="180"/>
    </row>
    <row r="65" spans="1:29" ht="36.75" hidden="1" customHeight="1" x14ac:dyDescent="0.4">
      <c r="A65" s="168" t="s">
        <v>132</v>
      </c>
      <c r="B65" s="169"/>
      <c r="C65" s="181">
        <v>4800</v>
      </c>
      <c r="D65" s="182">
        <v>30</v>
      </c>
      <c r="E65" s="182">
        <v>14</v>
      </c>
      <c r="F65" s="182">
        <v>0.8</v>
      </c>
      <c r="G65" s="182">
        <v>8</v>
      </c>
      <c r="H65" s="183">
        <f t="shared" si="1"/>
        <v>0.65116279069767447</v>
      </c>
      <c r="I65" s="192">
        <f t="shared" si="2"/>
        <v>6.5116279069767442</v>
      </c>
      <c r="J65" s="192" t="str">
        <f t="shared" si="11"/>
        <v>HBA II</v>
      </c>
      <c r="K65" s="172">
        <f t="shared" si="17"/>
        <v>50.43</v>
      </c>
      <c r="L65" s="183">
        <f t="shared" si="4"/>
        <v>64.303718686790091</v>
      </c>
      <c r="M65" s="188" t="str">
        <f t="shared" si="5"/>
        <v/>
      </c>
      <c r="N65" s="185">
        <f t="shared" si="6"/>
        <v>2.7293023255813957</v>
      </c>
      <c r="O65" s="175">
        <f t="shared" si="13"/>
        <v>61.574416361208698</v>
      </c>
      <c r="P65" s="193"/>
      <c r="Q65" s="191"/>
      <c r="R65" s="186">
        <v>1.1499999999999999</v>
      </c>
      <c r="S65" s="178" t="e">
        <f>(#REF!*C65/5000)+R65</f>
        <v>#REF!</v>
      </c>
      <c r="T65" s="179"/>
      <c r="U65" s="179"/>
      <c r="V65" s="179"/>
      <c r="W65" s="179"/>
      <c r="X65" s="179"/>
      <c r="Y65" s="179"/>
      <c r="Z65" s="180"/>
      <c r="AA65" s="180"/>
      <c r="AB65" s="180"/>
      <c r="AC65" s="180"/>
    </row>
    <row r="66" spans="1:29" ht="36.75" hidden="1" customHeight="1" x14ac:dyDescent="0.4">
      <c r="A66" s="168" t="s">
        <v>133</v>
      </c>
      <c r="B66" s="169"/>
      <c r="C66" s="181"/>
      <c r="D66" s="182">
        <v>28</v>
      </c>
      <c r="E66" s="182">
        <v>13</v>
      </c>
      <c r="F66" s="182">
        <v>0.8</v>
      </c>
      <c r="G66" s="182">
        <v>8</v>
      </c>
      <c r="H66" s="183">
        <f t="shared" si="1"/>
        <v>0.66206896551724137</v>
      </c>
      <c r="I66" s="192">
        <f t="shared" si="2"/>
        <v>6.6206896551724137</v>
      </c>
      <c r="J66" s="192" t="str">
        <f t="shared" si="11"/>
        <v>HBA III</v>
      </c>
      <c r="K66" s="172">
        <f t="shared" si="17"/>
        <v>34.729999999999997</v>
      </c>
      <c r="L66" s="183">
        <f t="shared" si="4"/>
        <v>0</v>
      </c>
      <c r="M66" s="188">
        <f t="shared" si="5"/>
        <v>0.77361111111111114</v>
      </c>
      <c r="N66" s="185">
        <f t="shared" si="6"/>
        <v>2.7845517241379314</v>
      </c>
      <c r="O66" s="175">
        <f t="shared" si="13"/>
        <v>-2.7845517241379314</v>
      </c>
      <c r="P66" s="193"/>
      <c r="Q66" s="191"/>
      <c r="R66" s="186">
        <v>1.45</v>
      </c>
      <c r="S66" s="178" t="e">
        <f>#REF!+R66</f>
        <v>#REF!</v>
      </c>
      <c r="T66" s="179"/>
      <c r="U66" s="179"/>
      <c r="V66" s="179"/>
      <c r="W66" s="179"/>
      <c r="X66" s="179"/>
      <c r="Y66" s="179"/>
      <c r="Z66" s="180"/>
      <c r="AA66" s="180"/>
      <c r="AB66" s="180"/>
      <c r="AC66" s="180"/>
    </row>
    <row r="67" spans="1:29" ht="36.75" hidden="1" customHeight="1" x14ac:dyDescent="0.4">
      <c r="A67" s="168" t="s">
        <v>134</v>
      </c>
      <c r="B67" s="169"/>
      <c r="C67" s="181">
        <v>4200</v>
      </c>
      <c r="D67" s="182">
        <v>36</v>
      </c>
      <c r="E67" s="182">
        <v>16</v>
      </c>
      <c r="F67" s="182">
        <v>0.4</v>
      </c>
      <c r="G67" s="182">
        <v>8</v>
      </c>
      <c r="H67" s="183">
        <f t="shared" si="1"/>
        <v>0.30476190476190479</v>
      </c>
      <c r="I67" s="192">
        <f t="shared" si="2"/>
        <v>6.0952380952380949</v>
      </c>
      <c r="J67" s="192" t="str">
        <f t="shared" si="11"/>
        <v>HBA II</v>
      </c>
      <c r="K67" s="196">
        <f t="array" ref="K67">IF(J67="", "", INDEX($B$24:$E$33, MATCH(DATE(2025,6,15), $A$24:$A$33, 0), MATCH(J67, $B$23:$E$23, 0)))</f>
        <v>50.25</v>
      </c>
      <c r="L67" s="197">
        <f t="shared" si="4"/>
        <v>51.259359333907625</v>
      </c>
      <c r="M67" s="198" t="str">
        <f t="shared" si="5"/>
        <v/>
      </c>
      <c r="N67" s="199">
        <f t="shared" si="6"/>
        <v>1.177142857142857</v>
      </c>
      <c r="O67" s="175">
        <f t="shared" si="13"/>
        <v>50.082216476764771</v>
      </c>
      <c r="P67" s="193"/>
      <c r="Q67" s="191"/>
      <c r="R67" s="186">
        <v>-1</v>
      </c>
      <c r="S67" s="178" t="e">
        <f>#REF!+'HPB Calculation'!R67</f>
        <v>#REF!</v>
      </c>
      <c r="T67" s="179"/>
      <c r="U67" s="179"/>
      <c r="V67" s="179"/>
      <c r="W67" s="179"/>
      <c r="X67" s="179"/>
      <c r="Y67" s="179"/>
      <c r="Z67" s="180"/>
      <c r="AA67" s="180"/>
      <c r="AB67" s="180"/>
      <c r="AC67" s="180"/>
    </row>
    <row r="68" spans="1:29" ht="36.75" hidden="1" customHeight="1" x14ac:dyDescent="0.4">
      <c r="A68" s="168" t="s">
        <v>135</v>
      </c>
      <c r="B68" s="169"/>
      <c r="C68" s="181">
        <v>4050</v>
      </c>
      <c r="D68" s="182">
        <v>36</v>
      </c>
      <c r="E68" s="182">
        <v>16</v>
      </c>
      <c r="F68" s="182">
        <v>0.6</v>
      </c>
      <c r="G68" s="182">
        <v>10</v>
      </c>
      <c r="H68" s="183">
        <f t="shared" si="1"/>
        <v>0.45714285714285707</v>
      </c>
      <c r="I68" s="192">
        <f t="shared" si="2"/>
        <v>7.6190476190476186</v>
      </c>
      <c r="J68" s="192" t="str">
        <f t="shared" si="11"/>
        <v>HBA III</v>
      </c>
      <c r="K68" s="172">
        <f t="shared" ref="K68:K75" si="18">IF(J68="", "", INDEX($B$24:$E$30, MATCH(DATE(2025,5,1), $A$24:$A$30, 0), MATCH(J68, $B$23:$E$23, 0)))</f>
        <v>34.729999999999997</v>
      </c>
      <c r="L68" s="183">
        <f t="shared" si="4"/>
        <v>47.734677658675679</v>
      </c>
      <c r="M68" s="188">
        <f t="shared" si="5"/>
        <v>1.0042187500000002</v>
      </c>
      <c r="N68" s="185">
        <f t="shared" si="6"/>
        <v>2.3641904761904762</v>
      </c>
      <c r="O68" s="175">
        <f t="shared" si="13"/>
        <v>31.798150562188003</v>
      </c>
      <c r="P68" s="193"/>
      <c r="Q68" s="191"/>
      <c r="R68" s="186">
        <v>-1</v>
      </c>
      <c r="S68" s="178" t="e">
        <f>(#REF!*C68/4200)+'HPB Calculation'!R68</f>
        <v>#REF!</v>
      </c>
      <c r="T68" s="179"/>
      <c r="U68" s="179"/>
      <c r="V68" s="179"/>
      <c r="W68" s="179"/>
      <c r="X68" s="179"/>
      <c r="Y68" s="179"/>
      <c r="Z68" s="180"/>
      <c r="AA68" s="180"/>
      <c r="AB68" s="180"/>
      <c r="AC68" s="180"/>
    </row>
    <row r="69" spans="1:29" ht="36.75" hidden="1" customHeight="1" x14ac:dyDescent="0.4">
      <c r="A69" s="168" t="s">
        <v>136</v>
      </c>
      <c r="B69" s="169"/>
      <c r="C69" s="170">
        <v>3800</v>
      </c>
      <c r="D69" s="171">
        <v>40</v>
      </c>
      <c r="E69" s="171">
        <v>15</v>
      </c>
      <c r="F69" s="171">
        <v>0.6</v>
      </c>
      <c r="G69" s="171">
        <v>8</v>
      </c>
      <c r="H69" s="183">
        <f t="shared" si="1"/>
        <v>0.42352941176470588</v>
      </c>
      <c r="I69" s="192">
        <f t="shared" si="2"/>
        <v>5.6470588235294121</v>
      </c>
      <c r="J69" s="192" t="str">
        <f t="shared" ref="J69:J75" si="19">IF(C69&gt;6000,"HBA 0",IF(C69&gt;5300,"HBA I",IF(C69&gt;3400,"HBA II","HBA III")))</f>
        <v>HBA II</v>
      </c>
      <c r="K69" s="172">
        <f t="shared" si="18"/>
        <v>50.43</v>
      </c>
      <c r="L69" s="183">
        <f t="shared" si="4"/>
        <v>43.634666251750424</v>
      </c>
      <c r="M69" s="200">
        <f t="shared" si="5"/>
        <v>1.0711666666666668</v>
      </c>
      <c r="N69" s="185">
        <f>IF(J69="HBA 0", (H69 - 0.66)*4 + (I69 - 7.94)*0.4, IF(J69="HBA I", (H69 - 0.75)*4 + (I69 - 6.04)*0.4, IF(J69="HBA II", ((H69 - 0.23)*4) + ((I69 - 3.9)*0.4), IF(J69="HBA III", (H69 - 0.24)*4 + (I69 - 3.88)*0.4, ""))))</f>
        <v>1.4729411764705884</v>
      </c>
      <c r="O69" s="175">
        <f t="shared" si="13"/>
        <v>40.607463194093469</v>
      </c>
      <c r="P69" s="193"/>
      <c r="Q69" s="191"/>
      <c r="R69" s="186"/>
      <c r="S69" s="178" t="e">
        <f>((#REF!*50%)+(#REF!*50%))</f>
        <v>#REF!</v>
      </c>
      <c r="T69" s="179"/>
      <c r="U69" s="179"/>
      <c r="V69" s="179">
        <v>41</v>
      </c>
      <c r="W69" s="201" t="e">
        <f>V69-S69</f>
        <v>#REF!</v>
      </c>
      <c r="X69" s="201"/>
      <c r="Y69" s="201"/>
      <c r="Z69" s="180"/>
      <c r="AA69" s="180"/>
      <c r="AB69" s="180"/>
      <c r="AC69" s="180"/>
    </row>
    <row r="70" spans="1:29" ht="36.75" hidden="1" customHeight="1" x14ac:dyDescent="0.4">
      <c r="A70" s="168" t="s">
        <v>16</v>
      </c>
      <c r="B70" s="169"/>
      <c r="C70" s="181">
        <v>4750</v>
      </c>
      <c r="D70" s="182">
        <v>33</v>
      </c>
      <c r="E70" s="182">
        <v>14</v>
      </c>
      <c r="F70" s="182">
        <v>0.8</v>
      </c>
      <c r="G70" s="182">
        <v>6</v>
      </c>
      <c r="H70" s="183">
        <f t="shared" si="1"/>
        <v>0.6232558139534885</v>
      </c>
      <c r="I70" s="192">
        <f t="shared" si="2"/>
        <v>4.6744186046511631</v>
      </c>
      <c r="J70" s="192" t="str">
        <f t="shared" si="19"/>
        <v>HBA II</v>
      </c>
      <c r="K70" s="172">
        <f t="shared" si="18"/>
        <v>50.43</v>
      </c>
      <c r="L70" s="183">
        <f t="shared" si="4"/>
        <v>60.906721643068288</v>
      </c>
      <c r="M70" s="188" t="str">
        <f t="shared" si="5"/>
        <v/>
      </c>
      <c r="N70" s="185">
        <f t="shared" ref="N70:N81" si="20">IF(J70="HBA 0", (H70 - 0.66)*4 + (I70 - 7.94)*0.4, IF(J70="HBA I", (H70 - 0.75)*4 + (I70 - 6.04)*0.4, IF(J70="HBA II", (H70 - 0.23)*4 + (I70 - 3.9)*0.4, IF(J70="HBA III", (H70 - 0.24)*4 + (I70 - 3.88)*0.4, ""))))</f>
        <v>1.8827906976744193</v>
      </c>
      <c r="O70" s="175">
        <f t="shared" si="13"/>
        <v>59.023930945393872</v>
      </c>
      <c r="P70" s="193"/>
      <c r="Q70" s="191"/>
      <c r="R70" s="186">
        <v>-3</v>
      </c>
      <c r="S70" s="178" t="e">
        <f>#REF!*4750/5000</f>
        <v>#REF!</v>
      </c>
      <c r="T70" s="179"/>
      <c r="U70" s="179"/>
      <c r="V70" s="179"/>
      <c r="W70" s="179"/>
      <c r="X70" s="179"/>
      <c r="Y70" s="179"/>
      <c r="Z70" s="180"/>
      <c r="AA70" s="180"/>
      <c r="AB70" s="180"/>
      <c r="AC70" s="180"/>
    </row>
    <row r="71" spans="1:29" ht="36.75" hidden="1" customHeight="1" x14ac:dyDescent="0.4">
      <c r="A71" s="168" t="s">
        <v>137</v>
      </c>
      <c r="B71" s="169"/>
      <c r="C71" s="181">
        <v>3800</v>
      </c>
      <c r="D71" s="182">
        <v>41</v>
      </c>
      <c r="E71" s="182">
        <v>15</v>
      </c>
      <c r="F71" s="182">
        <v>0.6</v>
      </c>
      <c r="G71" s="182">
        <v>6</v>
      </c>
      <c r="H71" s="183">
        <f t="shared" si="1"/>
        <v>0.41647058823529409</v>
      </c>
      <c r="I71" s="192">
        <f t="shared" si="2"/>
        <v>4.1647058823529406</v>
      </c>
      <c r="J71" s="192" t="str">
        <f t="shared" si="19"/>
        <v>HBA II</v>
      </c>
      <c r="K71" s="172">
        <f t="shared" si="18"/>
        <v>50.43</v>
      </c>
      <c r="L71" s="183">
        <f t="shared" si="4"/>
        <v>42.907421814221244</v>
      </c>
      <c r="M71" s="188">
        <f t="shared" si="5"/>
        <v>1.0893220338983052</v>
      </c>
      <c r="N71" s="185">
        <f t="shared" si="20"/>
        <v>0.85176470588235265</v>
      </c>
      <c r="O71" s="175">
        <f t="shared" si="13"/>
        <v>40.184975458926978</v>
      </c>
      <c r="P71" s="193"/>
      <c r="Q71" s="191"/>
      <c r="R71" s="186">
        <v>1</v>
      </c>
      <c r="S71" s="178" t="e">
        <f>(#REF!*50%)+(#REF!*50%)+R71</f>
        <v>#REF!</v>
      </c>
      <c r="T71" s="179"/>
      <c r="U71" s="179"/>
      <c r="V71" s="179"/>
      <c r="W71" s="179"/>
      <c r="X71" s="179"/>
      <c r="Y71" s="179"/>
      <c r="Z71" s="180"/>
      <c r="AA71" s="180"/>
      <c r="AB71" s="180"/>
      <c r="AC71" s="180"/>
    </row>
    <row r="72" spans="1:29" ht="36.75" hidden="1" customHeight="1" x14ac:dyDescent="0.4">
      <c r="A72" s="168" t="s">
        <v>138</v>
      </c>
      <c r="B72" s="169"/>
      <c r="C72" s="181">
        <v>5000</v>
      </c>
      <c r="D72" s="182">
        <v>24</v>
      </c>
      <c r="E72" s="182">
        <v>14</v>
      </c>
      <c r="F72" s="182">
        <v>0.8</v>
      </c>
      <c r="G72" s="182">
        <v>7</v>
      </c>
      <c r="H72" s="183">
        <f t="shared" si="1"/>
        <v>0.70697674418604661</v>
      </c>
      <c r="I72" s="192">
        <f t="shared" si="2"/>
        <v>6.1860465116279073</v>
      </c>
      <c r="J72" s="192" t="str">
        <f t="shared" si="19"/>
        <v>HBA II</v>
      </c>
      <c r="K72" s="172">
        <f t="shared" si="18"/>
        <v>50.43</v>
      </c>
      <c r="L72" s="183">
        <f t="shared" si="4"/>
        <v>72.724443752917367</v>
      </c>
      <c r="M72" s="188" t="str">
        <f t="shared" si="5"/>
        <v/>
      </c>
      <c r="N72" s="185">
        <f t="shared" si="20"/>
        <v>2.8223255813953494</v>
      </c>
      <c r="O72" s="175">
        <f t="shared" si="13"/>
        <v>69.902118171522019</v>
      </c>
      <c r="P72" s="193"/>
      <c r="Q72" s="191"/>
      <c r="R72" s="186"/>
      <c r="S72" s="178"/>
      <c r="T72" s="179"/>
      <c r="U72" s="179"/>
      <c r="V72" s="179"/>
      <c r="W72" s="179"/>
      <c r="X72" s="179"/>
      <c r="Y72" s="179"/>
      <c r="Z72" s="180"/>
      <c r="AA72" s="180"/>
      <c r="AB72" s="180"/>
      <c r="AC72" s="180"/>
    </row>
    <row r="73" spans="1:29" ht="36.75" hidden="1" customHeight="1" x14ac:dyDescent="0.4">
      <c r="A73" s="168" t="s">
        <v>139</v>
      </c>
      <c r="B73" s="169"/>
      <c r="C73" s="181">
        <v>3700</v>
      </c>
      <c r="D73" s="182">
        <v>40</v>
      </c>
      <c r="E73" s="182">
        <v>15</v>
      </c>
      <c r="F73" s="182">
        <v>0.3</v>
      </c>
      <c r="G73" s="182">
        <v>6.77</v>
      </c>
      <c r="H73" s="183">
        <f t="shared" si="1"/>
        <v>0.21176470588235294</v>
      </c>
      <c r="I73" s="192">
        <f t="shared" si="2"/>
        <v>4.7788235294117651</v>
      </c>
      <c r="J73" s="192" t="str">
        <f t="shared" si="19"/>
        <v>HBA II</v>
      </c>
      <c r="K73" s="172">
        <f t="shared" si="18"/>
        <v>50.43</v>
      </c>
      <c r="L73" s="183">
        <f t="shared" si="4"/>
        <v>42.486385560914883</v>
      </c>
      <c r="M73" s="188">
        <f t="shared" si="5"/>
        <v>1.0711666666666668</v>
      </c>
      <c r="N73" s="185">
        <f t="shared" si="20"/>
        <v>0.2785882352941178</v>
      </c>
      <c r="O73" s="175">
        <f t="shared" si="13"/>
        <v>40.694437072886679</v>
      </c>
      <c r="P73" s="193"/>
      <c r="Q73" s="191"/>
      <c r="R73" s="186"/>
      <c r="S73" s="178"/>
      <c r="T73" s="179"/>
      <c r="U73" s="179"/>
      <c r="V73" s="179"/>
      <c r="W73" s="179"/>
      <c r="X73" s="179"/>
      <c r="Y73" s="179"/>
      <c r="Z73" s="180"/>
      <c r="AA73" s="180"/>
      <c r="AB73" s="180"/>
      <c r="AC73" s="180"/>
    </row>
    <row r="74" spans="1:29" ht="36.75" hidden="1" customHeight="1" x14ac:dyDescent="0.4">
      <c r="A74" s="168" t="s">
        <v>140</v>
      </c>
      <c r="B74" s="169"/>
      <c r="C74" s="181">
        <v>4700</v>
      </c>
      <c r="D74" s="182">
        <v>25</v>
      </c>
      <c r="E74" s="182">
        <v>12</v>
      </c>
      <c r="F74" s="182">
        <v>1.5</v>
      </c>
      <c r="G74" s="182">
        <v>15</v>
      </c>
      <c r="H74" s="183">
        <f t="shared" si="1"/>
        <v>1.2784090909090908</v>
      </c>
      <c r="I74" s="192">
        <f t="shared" si="2"/>
        <v>12.78409090909091</v>
      </c>
      <c r="J74" s="192" t="str">
        <f t="shared" si="19"/>
        <v>HBA II</v>
      </c>
      <c r="K74" s="172">
        <f t="shared" si="18"/>
        <v>50.43</v>
      </c>
      <c r="L74" s="183">
        <f t="shared" si="4"/>
        <v>67.461490586587814</v>
      </c>
      <c r="M74" s="188" t="str">
        <f t="shared" si="5"/>
        <v/>
      </c>
      <c r="N74" s="185">
        <f t="shared" si="20"/>
        <v>7.747272727272728</v>
      </c>
      <c r="O74" s="175">
        <f t="shared" si="13"/>
        <v>59.714217859315085</v>
      </c>
      <c r="P74" s="193"/>
      <c r="Q74" s="191"/>
      <c r="R74" s="186"/>
      <c r="S74" s="178"/>
      <c r="T74" s="179"/>
      <c r="U74" s="179"/>
      <c r="V74" s="179"/>
      <c r="W74" s="179"/>
      <c r="X74" s="179"/>
      <c r="Y74" s="179"/>
      <c r="Z74" s="180"/>
      <c r="AA74" s="180"/>
      <c r="AB74" s="180"/>
      <c r="AC74" s="180"/>
    </row>
    <row r="75" spans="1:29" ht="36.75" hidden="1" customHeight="1" x14ac:dyDescent="0.4">
      <c r="A75" s="168" t="s">
        <v>141</v>
      </c>
      <c r="B75" s="169"/>
      <c r="C75" s="181">
        <v>4600</v>
      </c>
      <c r="D75" s="182">
        <v>30</v>
      </c>
      <c r="E75" s="182">
        <v>14</v>
      </c>
      <c r="F75" s="182">
        <v>0.8</v>
      </c>
      <c r="G75" s="182">
        <v>8</v>
      </c>
      <c r="H75" s="183">
        <f t="shared" si="1"/>
        <v>0.65116279069767447</v>
      </c>
      <c r="I75" s="192">
        <f t="shared" si="2"/>
        <v>6.5116279069767442</v>
      </c>
      <c r="J75" s="192" t="str">
        <f t="shared" si="19"/>
        <v>HBA II</v>
      </c>
      <c r="K75" s="172">
        <f t="shared" si="18"/>
        <v>50.43</v>
      </c>
      <c r="L75" s="183">
        <f t="shared" si="4"/>
        <v>61.624397074840509</v>
      </c>
      <c r="M75" s="188" t="str">
        <f t="shared" si="5"/>
        <v/>
      </c>
      <c r="N75" s="185">
        <f t="shared" si="20"/>
        <v>2.7293023255813957</v>
      </c>
      <c r="O75" s="175">
        <f t="shared" si="13"/>
        <v>58.895094749259115</v>
      </c>
      <c r="P75" s="193"/>
      <c r="Q75" s="191"/>
      <c r="R75" s="186"/>
      <c r="S75" s="178">
        <f>O75*8.5%</f>
        <v>5.0060830536870249</v>
      </c>
      <c r="T75" s="179"/>
      <c r="U75" s="179"/>
      <c r="V75" s="179"/>
      <c r="W75" s="179"/>
      <c r="X75" s="179"/>
      <c r="Y75" s="179"/>
      <c r="Z75" s="180"/>
      <c r="AA75" s="180"/>
      <c r="AB75" s="180"/>
      <c r="AC75" s="180"/>
    </row>
    <row r="76" spans="1:29" ht="36.75" hidden="1" customHeight="1" x14ac:dyDescent="0.4">
      <c r="A76" s="202" t="s">
        <v>142</v>
      </c>
      <c r="B76" s="169"/>
      <c r="C76" s="203">
        <v>5250</v>
      </c>
      <c r="D76" s="182">
        <v>28</v>
      </c>
      <c r="E76" s="182">
        <v>13</v>
      </c>
      <c r="F76" s="182">
        <v>0.8</v>
      </c>
      <c r="G76" s="182">
        <v>8</v>
      </c>
      <c r="H76" s="183">
        <f t="shared" si="1"/>
        <v>0.66206896551724137</v>
      </c>
      <c r="I76" s="192">
        <f t="shared" si="2"/>
        <v>6.6206896551724137</v>
      </c>
      <c r="J76" s="192" t="str">
        <f t="shared" ref="J76:J77" si="21">IF(C76&gt;6000,"HBA 0",IF(C76&gt;5300,"HBA I",IF(C76&gt;4100,"HBA II","HBA III")))</f>
        <v>HBA II</v>
      </c>
      <c r="K76" s="172">
        <f t="array" ref="K76">IF(J76="", "", INDEX($B$24:$E$33, MATCH(DATE(2025,6,15), $A$24:$A$33, 0), MATCH(J76, $B$23:$E$23, 0)))</f>
        <v>50.25</v>
      </c>
      <c r="L76" s="183">
        <f t="shared" si="4"/>
        <v>72.083474063307605</v>
      </c>
      <c r="M76" s="188" t="str">
        <f t="shared" si="5"/>
        <v/>
      </c>
      <c r="N76" s="185">
        <f t="shared" si="20"/>
        <v>2.8165517241379314</v>
      </c>
      <c r="O76" s="175">
        <f t="shared" si="13"/>
        <v>69.266922339169668</v>
      </c>
      <c r="P76" s="193"/>
      <c r="Q76" s="191"/>
      <c r="R76" s="186">
        <v>1.45</v>
      </c>
      <c r="S76" s="178" t="e">
        <f>#REF!+R76</f>
        <v>#REF!</v>
      </c>
      <c r="T76" s="179"/>
      <c r="U76" s="179"/>
      <c r="V76" s="179"/>
      <c r="W76" s="179"/>
      <c r="X76" s="204">
        <v>66.2852178683207</v>
      </c>
      <c r="Y76" s="204">
        <f t="shared" ref="Y76:Y87" si="22">O76-X76</f>
        <v>2.9817044708489675</v>
      </c>
      <c r="Z76" s="180"/>
      <c r="AA76" s="180"/>
      <c r="AB76" s="180"/>
      <c r="AC76" s="180"/>
    </row>
    <row r="77" spans="1:29" ht="36.75" hidden="1" customHeight="1" x14ac:dyDescent="0.4">
      <c r="A77" s="202" t="s">
        <v>143</v>
      </c>
      <c r="B77" s="169"/>
      <c r="C77" s="205">
        <v>5400</v>
      </c>
      <c r="D77" s="182">
        <v>19</v>
      </c>
      <c r="E77" s="182">
        <v>14</v>
      </c>
      <c r="F77" s="182">
        <v>0.2</v>
      </c>
      <c r="G77" s="182">
        <v>6</v>
      </c>
      <c r="H77" s="183">
        <f t="shared" si="1"/>
        <v>0.18837209302325583</v>
      </c>
      <c r="I77" s="192">
        <f t="shared" si="2"/>
        <v>5.6511627906976747</v>
      </c>
      <c r="J77" s="192" t="str">
        <f t="shared" si="21"/>
        <v>HBA I</v>
      </c>
      <c r="K77" s="172">
        <f t="array" ref="K77">IF(J77="", "", INDEX($B$24:$E$32, MATCH(DATE(2025,6,1), $A$24:$A$32, 0), MATCH(J77, $B$23:$E$23, 0)))</f>
        <v>77.59</v>
      </c>
      <c r="L77" s="183">
        <f t="shared" si="4"/>
        <v>81.384989112814253</v>
      </c>
      <c r="M77" s="188" t="str">
        <f t="shared" si="5"/>
        <v/>
      </c>
      <c r="N77" s="185">
        <f t="shared" si="20"/>
        <v>-2.4020465116279066</v>
      </c>
      <c r="O77" s="175">
        <f t="shared" si="13"/>
        <v>83.787035624442154</v>
      </c>
      <c r="P77" s="193">
        <v>-7.12</v>
      </c>
      <c r="Q77" s="191">
        <f>O77+P77</f>
        <v>76.66703562444215</v>
      </c>
      <c r="R77" s="186"/>
      <c r="S77" s="194"/>
      <c r="T77" s="195"/>
      <c r="U77" s="195"/>
      <c r="V77" s="195"/>
      <c r="W77" s="195"/>
      <c r="X77" s="206">
        <v>82.769592146681759</v>
      </c>
      <c r="Y77" s="204">
        <f t="shared" si="22"/>
        <v>1.0174434777603949</v>
      </c>
      <c r="Z77" s="180"/>
      <c r="AA77" s="180"/>
      <c r="AB77" s="180"/>
      <c r="AC77" s="180"/>
    </row>
    <row r="78" spans="1:29" ht="36.75" hidden="1" customHeight="1" x14ac:dyDescent="0.4">
      <c r="A78" s="202" t="s">
        <v>144</v>
      </c>
      <c r="B78" s="169"/>
      <c r="C78" s="205">
        <v>5400</v>
      </c>
      <c r="D78" s="171">
        <v>25</v>
      </c>
      <c r="E78" s="171">
        <v>11</v>
      </c>
      <c r="F78" s="171">
        <v>0.8</v>
      </c>
      <c r="G78" s="171">
        <v>6</v>
      </c>
      <c r="H78" s="183">
        <f t="shared" si="1"/>
        <v>0.6741573033707865</v>
      </c>
      <c r="I78" s="183">
        <f t="shared" si="2"/>
        <v>5.0561797752808983</v>
      </c>
      <c r="J78" s="183" t="str">
        <f>IF(C78&gt;5999,"HBA 0",IF(C78&gt;5299,"HBA I",IF(C78&gt;4099,"HBA II","HBA III")))</f>
        <v>HBA I</v>
      </c>
      <c r="K78" s="172">
        <f t="array" ref="K78">IF(J78="", "", INDEX($B$24:$E$33, MATCH(DATE(2025,6,15), $A$24:$A$33, 0), MATCH(J78, $B$23:$E$23, 0)))</f>
        <v>75.64</v>
      </c>
      <c r="L78" s="183">
        <f t="shared" si="4"/>
        <v>73.462604675254894</v>
      </c>
      <c r="M78" s="184" t="str">
        <f t="shared" si="5"/>
        <v/>
      </c>
      <c r="N78" s="185">
        <f t="shared" si="20"/>
        <v>-0.69689887640449477</v>
      </c>
      <c r="O78" s="175">
        <f>IF(C78&gt;5999,K78*C78/6322*((100 - D78)/(100 - 12.26)) - N78,IF(C78&gt;5299,K78*C78/5299*((100 - D78)/(100 - 21.32)) - N78,IF(C78&gt;3999,K78*C78/4100*((100 - D78)/(100 - 35.73)) - N78,IF(C78&gt;3399,K78*C78/4100*((100 - D78)/(100 - (35.73/M78))) - N78,K78*C78/3400*((100 - D78)/((100 - 44.3)/M78)) - N78))))</f>
        <v>74.173367036217854</v>
      </c>
      <c r="P78" s="186"/>
      <c r="Q78" s="187"/>
      <c r="R78" s="176">
        <v>0</v>
      </c>
      <c r="S78" s="178" t="e">
        <f>(((#REF!*50%)+(#REF!*50%))*C78/5400)+R78</f>
        <v>#REF!</v>
      </c>
      <c r="T78" s="179"/>
      <c r="U78" s="179"/>
      <c r="V78" s="179"/>
      <c r="W78" s="179"/>
      <c r="X78" s="204">
        <v>75.12533608429581</v>
      </c>
      <c r="Y78" s="204">
        <f t="shared" si="22"/>
        <v>-0.9519690480779559</v>
      </c>
      <c r="Z78" s="180"/>
      <c r="AA78" s="180"/>
      <c r="AB78" s="180"/>
      <c r="AC78" s="180"/>
    </row>
    <row r="79" spans="1:29" ht="36.75" hidden="1" customHeight="1" x14ac:dyDescent="0.4">
      <c r="A79" s="202" t="s">
        <v>145</v>
      </c>
      <c r="B79" s="207" t="s">
        <v>146</v>
      </c>
      <c r="C79" s="205">
        <v>5400</v>
      </c>
      <c r="D79" s="182">
        <v>22</v>
      </c>
      <c r="E79" s="182">
        <v>14</v>
      </c>
      <c r="F79" s="208">
        <v>1</v>
      </c>
      <c r="G79" s="182">
        <v>6</v>
      </c>
      <c r="H79" s="183">
        <f t="shared" si="1"/>
        <v>0.90697674418604646</v>
      </c>
      <c r="I79" s="183">
        <f t="shared" si="2"/>
        <v>5.441860465116279</v>
      </c>
      <c r="J79" s="183" t="str">
        <f t="shared" ref="J79:J81" si="23">IF(C79&gt;6000,"HBA 0",IF(C79&gt;5300,"HBA I",IF(C79&gt;4100,"HBA II","HBA III")))</f>
        <v>HBA I</v>
      </c>
      <c r="K79" s="172">
        <f t="shared" ref="K79:K82" si="24">IF(J79="", "", INDEX($B$24:$E$32, MATCH(DATE(2025,6,1), $A$24:$A$32, 0), MATCH(J79, $B$23:$E$23, 0)))</f>
        <v>77.59</v>
      </c>
      <c r="L79" s="183">
        <f t="shared" si="4"/>
        <v>78.3707302567841</v>
      </c>
      <c r="M79" s="184" t="str">
        <f t="shared" si="5"/>
        <v/>
      </c>
      <c r="N79" s="185">
        <f t="shared" si="20"/>
        <v>0.38865116279069739</v>
      </c>
      <c r="O79" s="175">
        <f t="shared" ref="O79:O82" si="25">IF(C79&gt;5999,K79*C79/6322*((100 - D79)/(100 - 12.26)) - N79,IF(C79&gt;5299,K79*C79/5300*((100 - D79)/(100 - 21.32)) - N79,IF(C79&gt;3999,K79*C79/4100*((100 - D79)/(100 - 35.73)) - N79,IF(C79&gt;3399,K79*C79/4100*((100 - D79)/(100 - (35.73/M79))) - N79,K79*C79/3400*((100 - D79)/((100 - 44.3)/M79)) - N79))))</f>
        <v>77.982079093993406</v>
      </c>
      <c r="P79" s="186"/>
      <c r="Q79" s="187"/>
      <c r="R79" s="186">
        <v>1.9</v>
      </c>
      <c r="S79" s="178" t="e">
        <f>((#REF!*50%)+(#REF!*50%))+R79</f>
        <v>#REF!</v>
      </c>
      <c r="T79" s="179"/>
      <c r="U79" s="179"/>
      <c r="V79" s="179"/>
      <c r="W79" s="179"/>
      <c r="X79" s="204">
        <v>77.002318708001908</v>
      </c>
      <c r="Y79" s="204">
        <f t="shared" si="22"/>
        <v>0.97976038599149717</v>
      </c>
      <c r="Z79" s="180"/>
      <c r="AA79" s="180"/>
      <c r="AB79" s="180"/>
      <c r="AC79" s="180"/>
    </row>
    <row r="80" spans="1:29" ht="36.75" hidden="1" customHeight="1" x14ac:dyDescent="0.4">
      <c r="A80" s="202" t="s">
        <v>145</v>
      </c>
      <c r="B80" s="207" t="s">
        <v>146</v>
      </c>
      <c r="C80" s="205">
        <v>5200</v>
      </c>
      <c r="D80" s="182">
        <v>22</v>
      </c>
      <c r="E80" s="182">
        <v>14</v>
      </c>
      <c r="F80" s="208">
        <v>1</v>
      </c>
      <c r="G80" s="182">
        <v>8</v>
      </c>
      <c r="H80" s="183">
        <f t="shared" si="1"/>
        <v>0.90697674418604646</v>
      </c>
      <c r="I80" s="183">
        <f t="shared" si="2"/>
        <v>7.2558139534883717</v>
      </c>
      <c r="J80" s="183" t="str">
        <f t="shared" si="23"/>
        <v>HBA II</v>
      </c>
      <c r="K80" s="172">
        <f t="shared" si="24"/>
        <v>50.08</v>
      </c>
      <c r="L80" s="183">
        <f t="shared" si="4"/>
        <v>77.085041384099839</v>
      </c>
      <c r="M80" s="188" t="str">
        <f t="shared" si="5"/>
        <v/>
      </c>
      <c r="N80" s="185">
        <f t="shared" si="20"/>
        <v>4.0502325581395349</v>
      </c>
      <c r="O80" s="175">
        <f t="shared" si="25"/>
        <v>73.034808825960297</v>
      </c>
      <c r="P80" s="182"/>
      <c r="Q80" s="189"/>
      <c r="R80" s="186">
        <v>1.9</v>
      </c>
      <c r="S80" s="178" t="e">
        <f>(((#REF!*50%)+(#REF!*50%))*C80/5400)+R80</f>
        <v>#REF!</v>
      </c>
      <c r="T80" s="179"/>
      <c r="U80" s="179"/>
      <c r="V80" s="179"/>
      <c r="W80" s="179"/>
      <c r="X80" s="204">
        <v>73.804427849363861</v>
      </c>
      <c r="Y80" s="204">
        <f t="shared" si="22"/>
        <v>-0.76961902340356403</v>
      </c>
      <c r="Z80" s="180"/>
      <c r="AA80" s="180"/>
      <c r="AB80" s="180"/>
      <c r="AC80" s="180"/>
    </row>
    <row r="81" spans="1:29" ht="36.75" hidden="1" customHeight="1" x14ac:dyDescent="0.4">
      <c r="A81" s="202" t="s">
        <v>147</v>
      </c>
      <c r="B81" s="207" t="s">
        <v>146</v>
      </c>
      <c r="C81" s="205">
        <v>4200</v>
      </c>
      <c r="D81" s="182">
        <v>36</v>
      </c>
      <c r="E81" s="182">
        <v>16</v>
      </c>
      <c r="F81" s="182">
        <v>0.4</v>
      </c>
      <c r="G81" s="182">
        <v>8</v>
      </c>
      <c r="H81" s="183">
        <f t="shared" si="1"/>
        <v>0.30476190476190479</v>
      </c>
      <c r="I81" s="192">
        <f t="shared" si="2"/>
        <v>6.0952380952380949</v>
      </c>
      <c r="J81" s="192" t="str">
        <f t="shared" si="23"/>
        <v>HBA II</v>
      </c>
      <c r="K81" s="172">
        <f t="shared" si="24"/>
        <v>50.08</v>
      </c>
      <c r="L81" s="183">
        <f t="shared" si="4"/>
        <v>51.085944585912323</v>
      </c>
      <c r="M81" s="188" t="str">
        <f t="shared" si="5"/>
        <v/>
      </c>
      <c r="N81" s="185">
        <f t="shared" si="20"/>
        <v>1.177142857142857</v>
      </c>
      <c r="O81" s="175">
        <f t="shared" si="25"/>
        <v>49.908801728769468</v>
      </c>
      <c r="P81" s="193"/>
      <c r="Q81" s="191"/>
      <c r="R81" s="186">
        <v>-1</v>
      </c>
      <c r="S81" s="178" t="e">
        <f>#REF!+'HPB Calculation'!R81</f>
        <v>#REF!</v>
      </c>
      <c r="T81" s="179"/>
      <c r="U81" s="179"/>
      <c r="V81" s="179"/>
      <c r="W81" s="179"/>
      <c r="X81" s="204">
        <v>50.418845105226254</v>
      </c>
      <c r="Y81" s="204">
        <f t="shared" si="22"/>
        <v>-0.51004337645678532</v>
      </c>
      <c r="Z81" s="180"/>
      <c r="AA81" s="180"/>
      <c r="AB81" s="180"/>
      <c r="AC81" s="180"/>
    </row>
    <row r="82" spans="1:29" ht="36.75" hidden="1" customHeight="1" x14ac:dyDescent="0.4">
      <c r="A82" s="202" t="s">
        <v>148</v>
      </c>
      <c r="B82" s="169"/>
      <c r="C82" s="209">
        <v>3800</v>
      </c>
      <c r="D82" s="171">
        <v>40</v>
      </c>
      <c r="E82" s="171">
        <v>15</v>
      </c>
      <c r="F82" s="171">
        <v>0.6</v>
      </c>
      <c r="G82" s="171">
        <v>8</v>
      </c>
      <c r="H82" s="183">
        <f t="shared" si="1"/>
        <v>0.42352941176470588</v>
      </c>
      <c r="I82" s="192">
        <f t="shared" si="2"/>
        <v>5.6470588235294121</v>
      </c>
      <c r="J82" s="192" t="str">
        <f>IF(C82&gt;6000,"HBA 0",IF(C82&gt;5300,"HBA I",IF(C82&gt;3400,"HBA II","HBA III")))</f>
        <v>HBA II</v>
      </c>
      <c r="K82" s="172">
        <f t="shared" si="24"/>
        <v>50.08</v>
      </c>
      <c r="L82" s="183">
        <f t="shared" si="4"/>
        <v>43.3318279969792</v>
      </c>
      <c r="M82" s="200">
        <f t="shared" si="5"/>
        <v>1.0711666666666668</v>
      </c>
      <c r="N82" s="185">
        <f>IF(J82="HBA 0", (H82 - 0.66)*4 + (I82 - 7.94)*0.4, IF(J82="HBA I", (H82 - 0.75)*4 + (I82 - 6.04)*0.4, IF(J82="HBA II", ((H82 - 0.23)*4) + ((I82 - 3.9)*0.4), IF(J82="HBA III", (H82 - 0.24)*4 + (I82 - 3.88)*0.4, ""))))</f>
        <v>1.4729411764705884</v>
      </c>
      <c r="O82" s="175">
        <f t="shared" si="25"/>
        <v>40.31541200373659</v>
      </c>
      <c r="P82" s="193"/>
      <c r="Q82" s="191"/>
      <c r="R82" s="186"/>
      <c r="S82" s="178" t="e">
        <f>((#REF!*50%)+(#REF!*50%))</f>
        <v>#REF!</v>
      </c>
      <c r="T82" s="179"/>
      <c r="U82" s="179"/>
      <c r="V82" s="179">
        <v>41</v>
      </c>
      <c r="W82" s="179" t="e">
        <f>V82-S82</f>
        <v>#REF!</v>
      </c>
      <c r="X82" s="204">
        <v>40.732627989960704</v>
      </c>
      <c r="Y82" s="204">
        <f t="shared" si="22"/>
        <v>-0.41721598622411449</v>
      </c>
      <c r="Z82" s="180"/>
      <c r="AA82" s="180"/>
      <c r="AB82" s="180"/>
      <c r="AC82" s="180"/>
    </row>
    <row r="83" spans="1:29" ht="36.75" hidden="1" customHeight="1" x14ac:dyDescent="0.4">
      <c r="A83" s="202" t="s">
        <v>144</v>
      </c>
      <c r="B83" s="169"/>
      <c r="C83" s="203">
        <v>5270</v>
      </c>
      <c r="D83" s="210">
        <v>25</v>
      </c>
      <c r="E83" s="171">
        <v>11</v>
      </c>
      <c r="F83" s="171">
        <v>0.8</v>
      </c>
      <c r="G83" s="171">
        <v>6</v>
      </c>
      <c r="H83" s="183">
        <f t="shared" si="1"/>
        <v>0.6741573033707865</v>
      </c>
      <c r="I83" s="183">
        <f t="shared" si="2"/>
        <v>5.0561797752808983</v>
      </c>
      <c r="J83" s="183" t="str">
        <f t="shared" ref="J83:J84" si="26">IF(C83&gt;5999,"HBA 0",IF(C83&gt;5299,"HBA I",IF(C83&gt;4099,"HBA II","HBA III")))</f>
        <v>HBA II</v>
      </c>
      <c r="K83" s="172">
        <f t="array" ref="K83">IF(J83="", "", INDEX($B$24:$E$33, MATCH(DATE(2025,6,15), $A$24:$A$33, 0), MATCH(J83, $B$23:$E$23, 0)))</f>
        <v>50.25</v>
      </c>
      <c r="L83" s="183">
        <f t="shared" si="4"/>
        <v>75.372997681276004</v>
      </c>
      <c r="M83" s="184" t="str">
        <f t="shared" si="5"/>
        <v/>
      </c>
      <c r="N83" s="185">
        <f t="shared" ref="N83:N98" si="27">IF(J83="HBA 0", (H83 - 0.66)*4 + (I83 - 7.94)*0.4, IF(J83="HBA I", (H83 - 0.75)*4 + (I83 - 6.04)*0.4, IF(J83="HBA II", (H83 - 0.23)*4 + (I83 - 3.9)*0.4, IF(J83="HBA III", (H83 - 0.24)*4 + (I83 - 3.88)*0.4, ""))))</f>
        <v>2.2391011235955056</v>
      </c>
      <c r="O83" s="175">
        <f t="shared" ref="O83:O84" si="28">IF(C83&gt;5999,K83*C83/6322*((100 - D83)/(100 - 12.26)) - N83,IF(C83&gt;5299,K83*C83/5299*((100 - D83)/(100 - 21.32)) - N83,IF(C83&gt;3999,K83*C83/4100*((100 - D83)/(100 - 35.73)) - N83,IF(C83&gt;3399,K83*C83/4100*((100 - D83)/(100 - (35.73/M83))) - N83,K83*C83/3400*((100 - D83)/((100 - 44.3)/M83)) - N83))))</f>
        <v>73.133896557680501</v>
      </c>
      <c r="P83" s="186"/>
      <c r="Q83" s="187"/>
      <c r="R83" s="176">
        <v>0</v>
      </c>
      <c r="S83" s="178" t="e">
        <f t="shared" ref="S83:S84" si="29">(((#REF!*50%)+(#REF!*50%))*C83/5400)+R83</f>
        <v>#REF!</v>
      </c>
      <c r="T83" s="179"/>
      <c r="U83" s="179"/>
      <c r="V83" s="179"/>
      <c r="W83" s="179"/>
      <c r="X83" s="204">
        <v>75.12533608429581</v>
      </c>
      <c r="Y83" s="204">
        <f t="shared" si="22"/>
        <v>-1.9914395266153093</v>
      </c>
      <c r="Z83" s="180"/>
      <c r="AA83" s="180"/>
      <c r="AB83" s="180"/>
      <c r="AC83" s="180"/>
    </row>
    <row r="84" spans="1:29" ht="36.75" hidden="1" customHeight="1" x14ac:dyDescent="0.4">
      <c r="A84" s="211" t="s">
        <v>149</v>
      </c>
      <c r="B84" s="169"/>
      <c r="C84" s="203">
        <v>5350</v>
      </c>
      <c r="D84" s="210">
        <v>25</v>
      </c>
      <c r="E84" s="171">
        <v>11</v>
      </c>
      <c r="F84" s="171">
        <v>0.8</v>
      </c>
      <c r="G84" s="171">
        <v>6</v>
      </c>
      <c r="H84" s="183">
        <f t="shared" si="1"/>
        <v>0.6741573033707865</v>
      </c>
      <c r="I84" s="183">
        <f t="shared" si="2"/>
        <v>5.0561797752808983</v>
      </c>
      <c r="J84" s="183" t="str">
        <f t="shared" si="26"/>
        <v>HBA I</v>
      </c>
      <c r="K84" s="172">
        <f t="array" ref="K84">IF(J84="", "", INDEX($B$24:$E$34, MATCH(DATE(2025,7,1), $A$24:$A$34, 0), MATCH(J84, $B$23:$E$23, 0)))</f>
        <v>71.5</v>
      </c>
      <c r="L84" s="183">
        <f t="shared" si="4"/>
        <v>68.798800491122378</v>
      </c>
      <c r="M84" s="184" t="str">
        <f t="shared" si="5"/>
        <v/>
      </c>
      <c r="N84" s="185">
        <f t="shared" si="27"/>
        <v>-0.69689887640449477</v>
      </c>
      <c r="O84" s="175">
        <f t="shared" si="28"/>
        <v>69.508682722969624</v>
      </c>
      <c r="P84" s="186"/>
      <c r="Q84" s="187"/>
      <c r="R84" s="176">
        <v>0</v>
      </c>
      <c r="S84" s="178" t="e">
        <f t="shared" si="29"/>
        <v>#REF!</v>
      </c>
      <c r="T84" s="179"/>
      <c r="U84" s="179"/>
      <c r="V84" s="179"/>
      <c r="W84" s="179"/>
      <c r="X84" s="204">
        <v>75.12533608429581</v>
      </c>
      <c r="Y84" s="204">
        <f t="shared" si="22"/>
        <v>-5.6166533613261862</v>
      </c>
      <c r="Z84" s="180"/>
      <c r="AA84" s="180"/>
      <c r="AB84" s="180"/>
      <c r="AC84" s="180"/>
    </row>
    <row r="85" spans="1:29" ht="36.75" hidden="1" customHeight="1" x14ac:dyDescent="0.4">
      <c r="A85" s="168" t="s">
        <v>127</v>
      </c>
      <c r="B85" s="169"/>
      <c r="C85" s="181">
        <v>5000</v>
      </c>
      <c r="D85" s="212">
        <v>29</v>
      </c>
      <c r="E85" s="182">
        <v>13</v>
      </c>
      <c r="F85" s="182">
        <v>0.8</v>
      </c>
      <c r="G85" s="182">
        <v>8</v>
      </c>
      <c r="H85" s="183">
        <f t="shared" si="1"/>
        <v>0.65287356321839085</v>
      </c>
      <c r="I85" s="183">
        <f t="shared" si="2"/>
        <v>6.5287356321839081</v>
      </c>
      <c r="J85" s="192" t="str">
        <f>IF(C85&gt;6000,"HBA 0",IF(C85&gt;5300,"HBA I",IF(C85&gt;4100,"HBA II","HBA III")))</f>
        <v>HBA II</v>
      </c>
      <c r="K85" s="172">
        <f t="array" ref="K85">IF(J85="", "", INDEX($B$24:$E$35, MATCH(DATE(2025,7,15), $A$24:$A$35, 0), MATCH(J85, $B$23:$E$23, 0)))</f>
        <v>48.35</v>
      </c>
      <c r="L85" s="183">
        <f t="shared" si="4"/>
        <v>65.137738276402501</v>
      </c>
      <c r="M85" s="188" t="str">
        <f t="shared" si="5"/>
        <v/>
      </c>
      <c r="N85" s="185">
        <f t="shared" si="27"/>
        <v>2.7429885057471268</v>
      </c>
      <c r="O85" s="175">
        <f>IF(C85&gt;5999,K85*C85/6322*((100 - D85)/(100 - 12.26)) - N85,IF(C85&gt;5299,K85*C85/5300*((100 - D85)/(100 - 21.32)) - N85,IF(C85&gt;3999,K85*C85/4100*((100 - D85)/(100 - 35.73)) - N85,IF(C85&gt;3399,K85*C85/4100*((100 - D85)/(100 - (35.73/M85))) - N85,K85*C85/3400*((100 - D85)/((100 - 44.3)/M85)) - N85))))</f>
        <v>62.394749770655373</v>
      </c>
      <c r="P85" s="193"/>
      <c r="Q85" s="191"/>
      <c r="R85" s="186">
        <v>1.45</v>
      </c>
      <c r="S85" s="178" t="e">
        <f>#REF!+R85</f>
        <v>#REF!</v>
      </c>
      <c r="T85" s="179"/>
      <c r="U85" s="179"/>
      <c r="V85" s="179"/>
      <c r="W85" s="179"/>
      <c r="X85" s="204">
        <v>66.2852178683207</v>
      </c>
      <c r="Y85" s="204">
        <f t="shared" si="22"/>
        <v>-3.8904680976653268</v>
      </c>
      <c r="Z85" s="180"/>
      <c r="AA85" s="180"/>
      <c r="AB85" s="180"/>
      <c r="AC85" s="180"/>
    </row>
    <row r="86" spans="1:29" ht="36.75" hidden="1" customHeight="1" x14ac:dyDescent="0.4">
      <c r="A86" s="211" t="s">
        <v>149</v>
      </c>
      <c r="B86" s="169"/>
      <c r="C86" s="203">
        <v>5280</v>
      </c>
      <c r="D86" s="210">
        <v>25</v>
      </c>
      <c r="E86" s="171">
        <v>11</v>
      </c>
      <c r="F86" s="171">
        <v>0.8</v>
      </c>
      <c r="G86" s="171">
        <v>6</v>
      </c>
      <c r="H86" s="183">
        <f t="shared" si="1"/>
        <v>0.6741573033707865</v>
      </c>
      <c r="I86" s="183">
        <f t="shared" si="2"/>
        <v>5.0561797752808983</v>
      </c>
      <c r="J86" s="183" t="str">
        <f t="shared" ref="J86:J87" si="30">IF(C86&gt;5999,"HBA 0",IF(C86&gt;5299,"HBA I",IF(C86&gt;4099,"HBA II","HBA III")))</f>
        <v>HBA II</v>
      </c>
      <c r="K86" s="172">
        <f t="array" ref="K86">IF(J86="", "", INDEX($B$24:$E$35, MATCH(DATE(2025,7,15), $A$24:$A$35, 0), MATCH(J86, $B$23:$E$23, 0)))</f>
        <v>48.35</v>
      </c>
      <c r="L86" s="183">
        <f t="shared" si="4"/>
        <v>72.660688330860268</v>
      </c>
      <c r="M86" s="184" t="str">
        <f t="shared" si="5"/>
        <v/>
      </c>
      <c r="N86" s="185">
        <f t="shared" si="27"/>
        <v>2.2391011235955056</v>
      </c>
      <c r="O86" s="175">
        <f t="shared" ref="O86:O87" si="31">IF(C86&gt;5999,K86*C86/6322*((100 - D86)/(100 - 12.26)) - N86,IF(C86&gt;5299,K86*C86/5299*((100 - D86)/(100 - 21.32)) - N86,IF(C86&gt;3999,K86*C86/4100*((100 - D86)/(100 - 35.73)) - N86,IF(C86&gt;3399,K86*C86/4100*((100 - D86)/(100 - (35.73/M86))) - N86,K86*C86/3400*((100 - D86)/((100 - 44.3)/M86)) - N86))))</f>
        <v>70.421587207264764</v>
      </c>
      <c r="P86" s="186"/>
      <c r="Q86" s="187"/>
      <c r="R86" s="176">
        <v>0</v>
      </c>
      <c r="S86" s="178" t="e">
        <f t="shared" ref="S86:S87" si="32">(((#REF!*50%)+(#REF!*50%))*C86/5400)+R86</f>
        <v>#REF!</v>
      </c>
      <c r="T86" s="179"/>
      <c r="U86" s="179"/>
      <c r="V86" s="179"/>
      <c r="W86" s="179"/>
      <c r="X86" s="204">
        <v>75.12533608429581</v>
      </c>
      <c r="Y86" s="204">
        <f t="shared" si="22"/>
        <v>-4.703748877031046</v>
      </c>
      <c r="Z86" s="180"/>
      <c r="AA86" s="180"/>
      <c r="AB86" s="180"/>
      <c r="AC86" s="180"/>
    </row>
    <row r="87" spans="1:29" ht="36.75" hidden="1" customHeight="1" x14ac:dyDescent="0.4">
      <c r="A87" s="211" t="s">
        <v>149</v>
      </c>
      <c r="B87" s="169"/>
      <c r="C87" s="203">
        <v>5350</v>
      </c>
      <c r="D87" s="210">
        <v>25</v>
      </c>
      <c r="E87" s="171">
        <v>11</v>
      </c>
      <c r="F87" s="171">
        <v>0.8</v>
      </c>
      <c r="G87" s="171">
        <v>6</v>
      </c>
      <c r="H87" s="183">
        <f t="shared" si="1"/>
        <v>0.6741573033707865</v>
      </c>
      <c r="I87" s="183">
        <f t="shared" si="2"/>
        <v>5.0561797752808983</v>
      </c>
      <c r="J87" s="183" t="str">
        <f t="shared" si="30"/>
        <v>HBA I</v>
      </c>
      <c r="K87" s="172">
        <f t="array" ref="K87">IF(J87="", "", INDEX($B$24:$E$35, MATCH(DATE(2025,7,15), $A$24:$A$35, 0), MATCH(J87, $B$23:$E$23, 0)))</f>
        <v>75.94</v>
      </c>
      <c r="L87" s="183">
        <f t="shared" si="4"/>
        <v>73.071061668473192</v>
      </c>
      <c r="M87" s="184" t="str">
        <f t="shared" si="5"/>
        <v/>
      </c>
      <c r="N87" s="185">
        <f t="shared" si="27"/>
        <v>-0.69689887640449477</v>
      </c>
      <c r="O87" s="175">
        <f t="shared" si="31"/>
        <v>73.781750139455625</v>
      </c>
      <c r="P87" s="186"/>
      <c r="Q87" s="187"/>
      <c r="R87" s="176">
        <v>0</v>
      </c>
      <c r="S87" s="178" t="e">
        <f t="shared" si="32"/>
        <v>#REF!</v>
      </c>
      <c r="T87" s="179"/>
      <c r="U87" s="179"/>
      <c r="V87" s="179"/>
      <c r="W87" s="179"/>
      <c r="X87" s="213">
        <v>75.12533608429581</v>
      </c>
      <c r="Y87" s="213">
        <f t="shared" si="22"/>
        <v>-1.3435859448401857</v>
      </c>
      <c r="Z87" s="180"/>
      <c r="AA87" s="180"/>
      <c r="AB87" s="180"/>
      <c r="AC87" s="180"/>
    </row>
    <row r="88" spans="1:29" ht="36.75" hidden="1" customHeight="1" x14ac:dyDescent="0.4">
      <c r="A88" s="214">
        <f>A36</f>
        <v>45870</v>
      </c>
      <c r="B88" s="215" t="s">
        <v>14</v>
      </c>
      <c r="C88" s="181">
        <v>5000</v>
      </c>
      <c r="D88" s="182">
        <v>28</v>
      </c>
      <c r="E88" s="182">
        <v>13</v>
      </c>
      <c r="F88" s="182">
        <v>0.8</v>
      </c>
      <c r="G88" s="182">
        <v>8</v>
      </c>
      <c r="H88" s="183">
        <f t="shared" si="1"/>
        <v>0.66206896551724137</v>
      </c>
      <c r="I88" s="183">
        <f t="shared" si="2"/>
        <v>6.6206896551724137</v>
      </c>
      <c r="J88" s="216" t="str">
        <f t="shared" ref="J88:J140" si="33">IF(C88&gt;6000,"HBA 0",IF(C88&gt;5300,"HBA I",IF(C88&gt;4100,"HBA II","HBA III")))</f>
        <v>HBA II</v>
      </c>
      <c r="K88" s="172">
        <f t="shared" ref="K88:K100" si="34">IF(J88="", "", INDEX($B$24:$E$36, MATCH(DATE(2025,8,1), $A$24:$A$36, 0), MATCH(J88, $B$23:$E$23, 0)))</f>
        <v>45.74</v>
      </c>
      <c r="L88" s="183">
        <f t="shared" si="4"/>
        <v>62.489421533393795</v>
      </c>
      <c r="M88" s="188" t="str">
        <f t="shared" si="5"/>
        <v/>
      </c>
      <c r="N88" s="185">
        <f t="shared" si="27"/>
        <v>2.8165517241379314</v>
      </c>
      <c r="O88" s="175">
        <f t="shared" ref="O88:O93" si="35">IF(C88&gt;6322,K88*C88/6322*((100 - D88)/(100 - 12.26)) - N88,IF(C88&gt;5301,K88*C88/5300*((100 - D88)/(100 - 21.32)) - N88,IF(C88&gt;4000,K88*C88/4100*((100 - D88)/(100 - 35.73)) - N88,IF(C88&gt;4000,K88*C88/4100*((100 - D88)/(100 - (35.73/M88))) - N88,K88*C88/3400*((100 - D88)/((100 - 44.3)/M88)) - N88))))</f>
        <v>59.672869809255864</v>
      </c>
      <c r="P88" s="182">
        <v>3.01</v>
      </c>
      <c r="Q88" s="191">
        <f t="shared" ref="Q88:Q90" si="36">O88+P88</f>
        <v>62.682869809255862</v>
      </c>
      <c r="R88" s="186">
        <f>'ICI, GNewc, Delta'!D713</f>
        <v>56.18</v>
      </c>
      <c r="S88" s="217" t="e">
        <f>AVERAGE(#REF!)+0.75</f>
        <v>#REF!</v>
      </c>
      <c r="T88" s="218" t="s">
        <v>3</v>
      </c>
      <c r="U88" s="219">
        <f t="shared" ref="U88:U326" si="37">R88-O88</f>
        <v>-3.4928698092558648</v>
      </c>
      <c r="V88" s="220"/>
      <c r="W88" s="221"/>
      <c r="X88" s="221"/>
      <c r="Y88" s="221"/>
      <c r="Z88" s="180"/>
      <c r="AA88" s="180"/>
      <c r="AB88" s="180"/>
      <c r="AC88" s="180"/>
    </row>
    <row r="89" spans="1:29" ht="36.75" hidden="1" customHeight="1" x14ac:dyDescent="0.4">
      <c r="A89" s="214">
        <f>A36</f>
        <v>45870</v>
      </c>
      <c r="B89" s="215" t="s">
        <v>150</v>
      </c>
      <c r="C89" s="181">
        <v>5400</v>
      </c>
      <c r="D89" s="182">
        <v>19</v>
      </c>
      <c r="E89" s="182">
        <v>14</v>
      </c>
      <c r="F89" s="182">
        <v>0.2</v>
      </c>
      <c r="G89" s="182">
        <v>6</v>
      </c>
      <c r="H89" s="183">
        <f t="shared" si="1"/>
        <v>0.18837209302325583</v>
      </c>
      <c r="I89" s="192">
        <f t="shared" si="2"/>
        <v>5.6511627906976747</v>
      </c>
      <c r="J89" s="222" t="str">
        <f t="shared" si="33"/>
        <v>HBA I</v>
      </c>
      <c r="K89" s="172">
        <f t="shared" si="34"/>
        <v>67.33</v>
      </c>
      <c r="L89" s="183">
        <f t="shared" si="4"/>
        <v>70.623164286193884</v>
      </c>
      <c r="M89" s="188" t="str">
        <f t="shared" si="5"/>
        <v/>
      </c>
      <c r="N89" s="185">
        <f t="shared" si="27"/>
        <v>-2.4020465116279066</v>
      </c>
      <c r="O89" s="175">
        <f t="shared" si="35"/>
        <v>73.025210797821785</v>
      </c>
      <c r="P89" s="193">
        <v>-7.12</v>
      </c>
      <c r="Q89" s="191">
        <f t="shared" si="36"/>
        <v>65.90521079782178</v>
      </c>
      <c r="R89" s="186">
        <f>('ICI, GNewc, Delta'!C713+'ICI, GNewc, Delta'!D713)/2</f>
        <v>65.2</v>
      </c>
      <c r="S89" s="223"/>
      <c r="T89" s="218" t="s">
        <v>23</v>
      </c>
      <c r="U89" s="219">
        <f t="shared" si="37"/>
        <v>-7.8252107978217822</v>
      </c>
      <c r="V89" s="224"/>
      <c r="W89" s="225"/>
      <c r="X89" s="225"/>
      <c r="Y89" s="226"/>
      <c r="Z89" s="180"/>
      <c r="AA89" s="180"/>
      <c r="AB89" s="180"/>
      <c r="AC89" s="180"/>
    </row>
    <row r="90" spans="1:29" ht="36.75" hidden="1" customHeight="1" x14ac:dyDescent="0.4">
      <c r="A90" s="214">
        <f>A36</f>
        <v>45870</v>
      </c>
      <c r="B90" s="215" t="s">
        <v>150</v>
      </c>
      <c r="C90" s="181">
        <v>5250</v>
      </c>
      <c r="D90" s="182">
        <v>19</v>
      </c>
      <c r="E90" s="182">
        <v>14</v>
      </c>
      <c r="F90" s="182">
        <v>0.2</v>
      </c>
      <c r="G90" s="182">
        <v>6</v>
      </c>
      <c r="H90" s="183">
        <f t="shared" si="1"/>
        <v>0.18837209302325583</v>
      </c>
      <c r="I90" s="192">
        <f t="shared" si="2"/>
        <v>5.6511627906976747</v>
      </c>
      <c r="J90" s="216" t="str">
        <f t="shared" si="33"/>
        <v>HBA II</v>
      </c>
      <c r="K90" s="172">
        <f t="shared" si="34"/>
        <v>45.74</v>
      </c>
      <c r="L90" s="183">
        <f t="shared" si="4"/>
        <v>73.815629186321416</v>
      </c>
      <c r="M90" s="188" t="str">
        <f t="shared" si="5"/>
        <v/>
      </c>
      <c r="N90" s="185">
        <f t="shared" si="27"/>
        <v>0.53395348837209322</v>
      </c>
      <c r="O90" s="175">
        <f t="shared" si="35"/>
        <v>73.281675697949325</v>
      </c>
      <c r="P90" s="193">
        <v>-7.12</v>
      </c>
      <c r="Q90" s="191">
        <f t="shared" si="36"/>
        <v>66.16167569794932</v>
      </c>
      <c r="R90" s="186">
        <f>R89*C90/C89</f>
        <v>63.388888888888886</v>
      </c>
      <c r="S90" s="223"/>
      <c r="T90" s="218" t="s">
        <v>151</v>
      </c>
      <c r="U90" s="219">
        <f t="shared" si="37"/>
        <v>-9.8927868090604392</v>
      </c>
      <c r="V90" s="224"/>
      <c r="W90" s="225"/>
      <c r="X90" s="225"/>
      <c r="Y90" s="226"/>
      <c r="Z90" s="180"/>
      <c r="AA90" s="180"/>
      <c r="AB90" s="180"/>
      <c r="AC90" s="180"/>
    </row>
    <row r="91" spans="1:29" ht="36.75" hidden="1" customHeight="1" x14ac:dyDescent="0.4">
      <c r="A91" s="214">
        <f>A36</f>
        <v>45870</v>
      </c>
      <c r="B91" s="215" t="s">
        <v>152</v>
      </c>
      <c r="C91" s="227">
        <v>5400</v>
      </c>
      <c r="D91" s="210">
        <v>25</v>
      </c>
      <c r="E91" s="171">
        <v>11</v>
      </c>
      <c r="F91" s="171">
        <v>0.8</v>
      </c>
      <c r="G91" s="171">
        <v>6</v>
      </c>
      <c r="H91" s="183">
        <f t="shared" si="1"/>
        <v>0.6741573033707865</v>
      </c>
      <c r="I91" s="183">
        <f t="shared" si="2"/>
        <v>5.0561797752808983</v>
      </c>
      <c r="J91" s="222" t="str">
        <f t="shared" si="33"/>
        <v>HBA I</v>
      </c>
      <c r="K91" s="172">
        <f t="shared" si="34"/>
        <v>67.33</v>
      </c>
      <c r="L91" s="183">
        <f t="shared" si="4"/>
        <v>65.391818783512861</v>
      </c>
      <c r="M91" s="184" t="str">
        <f t="shared" si="5"/>
        <v/>
      </c>
      <c r="N91" s="185">
        <f t="shared" si="27"/>
        <v>-0.69689887640449477</v>
      </c>
      <c r="O91" s="175">
        <f t="shared" si="35"/>
        <v>66.08871765991735</v>
      </c>
      <c r="P91" s="186"/>
      <c r="Q91" s="187"/>
      <c r="R91" s="176">
        <f>R89</f>
        <v>65.2</v>
      </c>
      <c r="S91" s="217" t="e">
        <f t="shared" ref="S91:S95" si="38">(((#REF!*50%)+(#REF!*50%))*C91/5400)+R91</f>
        <v>#REF!</v>
      </c>
      <c r="T91" s="218" t="s">
        <v>23</v>
      </c>
      <c r="U91" s="219">
        <f t="shared" si="37"/>
        <v>-0.88871765991734719</v>
      </c>
      <c r="V91" s="220"/>
      <c r="W91" s="221"/>
      <c r="X91" s="226"/>
      <c r="Y91" s="226"/>
      <c r="Z91" s="180"/>
      <c r="AA91" s="180"/>
      <c r="AB91" s="180"/>
      <c r="AC91" s="180"/>
    </row>
    <row r="92" spans="1:29" ht="36.75" hidden="1" customHeight="1" x14ac:dyDescent="0.4">
      <c r="A92" s="214">
        <f>A36</f>
        <v>45870</v>
      </c>
      <c r="B92" s="228" t="s">
        <v>153</v>
      </c>
      <c r="C92" s="227">
        <v>5333</v>
      </c>
      <c r="D92" s="210">
        <v>25.95</v>
      </c>
      <c r="E92" s="171">
        <v>10.6</v>
      </c>
      <c r="F92" s="171">
        <v>0.57999999999999996</v>
      </c>
      <c r="G92" s="171">
        <v>3.25</v>
      </c>
      <c r="H92" s="183">
        <f t="shared" si="1"/>
        <v>0.48041387024608495</v>
      </c>
      <c r="I92" s="183">
        <f t="shared" si="2"/>
        <v>2.6919742729306488</v>
      </c>
      <c r="J92" s="216" t="str">
        <f t="shared" si="33"/>
        <v>HBA I</v>
      </c>
      <c r="K92" s="172">
        <f t="shared" si="34"/>
        <v>67.33</v>
      </c>
      <c r="L92" s="183">
        <f t="shared" si="4"/>
        <v>63.76245648602891</v>
      </c>
      <c r="M92" s="184" t="str">
        <f t="shared" si="5"/>
        <v/>
      </c>
      <c r="N92" s="185">
        <f t="shared" si="27"/>
        <v>-2.4175548098434008</v>
      </c>
      <c r="O92" s="175">
        <f t="shared" si="35"/>
        <v>66.180011295872305</v>
      </c>
      <c r="P92" s="186"/>
      <c r="Q92" s="187"/>
      <c r="R92" s="176">
        <f t="shared" ref="R92:R93" si="39">R90*C92/C90</f>
        <v>64.391037037037037</v>
      </c>
      <c r="S92" s="217" t="e">
        <f t="shared" si="38"/>
        <v>#REF!</v>
      </c>
      <c r="T92" s="218" t="s">
        <v>151</v>
      </c>
      <c r="U92" s="219">
        <f t="shared" si="37"/>
        <v>-1.7889742588352675</v>
      </c>
      <c r="V92" s="220">
        <f t="shared" ref="V92:V93" si="40">O92-6.5</f>
        <v>59.680011295872305</v>
      </c>
      <c r="W92" s="221"/>
      <c r="X92" s="226"/>
      <c r="Y92" s="226"/>
      <c r="Z92" s="180"/>
      <c r="AA92" s="180"/>
      <c r="AB92" s="180"/>
      <c r="AC92" s="180"/>
    </row>
    <row r="93" spans="1:29" ht="36.75" hidden="1" customHeight="1" x14ac:dyDescent="0.4">
      <c r="A93" s="214">
        <f>A36</f>
        <v>45870</v>
      </c>
      <c r="B93" s="228" t="s">
        <v>154</v>
      </c>
      <c r="C93" s="227">
        <v>5329</v>
      </c>
      <c r="D93" s="210">
        <v>25.94</v>
      </c>
      <c r="E93" s="171">
        <v>9.56</v>
      </c>
      <c r="F93" s="171">
        <v>0.6</v>
      </c>
      <c r="G93" s="171">
        <v>3.43</v>
      </c>
      <c r="H93" s="183">
        <f t="shared" si="1"/>
        <v>0.49133126934984517</v>
      </c>
      <c r="I93" s="183">
        <f t="shared" si="2"/>
        <v>2.8087770897832818</v>
      </c>
      <c r="J93" s="216" t="str">
        <f t="shared" si="33"/>
        <v>HBA I</v>
      </c>
      <c r="K93" s="172">
        <f t="shared" si="34"/>
        <v>67.33</v>
      </c>
      <c r="L93" s="183">
        <f t="shared" si="4"/>
        <v>63.723235926274086</v>
      </c>
      <c r="M93" s="184" t="str">
        <f t="shared" si="5"/>
        <v/>
      </c>
      <c r="N93" s="185">
        <f t="shared" si="27"/>
        <v>-2.3271640866873069</v>
      </c>
      <c r="O93" s="175">
        <f t="shared" si="35"/>
        <v>66.05040001296139</v>
      </c>
      <c r="P93" s="186"/>
      <c r="Q93" s="187"/>
      <c r="R93" s="176">
        <f t="shared" si="39"/>
        <v>64.342740740740737</v>
      </c>
      <c r="S93" s="217" t="e">
        <f t="shared" si="38"/>
        <v>#REF!</v>
      </c>
      <c r="T93" s="218" t="s">
        <v>151</v>
      </c>
      <c r="U93" s="219">
        <f t="shared" si="37"/>
        <v>-1.7076592722206527</v>
      </c>
      <c r="V93" s="220">
        <f t="shared" si="40"/>
        <v>59.55040001296139</v>
      </c>
      <c r="W93" s="221"/>
      <c r="X93" s="226"/>
      <c r="Y93" s="226"/>
      <c r="Z93" s="180"/>
      <c r="AA93" s="180"/>
      <c r="AB93" s="180"/>
      <c r="AC93" s="180"/>
    </row>
    <row r="94" spans="1:29" ht="36.75" hidden="1" customHeight="1" x14ac:dyDescent="0.4">
      <c r="A94" s="214">
        <f>A36</f>
        <v>45870</v>
      </c>
      <c r="B94" s="215" t="s">
        <v>155</v>
      </c>
      <c r="C94" s="227">
        <v>5275</v>
      </c>
      <c r="D94" s="210">
        <v>25</v>
      </c>
      <c r="E94" s="171">
        <v>11</v>
      </c>
      <c r="F94" s="171">
        <v>0.8</v>
      </c>
      <c r="G94" s="171">
        <v>6</v>
      </c>
      <c r="H94" s="183">
        <f t="shared" si="1"/>
        <v>0.6741573033707865</v>
      </c>
      <c r="I94" s="183">
        <f t="shared" si="2"/>
        <v>5.0561797752808983</v>
      </c>
      <c r="J94" s="216" t="str">
        <f t="shared" si="33"/>
        <v>HBA II</v>
      </c>
      <c r="K94" s="172">
        <f t="shared" si="34"/>
        <v>45.74</v>
      </c>
      <c r="L94" s="183">
        <f t="shared" si="4"/>
        <v>68.67327053930255</v>
      </c>
      <c r="M94" s="184" t="str">
        <f t="shared" si="5"/>
        <v/>
      </c>
      <c r="N94" s="185">
        <f t="shared" si="27"/>
        <v>2.2391011235955056</v>
      </c>
      <c r="O94" s="175">
        <f>IF(C94&gt;6322,K94*C94/6322*((100 - D94)/(100 - 12.26)) - N94,IF(C94&gt;5300,K94*C94/5300*((100 - D94)/(100 - 21.32)) - N94,IF(C94&gt;4000,K94*C94/4100*((100 - D94)/(100 - 35.73)) - N94,IF(C94&gt;4000,K94*C94/4100*((100 - D94)/(100 - (35.73/M94))) - N94,K94*C94/3400*((100 - D94)/((100 - 44.3)/M94)) - N94))))</f>
        <v>66.434169415707046</v>
      </c>
      <c r="P94" s="186"/>
      <c r="Q94" s="187"/>
      <c r="R94" s="176">
        <f>R91*C94/C91</f>
        <v>63.690740740740743</v>
      </c>
      <c r="S94" s="217" t="e">
        <f t="shared" si="38"/>
        <v>#REF!</v>
      </c>
      <c r="T94" s="218" t="s">
        <v>151</v>
      </c>
      <c r="U94" s="219">
        <f t="shared" si="37"/>
        <v>-2.743428674966303</v>
      </c>
      <c r="V94" s="220"/>
      <c r="W94" s="221"/>
      <c r="X94" s="226"/>
      <c r="Y94" s="226"/>
      <c r="Z94" s="180"/>
      <c r="AA94" s="180"/>
      <c r="AB94" s="180"/>
      <c r="AC94" s="180"/>
    </row>
    <row r="95" spans="1:29" ht="36.75" hidden="1" customHeight="1" x14ac:dyDescent="0.4">
      <c r="A95" s="214">
        <f>A36</f>
        <v>45870</v>
      </c>
      <c r="B95" s="215" t="s">
        <v>156</v>
      </c>
      <c r="C95" s="227">
        <v>5290</v>
      </c>
      <c r="D95" s="210">
        <v>25</v>
      </c>
      <c r="E95" s="171">
        <v>11</v>
      </c>
      <c r="F95" s="171">
        <v>0.8</v>
      </c>
      <c r="G95" s="171">
        <v>6</v>
      </c>
      <c r="H95" s="183">
        <f t="shared" si="1"/>
        <v>0.6741573033707865</v>
      </c>
      <c r="I95" s="183">
        <f t="shared" si="2"/>
        <v>5.0561797752808983</v>
      </c>
      <c r="J95" s="216" t="str">
        <f t="shared" si="33"/>
        <v>HBA II</v>
      </c>
      <c r="K95" s="172">
        <f t="shared" si="34"/>
        <v>45.74</v>
      </c>
      <c r="L95" s="183">
        <f t="shared" si="4"/>
        <v>68.868549981594398</v>
      </c>
      <c r="M95" s="184" t="str">
        <f t="shared" si="5"/>
        <v/>
      </c>
      <c r="N95" s="185">
        <f t="shared" si="27"/>
        <v>2.2391011235955056</v>
      </c>
      <c r="O95" s="175">
        <f t="shared" ref="O95:O326" si="41">IF(C95&gt;6322,K95*C95/6322*((100 - D95)/(100 - 12.26)) - N95,IF(C95&gt;5301,K95*C95/5300*((100 - D95)/(100 - 21.32)) - N95,IF(C95&gt;4000,K95*C95/4100*((100 - D95)/(100 - 35.73)) - N95,IF(C95&gt;4000,K95*C95/4100*((100 - D95)/(100 - (35.73/M95))) - N95,K95*C95/3400*((100 - D95)/((100 - 44.3)/M95)) - N95))))</f>
        <v>66.629448857998895</v>
      </c>
      <c r="P95" s="186"/>
      <c r="Q95" s="187"/>
      <c r="R95" s="176">
        <f>R91*C95/C91</f>
        <v>63.871851851851851</v>
      </c>
      <c r="S95" s="217" t="e">
        <f t="shared" si="38"/>
        <v>#REF!</v>
      </c>
      <c r="T95" s="218" t="s">
        <v>151</v>
      </c>
      <c r="U95" s="219">
        <f t="shared" si="37"/>
        <v>-2.7575970061470443</v>
      </c>
      <c r="V95" s="220"/>
      <c r="W95" s="221"/>
      <c r="X95" s="226"/>
      <c r="Y95" s="226"/>
      <c r="Z95" s="180"/>
      <c r="AA95" s="180"/>
      <c r="AB95" s="180"/>
      <c r="AC95" s="180"/>
    </row>
    <row r="96" spans="1:29" ht="36.75" hidden="1" customHeight="1" x14ac:dyDescent="0.4">
      <c r="A96" s="214">
        <f>A36</f>
        <v>45870</v>
      </c>
      <c r="B96" s="215" t="s">
        <v>157</v>
      </c>
      <c r="C96" s="181">
        <v>5400</v>
      </c>
      <c r="D96" s="182">
        <v>22</v>
      </c>
      <c r="E96" s="182">
        <v>14</v>
      </c>
      <c r="F96" s="208">
        <v>1</v>
      </c>
      <c r="G96" s="182">
        <v>6</v>
      </c>
      <c r="H96" s="183">
        <f t="shared" si="1"/>
        <v>0.90697674418604646</v>
      </c>
      <c r="I96" s="183">
        <f t="shared" si="2"/>
        <v>5.441860465116279</v>
      </c>
      <c r="J96" s="222" t="str">
        <f t="shared" si="33"/>
        <v>HBA I</v>
      </c>
      <c r="K96" s="172">
        <f t="shared" si="34"/>
        <v>67.33</v>
      </c>
      <c r="L96" s="183">
        <f t="shared" si="4"/>
        <v>68.007491534853372</v>
      </c>
      <c r="M96" s="184" t="str">
        <f t="shared" si="5"/>
        <v/>
      </c>
      <c r="N96" s="185">
        <f t="shared" si="27"/>
        <v>0.38865116279069739</v>
      </c>
      <c r="O96" s="175">
        <f t="shared" si="41"/>
        <v>67.618840372062678</v>
      </c>
      <c r="P96" s="186"/>
      <c r="Q96" s="187"/>
      <c r="R96" s="186">
        <f>R89</f>
        <v>65.2</v>
      </c>
      <c r="S96" s="217" t="e">
        <f>((#REF!*50%)+(#REF!*50%))+R96</f>
        <v>#REF!</v>
      </c>
      <c r="T96" s="218" t="s">
        <v>151</v>
      </c>
      <c r="U96" s="219">
        <f t="shared" si="37"/>
        <v>-2.4188403720626752</v>
      </c>
      <c r="V96" s="220"/>
      <c r="W96" s="221"/>
      <c r="X96" s="226"/>
      <c r="Y96" s="226"/>
      <c r="Z96" s="180"/>
      <c r="AA96" s="180"/>
      <c r="AB96" s="180"/>
      <c r="AC96" s="180"/>
    </row>
    <row r="97" spans="1:29" ht="36.75" hidden="1" customHeight="1" x14ac:dyDescent="0.4">
      <c r="A97" s="214">
        <f>A36</f>
        <v>45870</v>
      </c>
      <c r="B97" s="215" t="s">
        <v>158</v>
      </c>
      <c r="C97" s="181">
        <v>4200</v>
      </c>
      <c r="D97" s="182">
        <v>36</v>
      </c>
      <c r="E97" s="182">
        <v>16</v>
      </c>
      <c r="F97" s="182">
        <v>0.4</v>
      </c>
      <c r="G97" s="182">
        <v>8</v>
      </c>
      <c r="H97" s="183">
        <f t="shared" si="1"/>
        <v>0.30476190476190479</v>
      </c>
      <c r="I97" s="192">
        <f t="shared" si="2"/>
        <v>6.0952380952380949</v>
      </c>
      <c r="J97" s="216" t="str">
        <f t="shared" si="33"/>
        <v>HBA II</v>
      </c>
      <c r="K97" s="172">
        <f t="shared" si="34"/>
        <v>45.74</v>
      </c>
      <c r="L97" s="183">
        <f t="shared" si="4"/>
        <v>46.658768078267364</v>
      </c>
      <c r="M97" s="188" t="str">
        <f t="shared" si="5"/>
        <v/>
      </c>
      <c r="N97" s="185">
        <f t="shared" si="27"/>
        <v>1.177142857142857</v>
      </c>
      <c r="O97" s="175">
        <f t="shared" si="41"/>
        <v>45.48162522112451</v>
      </c>
      <c r="P97" s="193"/>
      <c r="Q97" s="191"/>
      <c r="R97" s="186">
        <f>'ICI, GNewc, Delta'!E713</f>
        <v>41.2</v>
      </c>
      <c r="S97" s="217" t="e">
        <f>#REF!+'HPB Calculation'!R97</f>
        <v>#REF!</v>
      </c>
      <c r="T97" s="218" t="s">
        <v>4</v>
      </c>
      <c r="U97" s="219">
        <f t="shared" si="37"/>
        <v>-4.2816252211245072</v>
      </c>
      <c r="V97" s="220"/>
      <c r="W97" s="221"/>
      <c r="X97" s="226"/>
      <c r="Y97" s="226"/>
      <c r="Z97" s="180"/>
      <c r="AA97" s="180"/>
      <c r="AB97" s="180"/>
      <c r="AC97" s="180"/>
    </row>
    <row r="98" spans="1:29" ht="36.75" hidden="1" customHeight="1" x14ac:dyDescent="0.4">
      <c r="A98" s="214">
        <f>A36</f>
        <v>45870</v>
      </c>
      <c r="B98" s="215" t="s">
        <v>159</v>
      </c>
      <c r="C98" s="181">
        <v>4050</v>
      </c>
      <c r="D98" s="182">
        <v>36</v>
      </c>
      <c r="E98" s="182">
        <v>16</v>
      </c>
      <c r="F98" s="182">
        <v>0.4</v>
      </c>
      <c r="G98" s="182">
        <v>8</v>
      </c>
      <c r="H98" s="183">
        <f t="shared" si="1"/>
        <v>0.30476190476190479</v>
      </c>
      <c r="I98" s="192">
        <f t="shared" si="2"/>
        <v>6.0952380952380949</v>
      </c>
      <c r="J98" s="229" t="str">
        <f t="shared" si="33"/>
        <v>HBA III</v>
      </c>
      <c r="K98" s="172">
        <f t="shared" si="34"/>
        <v>34.86</v>
      </c>
      <c r="L98" s="183">
        <f t="shared" si="4"/>
        <v>47.913356267821314</v>
      </c>
      <c r="M98" s="188">
        <f t="shared" si="5"/>
        <v>1.0042187500000002</v>
      </c>
      <c r="N98" s="185">
        <f t="shared" si="27"/>
        <v>1.1451428571428572</v>
      </c>
      <c r="O98" s="175">
        <f t="shared" si="41"/>
        <v>33.14507334204729</v>
      </c>
      <c r="P98" s="193"/>
      <c r="Q98" s="191"/>
      <c r="R98" s="186">
        <f>R97*C98/C97</f>
        <v>39.728571428571428</v>
      </c>
      <c r="S98" s="217" t="e">
        <f>#REF!+'HPB Calculation'!R98</f>
        <v>#REF!</v>
      </c>
      <c r="T98" s="218" t="s">
        <v>160</v>
      </c>
      <c r="U98" s="230">
        <f t="shared" si="37"/>
        <v>6.5834980865241377</v>
      </c>
      <c r="V98" s="220"/>
      <c r="W98" s="221"/>
      <c r="X98" s="226"/>
      <c r="Y98" s="226"/>
      <c r="Z98" s="180"/>
      <c r="AA98" s="180"/>
      <c r="AB98" s="180"/>
      <c r="AC98" s="180"/>
    </row>
    <row r="99" spans="1:29" ht="36.75" hidden="1" customHeight="1" x14ac:dyDescent="0.4">
      <c r="A99" s="214">
        <f>A36</f>
        <v>45870</v>
      </c>
      <c r="B99" s="215" t="s">
        <v>15</v>
      </c>
      <c r="C99" s="170">
        <v>3800</v>
      </c>
      <c r="D99" s="171">
        <v>40</v>
      </c>
      <c r="E99" s="171">
        <v>15</v>
      </c>
      <c r="F99" s="171">
        <v>0.6</v>
      </c>
      <c r="G99" s="171">
        <v>8</v>
      </c>
      <c r="H99" s="183">
        <f t="shared" si="1"/>
        <v>0.42352941176470588</v>
      </c>
      <c r="I99" s="192">
        <f t="shared" si="2"/>
        <v>5.6470588235294121</v>
      </c>
      <c r="J99" s="229" t="str">
        <f t="shared" si="33"/>
        <v>HBA III</v>
      </c>
      <c r="K99" s="172">
        <f t="shared" si="34"/>
        <v>34.86</v>
      </c>
      <c r="L99" s="183">
        <f t="shared" si="4"/>
        <v>44.955741683387899</v>
      </c>
      <c r="M99" s="200">
        <f t="shared" si="5"/>
        <v>1.0711666666666668</v>
      </c>
      <c r="N99" s="185">
        <f>IF(J99="HBA 0", (H99 - 0.66)*4 + (I99 - 7.94)*0.4, IF(J99="HBA I", (H99 - 0.75)*4 + (I99 - 6.04)*0.4, IF(J99="HBA II", ((H99 - 0.23)*4) + ((I99 - 3.9)*0.4), IF(J99="HBA III", (H99 - 0.24)*4 + (I99 - 3.88)*0.4, ""))))</f>
        <v>1.4409411764705884</v>
      </c>
      <c r="O99" s="175">
        <f t="shared" si="41"/>
        <v>43.514800506917311</v>
      </c>
      <c r="P99" s="193"/>
      <c r="Q99" s="191"/>
      <c r="R99" s="186">
        <f>'ICI, GNewc, Delta'!AF713</f>
        <v>35.484999999999999</v>
      </c>
      <c r="S99" s="217" t="e">
        <f>((#REF!*50%)+(#REF!*50%))</f>
        <v>#REF!</v>
      </c>
      <c r="T99" s="218" t="s">
        <v>25</v>
      </c>
      <c r="U99" s="219">
        <f t="shared" si="37"/>
        <v>-8.0298005069173115</v>
      </c>
      <c r="V99" s="220"/>
      <c r="W99" s="221"/>
      <c r="X99" s="226"/>
      <c r="Y99" s="226"/>
      <c r="Z99" s="180"/>
      <c r="AA99" s="180"/>
      <c r="AB99" s="180"/>
      <c r="AC99" s="180"/>
    </row>
    <row r="100" spans="1:29" ht="36.75" hidden="1" customHeight="1" x14ac:dyDescent="0.4">
      <c r="A100" s="231">
        <f>A36</f>
        <v>45870</v>
      </c>
      <c r="B100" s="232" t="s">
        <v>161</v>
      </c>
      <c r="C100" s="233">
        <v>4800</v>
      </c>
      <c r="D100" s="234">
        <v>30</v>
      </c>
      <c r="E100" s="234">
        <v>14</v>
      </c>
      <c r="F100" s="234">
        <v>0.8</v>
      </c>
      <c r="G100" s="234">
        <v>8</v>
      </c>
      <c r="H100" s="235">
        <f t="shared" si="1"/>
        <v>0.65116279069767447</v>
      </c>
      <c r="I100" s="236">
        <f t="shared" si="2"/>
        <v>6.5116279069767442</v>
      </c>
      <c r="J100" s="237" t="str">
        <f t="shared" si="33"/>
        <v>HBA II</v>
      </c>
      <c r="K100" s="238">
        <f t="shared" si="34"/>
        <v>45.74</v>
      </c>
      <c r="L100" s="235">
        <f t="shared" si="4"/>
        <v>58.323460097834207</v>
      </c>
      <c r="M100" s="239" t="str">
        <f t="shared" si="5"/>
        <v/>
      </c>
      <c r="N100" s="240">
        <f t="shared" ref="N100:N111" si="42">IF(J100="HBA 0", (H100 - 0.66)*4 + (I100 - 7.94)*0.4, IF(J100="HBA I", (H100 - 0.75)*4 + (I100 - 6.04)*0.4, IF(J100="HBA II", (H100 - 0.23)*4 + (I100 - 3.9)*0.4, IF(J100="HBA III", (H100 - 0.24)*4 + (I100 - 3.88)*0.4, ""))))</f>
        <v>2.7293023255813957</v>
      </c>
      <c r="O100" s="241">
        <f t="shared" si="41"/>
        <v>55.594157772252814</v>
      </c>
      <c r="P100" s="242"/>
      <c r="Q100" s="243"/>
      <c r="R100" s="244">
        <f>'ICI, GNewc, Delta'!D713*C100/5000</f>
        <v>53.9328</v>
      </c>
      <c r="S100" s="245" t="e">
        <f>(#REF!*C100/5000)+R100</f>
        <v>#REF!</v>
      </c>
      <c r="T100" s="246" t="s">
        <v>162</v>
      </c>
      <c r="U100" s="247">
        <f t="shared" si="37"/>
        <v>-1.6613577722528134</v>
      </c>
      <c r="V100" s="248"/>
      <c r="W100" s="249"/>
      <c r="X100" s="249"/>
      <c r="Y100" s="249"/>
      <c r="Z100" s="250"/>
      <c r="AA100" s="250"/>
      <c r="AB100" s="250"/>
      <c r="AC100" s="250"/>
    </row>
    <row r="101" spans="1:29" ht="36.75" hidden="1" customHeight="1" x14ac:dyDescent="0.4">
      <c r="A101" s="214">
        <f t="shared" ref="A101:A115" si="43">A$37</f>
        <v>45884</v>
      </c>
      <c r="B101" s="215" t="s">
        <v>14</v>
      </c>
      <c r="C101" s="170">
        <v>5000</v>
      </c>
      <c r="D101" s="171">
        <v>28</v>
      </c>
      <c r="E101" s="171">
        <v>13</v>
      </c>
      <c r="F101" s="171">
        <v>0.8</v>
      </c>
      <c r="G101" s="171">
        <v>8</v>
      </c>
      <c r="H101" s="172">
        <f t="shared" si="1"/>
        <v>0.66206896551724137</v>
      </c>
      <c r="I101" s="172">
        <f t="shared" si="2"/>
        <v>6.6206896551724137</v>
      </c>
      <c r="J101" s="251" t="str">
        <f t="shared" si="33"/>
        <v>HBA II</v>
      </c>
      <c r="K101" s="172">
        <f t="shared" ref="K101:K114" si="44">IF(J101="", "", INDEX($B$24:$E$37, MATCH(DATE(2025,8,15), $A$24:$A$37, 0), MATCH(J101, $B$23:$E$23, 0)))</f>
        <v>43.7</v>
      </c>
      <c r="L101" s="172">
        <f t="shared" si="4"/>
        <v>59.702398797754888</v>
      </c>
      <c r="M101" s="252" t="str">
        <f t="shared" si="5"/>
        <v/>
      </c>
      <c r="N101" s="174">
        <f t="shared" si="42"/>
        <v>2.8165517241379314</v>
      </c>
      <c r="O101" s="253">
        <f t="shared" si="41"/>
        <v>56.885847073616958</v>
      </c>
      <c r="P101" s="171">
        <v>3.01</v>
      </c>
      <c r="Q101" s="254">
        <f t="shared" ref="Q101:Q104" si="45">O101+P101</f>
        <v>59.895847073616956</v>
      </c>
      <c r="R101" s="176">
        <f>'ICI, GNewc, Delta'!D715</f>
        <v>58.31</v>
      </c>
      <c r="S101" s="217" t="e">
        <f t="shared" ref="S101:S102" si="46">AVERAGE(#REF!)+0.75</f>
        <v>#REF!</v>
      </c>
      <c r="T101" s="255" t="s">
        <v>3</v>
      </c>
      <c r="U101" s="230">
        <f t="shared" si="37"/>
        <v>1.4241529263830444</v>
      </c>
      <c r="V101" s="220"/>
      <c r="W101" s="221"/>
      <c r="X101" s="221"/>
      <c r="Y101" s="221"/>
      <c r="Z101" s="180"/>
      <c r="AA101" s="180"/>
      <c r="AB101" s="180"/>
      <c r="AC101" s="180"/>
    </row>
    <row r="102" spans="1:29" ht="36.75" hidden="1" customHeight="1" x14ac:dyDescent="0.4">
      <c r="A102" s="214">
        <f t="shared" si="43"/>
        <v>45884</v>
      </c>
      <c r="B102" s="256" t="s">
        <v>163</v>
      </c>
      <c r="C102" s="170">
        <v>5008</v>
      </c>
      <c r="D102" s="171">
        <v>27.68</v>
      </c>
      <c r="E102" s="171">
        <v>15.5</v>
      </c>
      <c r="F102" s="171">
        <v>0.49</v>
      </c>
      <c r="G102" s="171">
        <v>4.79</v>
      </c>
      <c r="H102" s="172">
        <f t="shared" si="1"/>
        <v>0.41937041420118337</v>
      </c>
      <c r="I102" s="172">
        <f t="shared" si="2"/>
        <v>4.0995597633136089</v>
      </c>
      <c r="J102" s="251" t="str">
        <f t="shared" si="33"/>
        <v>HBA II</v>
      </c>
      <c r="K102" s="172">
        <f t="shared" si="44"/>
        <v>43.7</v>
      </c>
      <c r="L102" s="172">
        <f t="shared" si="4"/>
        <v>60.063691180879431</v>
      </c>
      <c r="M102" s="252" t="str">
        <f t="shared" si="5"/>
        <v/>
      </c>
      <c r="N102" s="174">
        <f t="shared" si="42"/>
        <v>0.83730556213017704</v>
      </c>
      <c r="O102" s="253">
        <f t="shared" si="41"/>
        <v>59.226385618749255</v>
      </c>
      <c r="P102" s="171">
        <v>3.01</v>
      </c>
      <c r="Q102" s="254">
        <f t="shared" si="45"/>
        <v>62.236385618749253</v>
      </c>
      <c r="R102" s="176">
        <f>'ICI, GNewc, Delta'!D716</f>
        <v>58.57</v>
      </c>
      <c r="S102" s="217" t="e">
        <f t="shared" si="46"/>
        <v>#REF!</v>
      </c>
      <c r="T102" s="255" t="s">
        <v>3</v>
      </c>
      <c r="U102" s="230">
        <f t="shared" si="37"/>
        <v>-0.65638561874925472</v>
      </c>
      <c r="V102" s="220"/>
      <c r="W102" s="221"/>
      <c r="X102" s="221"/>
      <c r="Y102" s="221"/>
      <c r="Z102" s="180"/>
      <c r="AA102" s="180"/>
      <c r="AB102" s="180"/>
      <c r="AC102" s="180"/>
    </row>
    <row r="103" spans="1:29" ht="36.75" hidden="1" customHeight="1" x14ac:dyDescent="0.4">
      <c r="A103" s="214">
        <f t="shared" si="43"/>
        <v>45884</v>
      </c>
      <c r="B103" s="215" t="s">
        <v>150</v>
      </c>
      <c r="C103" s="181">
        <v>5400</v>
      </c>
      <c r="D103" s="182">
        <v>19</v>
      </c>
      <c r="E103" s="182">
        <v>14</v>
      </c>
      <c r="F103" s="182">
        <v>0.2</v>
      </c>
      <c r="G103" s="182">
        <v>6</v>
      </c>
      <c r="H103" s="183">
        <f t="shared" si="1"/>
        <v>0.18837209302325583</v>
      </c>
      <c r="I103" s="192">
        <f t="shared" si="2"/>
        <v>5.6511627906976747</v>
      </c>
      <c r="J103" s="222" t="str">
        <f t="shared" si="33"/>
        <v>HBA I</v>
      </c>
      <c r="K103" s="172">
        <f t="shared" si="44"/>
        <v>67.2</v>
      </c>
      <c r="L103" s="183">
        <f t="shared" si="4"/>
        <v>70.486805881957963</v>
      </c>
      <c r="M103" s="188" t="str">
        <f t="shared" si="5"/>
        <v/>
      </c>
      <c r="N103" s="185">
        <f t="shared" si="42"/>
        <v>-2.4020465116279066</v>
      </c>
      <c r="O103" s="175">
        <f t="shared" si="41"/>
        <v>72.888852393585864</v>
      </c>
      <c r="P103" s="193">
        <v>-7.12</v>
      </c>
      <c r="Q103" s="191">
        <f t="shared" si="45"/>
        <v>65.76885239358586</v>
      </c>
      <c r="R103" s="186">
        <f>('ICI, GNewc, Delta'!C715+'ICI, GNewc, Delta'!D715)/2</f>
        <v>66.88</v>
      </c>
      <c r="S103" s="223"/>
      <c r="T103" s="218" t="s">
        <v>23</v>
      </c>
      <c r="U103" s="230">
        <f t="shared" si="37"/>
        <v>-6.0088523935858689</v>
      </c>
      <c r="V103" s="224"/>
      <c r="W103" s="225"/>
      <c r="X103" s="225"/>
      <c r="Y103" s="226"/>
      <c r="Z103" s="180"/>
      <c r="AA103" s="180"/>
      <c r="AB103" s="180"/>
      <c r="AC103" s="180"/>
    </row>
    <row r="104" spans="1:29" ht="36.75" hidden="1" customHeight="1" x14ac:dyDescent="0.4">
      <c r="A104" s="214">
        <f t="shared" si="43"/>
        <v>45884</v>
      </c>
      <c r="B104" s="215" t="s">
        <v>150</v>
      </c>
      <c r="C104" s="181">
        <v>5250</v>
      </c>
      <c r="D104" s="182">
        <v>19</v>
      </c>
      <c r="E104" s="182">
        <v>14</v>
      </c>
      <c r="F104" s="182">
        <v>0.2</v>
      </c>
      <c r="G104" s="182">
        <v>6</v>
      </c>
      <c r="H104" s="183">
        <f t="shared" si="1"/>
        <v>0.18837209302325583</v>
      </c>
      <c r="I104" s="192">
        <f t="shared" si="2"/>
        <v>5.6511627906976747</v>
      </c>
      <c r="J104" s="216" t="str">
        <f t="shared" si="33"/>
        <v>HBA II</v>
      </c>
      <c r="K104" s="172">
        <f t="shared" si="44"/>
        <v>43.7</v>
      </c>
      <c r="L104" s="183">
        <f t="shared" si="4"/>
        <v>70.523458579847969</v>
      </c>
      <c r="M104" s="188" t="str">
        <f t="shared" si="5"/>
        <v/>
      </c>
      <c r="N104" s="185">
        <f t="shared" si="42"/>
        <v>0.53395348837209322</v>
      </c>
      <c r="O104" s="175">
        <f t="shared" si="41"/>
        <v>69.989505091475877</v>
      </c>
      <c r="P104" s="193">
        <v>-7.12</v>
      </c>
      <c r="Q104" s="191">
        <f t="shared" si="45"/>
        <v>62.86950509147588</v>
      </c>
      <c r="R104" s="186">
        <f>R103*C104/C103</f>
        <v>65.022222222222226</v>
      </c>
      <c r="S104" s="223"/>
      <c r="T104" s="218" t="s">
        <v>151</v>
      </c>
      <c r="U104" s="230">
        <f t="shared" si="37"/>
        <v>-4.9672828692536513</v>
      </c>
      <c r="V104" s="224"/>
      <c r="W104" s="225"/>
      <c r="X104" s="225"/>
      <c r="Y104" s="226"/>
      <c r="Z104" s="180"/>
      <c r="AA104" s="180"/>
      <c r="AB104" s="180"/>
      <c r="AC104" s="180"/>
    </row>
    <row r="105" spans="1:29" ht="36.75" hidden="1" customHeight="1" x14ac:dyDescent="0.4">
      <c r="A105" s="214">
        <f t="shared" si="43"/>
        <v>45884</v>
      </c>
      <c r="B105" s="215" t="s">
        <v>152</v>
      </c>
      <c r="C105" s="227">
        <v>5400</v>
      </c>
      <c r="D105" s="210">
        <v>25</v>
      </c>
      <c r="E105" s="171">
        <v>11</v>
      </c>
      <c r="F105" s="171">
        <v>0.8</v>
      </c>
      <c r="G105" s="171">
        <v>6</v>
      </c>
      <c r="H105" s="183">
        <f t="shared" si="1"/>
        <v>0.6741573033707865</v>
      </c>
      <c r="I105" s="183">
        <f t="shared" si="2"/>
        <v>5.0561797752808983</v>
      </c>
      <c r="J105" s="222" t="str">
        <f t="shared" si="33"/>
        <v>HBA I</v>
      </c>
      <c r="K105" s="172">
        <f t="shared" si="44"/>
        <v>67.2</v>
      </c>
      <c r="L105" s="183">
        <f t="shared" si="4"/>
        <v>65.265561001812927</v>
      </c>
      <c r="M105" s="184" t="str">
        <f t="shared" si="5"/>
        <v/>
      </c>
      <c r="N105" s="185">
        <f t="shared" si="42"/>
        <v>-0.69689887640449477</v>
      </c>
      <c r="O105" s="175">
        <f t="shared" si="41"/>
        <v>65.962459878217416</v>
      </c>
      <c r="P105" s="186"/>
      <c r="Q105" s="187"/>
      <c r="R105" s="176">
        <f>R103</f>
        <v>66.88</v>
      </c>
      <c r="S105" s="217" t="e">
        <f t="shared" ref="S105:S108" si="47">(((#REF!*50%)+(#REF!*50%))*C105/5400)+R105</f>
        <v>#REF!</v>
      </c>
      <c r="T105" s="218" t="s">
        <v>23</v>
      </c>
      <c r="U105" s="230">
        <f t="shared" si="37"/>
        <v>0.91754012178257938</v>
      </c>
      <c r="V105" s="220">
        <f t="shared" ref="V105:V107" si="48">O105-6.5</f>
        <v>59.462459878217416</v>
      </c>
      <c r="W105" s="221"/>
      <c r="X105" s="226"/>
      <c r="Y105" s="226"/>
      <c r="Z105" s="180"/>
      <c r="AA105" s="180"/>
      <c r="AB105" s="180"/>
      <c r="AC105" s="180"/>
    </row>
    <row r="106" spans="1:29" ht="36.75" hidden="1" customHeight="1" x14ac:dyDescent="0.4">
      <c r="A106" s="214">
        <f t="shared" si="43"/>
        <v>45884</v>
      </c>
      <c r="B106" s="215" t="s">
        <v>164</v>
      </c>
      <c r="C106" s="227">
        <v>5305</v>
      </c>
      <c r="D106" s="210">
        <v>25</v>
      </c>
      <c r="E106" s="171">
        <v>11</v>
      </c>
      <c r="F106" s="171">
        <v>0.8</v>
      </c>
      <c r="G106" s="171">
        <v>6</v>
      </c>
      <c r="H106" s="183">
        <f t="shared" si="1"/>
        <v>0.6741573033707865</v>
      </c>
      <c r="I106" s="183">
        <f t="shared" si="2"/>
        <v>5.0561797752808983</v>
      </c>
      <c r="J106" s="222" t="str">
        <f t="shared" si="33"/>
        <v>HBA I</v>
      </c>
      <c r="K106" s="172">
        <f t="shared" si="44"/>
        <v>67.2</v>
      </c>
      <c r="L106" s="183">
        <f t="shared" si="4"/>
        <v>64.117370576781028</v>
      </c>
      <c r="M106" s="184" t="str">
        <f t="shared" si="5"/>
        <v/>
      </c>
      <c r="N106" s="185">
        <f t="shared" si="42"/>
        <v>-0.69689887640449477</v>
      </c>
      <c r="O106" s="175">
        <f t="shared" si="41"/>
        <v>64.814269453185517</v>
      </c>
      <c r="P106" s="186"/>
      <c r="Q106" s="187"/>
      <c r="R106" s="176">
        <f>R105*C106/C105</f>
        <v>65.703407407407397</v>
      </c>
      <c r="S106" s="217" t="e">
        <f t="shared" si="47"/>
        <v>#REF!</v>
      </c>
      <c r="T106" s="218" t="s">
        <v>151</v>
      </c>
      <c r="U106" s="230">
        <f t="shared" si="37"/>
        <v>0.88913795422188002</v>
      </c>
      <c r="V106" s="220">
        <f t="shared" si="48"/>
        <v>58.314269453185517</v>
      </c>
      <c r="W106" s="221"/>
      <c r="X106" s="226"/>
      <c r="Y106" s="226"/>
      <c r="Z106" s="180"/>
      <c r="AA106" s="180"/>
      <c r="AB106" s="180"/>
      <c r="AC106" s="180"/>
    </row>
    <row r="107" spans="1:29" ht="36.75" hidden="1" customHeight="1" x14ac:dyDescent="0.4">
      <c r="A107" s="214">
        <f t="shared" si="43"/>
        <v>45884</v>
      </c>
      <c r="B107" s="215" t="s">
        <v>165</v>
      </c>
      <c r="C107" s="227">
        <v>5300</v>
      </c>
      <c r="D107" s="210">
        <v>25</v>
      </c>
      <c r="E107" s="171">
        <v>11</v>
      </c>
      <c r="F107" s="171">
        <v>0.8</v>
      </c>
      <c r="G107" s="171">
        <v>6</v>
      </c>
      <c r="H107" s="183">
        <f t="shared" si="1"/>
        <v>0.6741573033707865</v>
      </c>
      <c r="I107" s="183">
        <f t="shared" si="2"/>
        <v>5.0561797752808983</v>
      </c>
      <c r="J107" s="216" t="str">
        <f t="shared" si="33"/>
        <v>HBA II</v>
      </c>
      <c r="K107" s="172">
        <f t="shared" si="44"/>
        <v>43.7</v>
      </c>
      <c r="L107" s="183">
        <f t="shared" si="4"/>
        <v>65.921398672521036</v>
      </c>
      <c r="M107" s="184" t="str">
        <f t="shared" si="5"/>
        <v/>
      </c>
      <c r="N107" s="185">
        <f t="shared" si="42"/>
        <v>2.2391011235955056</v>
      </c>
      <c r="O107" s="175">
        <f t="shared" si="41"/>
        <v>63.682297548925533</v>
      </c>
      <c r="P107" s="186"/>
      <c r="Q107" s="187"/>
      <c r="R107" s="176">
        <f>R105*C107/C105</f>
        <v>65.641481481481478</v>
      </c>
      <c r="S107" s="217" t="e">
        <f t="shared" si="47"/>
        <v>#REF!</v>
      </c>
      <c r="T107" s="218" t="s">
        <v>151</v>
      </c>
      <c r="U107" s="230">
        <f t="shared" si="37"/>
        <v>1.9591839325559448</v>
      </c>
      <c r="V107" s="220">
        <f t="shared" si="48"/>
        <v>57.182297548925533</v>
      </c>
      <c r="W107" s="221"/>
      <c r="X107" s="226"/>
      <c r="Y107" s="226"/>
      <c r="Z107" s="180"/>
      <c r="AA107" s="180"/>
      <c r="AB107" s="180"/>
      <c r="AC107" s="180"/>
    </row>
    <row r="108" spans="1:29" ht="36.75" hidden="1" customHeight="1" x14ac:dyDescent="0.4">
      <c r="A108" s="214">
        <f t="shared" si="43"/>
        <v>45884</v>
      </c>
      <c r="B108" s="215" t="s">
        <v>155</v>
      </c>
      <c r="C108" s="227">
        <v>5275</v>
      </c>
      <c r="D108" s="210">
        <v>25</v>
      </c>
      <c r="E108" s="171">
        <v>11</v>
      </c>
      <c r="F108" s="171">
        <v>0.8</v>
      </c>
      <c r="G108" s="171">
        <v>6</v>
      </c>
      <c r="H108" s="183">
        <f t="shared" si="1"/>
        <v>0.6741573033707865</v>
      </c>
      <c r="I108" s="183">
        <f t="shared" si="2"/>
        <v>5.0561797752808983</v>
      </c>
      <c r="J108" s="216" t="str">
        <f t="shared" si="33"/>
        <v>HBA II</v>
      </c>
      <c r="K108" s="172">
        <f t="shared" si="44"/>
        <v>43.7</v>
      </c>
      <c r="L108" s="183">
        <f t="shared" si="4"/>
        <v>65.610448678782717</v>
      </c>
      <c r="M108" s="184" t="str">
        <f t="shared" si="5"/>
        <v/>
      </c>
      <c r="N108" s="185">
        <f t="shared" si="42"/>
        <v>2.2391011235955056</v>
      </c>
      <c r="O108" s="175">
        <f t="shared" si="41"/>
        <v>63.371347555187214</v>
      </c>
      <c r="P108" s="186"/>
      <c r="Q108" s="187"/>
      <c r="R108" s="176">
        <f>R105*C108/C105</f>
        <v>65.331851851851852</v>
      </c>
      <c r="S108" s="217" t="e">
        <f t="shared" si="47"/>
        <v>#REF!</v>
      </c>
      <c r="T108" s="218" t="s">
        <v>151</v>
      </c>
      <c r="U108" s="230">
        <f t="shared" si="37"/>
        <v>1.960504296664638</v>
      </c>
      <c r="V108" s="220"/>
      <c r="W108" s="221"/>
      <c r="X108" s="226"/>
      <c r="Y108" s="226"/>
      <c r="Z108" s="180"/>
      <c r="AA108" s="180"/>
      <c r="AB108" s="180"/>
      <c r="AC108" s="180"/>
    </row>
    <row r="109" spans="1:29" ht="36.75" hidden="1" customHeight="1" x14ac:dyDescent="0.4">
      <c r="A109" s="214">
        <f t="shared" si="43"/>
        <v>45884</v>
      </c>
      <c r="B109" s="215" t="s">
        <v>157</v>
      </c>
      <c r="C109" s="181">
        <v>5400</v>
      </c>
      <c r="D109" s="182">
        <v>22</v>
      </c>
      <c r="E109" s="182">
        <v>14</v>
      </c>
      <c r="F109" s="208">
        <v>1</v>
      </c>
      <c r="G109" s="182">
        <v>6</v>
      </c>
      <c r="H109" s="183">
        <f t="shared" si="1"/>
        <v>0.90697674418604646</v>
      </c>
      <c r="I109" s="183">
        <f t="shared" si="2"/>
        <v>5.441860465116279</v>
      </c>
      <c r="J109" s="222" t="str">
        <f t="shared" si="33"/>
        <v>HBA I</v>
      </c>
      <c r="K109" s="172">
        <f t="shared" si="44"/>
        <v>67.2</v>
      </c>
      <c r="L109" s="183">
        <f t="shared" si="4"/>
        <v>67.876183441885459</v>
      </c>
      <c r="M109" s="184" t="str">
        <f t="shared" si="5"/>
        <v/>
      </c>
      <c r="N109" s="185">
        <f t="shared" si="42"/>
        <v>0.38865116279069739</v>
      </c>
      <c r="O109" s="175">
        <f t="shared" si="41"/>
        <v>67.487532279094765</v>
      </c>
      <c r="P109" s="186"/>
      <c r="Q109" s="187"/>
      <c r="R109" s="186">
        <f>R103</f>
        <v>66.88</v>
      </c>
      <c r="S109" s="217" t="e">
        <f>((#REF!*50%)+(#REF!*50%))+R109</f>
        <v>#REF!</v>
      </c>
      <c r="T109" s="218" t="s">
        <v>151</v>
      </c>
      <c r="U109" s="230">
        <f t="shared" si="37"/>
        <v>-0.60753227909476948</v>
      </c>
      <c r="V109" s="220"/>
      <c r="W109" s="221"/>
      <c r="X109" s="226"/>
      <c r="Y109" s="226"/>
      <c r="Z109" s="180"/>
      <c r="AA109" s="180"/>
      <c r="AB109" s="180"/>
      <c r="AC109" s="180"/>
    </row>
    <row r="110" spans="1:29" ht="36.75" hidden="1" customHeight="1" x14ac:dyDescent="0.4">
      <c r="A110" s="214">
        <f t="shared" si="43"/>
        <v>45884</v>
      </c>
      <c r="B110" s="215" t="s">
        <v>158</v>
      </c>
      <c r="C110" s="181">
        <v>4200</v>
      </c>
      <c r="D110" s="182">
        <v>36</v>
      </c>
      <c r="E110" s="182">
        <v>16</v>
      </c>
      <c r="F110" s="182">
        <v>0.4</v>
      </c>
      <c r="G110" s="182">
        <v>8</v>
      </c>
      <c r="H110" s="183">
        <f t="shared" si="1"/>
        <v>0.30476190476190479</v>
      </c>
      <c r="I110" s="192">
        <f t="shared" si="2"/>
        <v>6.0952380952380949</v>
      </c>
      <c r="J110" s="216" t="str">
        <f t="shared" si="33"/>
        <v>HBA II</v>
      </c>
      <c r="K110" s="172">
        <f t="shared" si="44"/>
        <v>43.7</v>
      </c>
      <c r="L110" s="183">
        <f t="shared" si="4"/>
        <v>44.577791102323651</v>
      </c>
      <c r="M110" s="188" t="str">
        <f t="shared" si="5"/>
        <v/>
      </c>
      <c r="N110" s="185">
        <f t="shared" si="42"/>
        <v>1.177142857142857</v>
      </c>
      <c r="O110" s="175">
        <f t="shared" si="41"/>
        <v>43.400648245180797</v>
      </c>
      <c r="P110" s="193"/>
      <c r="Q110" s="191"/>
      <c r="R110" s="186">
        <f>'ICI, GNewc, Delta'!E715</f>
        <v>43.06</v>
      </c>
      <c r="S110" s="217" t="e">
        <f>#REF!+'HPB Calculation'!R110</f>
        <v>#REF!</v>
      </c>
      <c r="T110" s="218" t="s">
        <v>4</v>
      </c>
      <c r="U110" s="230">
        <f t="shared" si="37"/>
        <v>-0.34064824518079462</v>
      </c>
      <c r="V110" s="220"/>
      <c r="W110" s="221"/>
      <c r="X110" s="226"/>
      <c r="Y110" s="226"/>
      <c r="Z110" s="180"/>
      <c r="AA110" s="180"/>
      <c r="AB110" s="180"/>
      <c r="AC110" s="180"/>
    </row>
    <row r="111" spans="1:29" ht="36.75" hidden="1" customHeight="1" x14ac:dyDescent="0.4">
      <c r="A111" s="214">
        <f t="shared" si="43"/>
        <v>45884</v>
      </c>
      <c r="B111" s="215" t="s">
        <v>159</v>
      </c>
      <c r="C111" s="181">
        <v>4050</v>
      </c>
      <c r="D111" s="182">
        <v>36</v>
      </c>
      <c r="E111" s="182">
        <v>16</v>
      </c>
      <c r="F111" s="182">
        <v>0.4</v>
      </c>
      <c r="G111" s="182">
        <v>8</v>
      </c>
      <c r="H111" s="183">
        <f t="shared" si="1"/>
        <v>0.30476190476190479</v>
      </c>
      <c r="I111" s="192">
        <f t="shared" si="2"/>
        <v>6.0952380952380949</v>
      </c>
      <c r="J111" s="229" t="str">
        <f t="shared" si="33"/>
        <v>HBA III</v>
      </c>
      <c r="K111" s="172">
        <f t="shared" si="44"/>
        <v>33.479999999999997</v>
      </c>
      <c r="L111" s="183">
        <f t="shared" si="4"/>
        <v>46.016614109198443</v>
      </c>
      <c r="M111" s="188">
        <f t="shared" si="5"/>
        <v>1.0042187500000002</v>
      </c>
      <c r="N111" s="185">
        <f t="shared" si="42"/>
        <v>1.1451428571428572</v>
      </c>
      <c r="O111" s="175">
        <f t="shared" si="41"/>
        <v>31.78762932727728</v>
      </c>
      <c r="P111" s="193"/>
      <c r="Q111" s="191"/>
      <c r="R111" s="186">
        <f>R110*C111/C110</f>
        <v>41.52214285714286</v>
      </c>
      <c r="S111" s="217" t="e">
        <f>#REF!+'HPB Calculation'!R111</f>
        <v>#REF!</v>
      </c>
      <c r="T111" s="218" t="s">
        <v>160</v>
      </c>
      <c r="U111" s="230">
        <f t="shared" si="37"/>
        <v>9.7345135298655805</v>
      </c>
      <c r="V111" s="220"/>
      <c r="W111" s="221"/>
      <c r="X111" s="226"/>
      <c r="Y111" s="226"/>
      <c r="Z111" s="180"/>
      <c r="AA111" s="180"/>
      <c r="AB111" s="180"/>
      <c r="AC111" s="180"/>
    </row>
    <row r="112" spans="1:29" ht="36.75" hidden="1" customHeight="1" x14ac:dyDescent="0.4">
      <c r="A112" s="214">
        <f t="shared" si="43"/>
        <v>45884</v>
      </c>
      <c r="B112" s="215" t="s">
        <v>15</v>
      </c>
      <c r="C112" s="170">
        <v>3800</v>
      </c>
      <c r="D112" s="171">
        <v>40</v>
      </c>
      <c r="E112" s="171">
        <v>15</v>
      </c>
      <c r="F112" s="171">
        <v>0.6</v>
      </c>
      <c r="G112" s="171">
        <v>8</v>
      </c>
      <c r="H112" s="183">
        <f t="shared" si="1"/>
        <v>0.42352941176470588</v>
      </c>
      <c r="I112" s="192">
        <f t="shared" si="2"/>
        <v>5.6470588235294121</v>
      </c>
      <c r="J112" s="229" t="str">
        <f t="shared" si="33"/>
        <v>HBA III</v>
      </c>
      <c r="K112" s="172">
        <f t="shared" si="44"/>
        <v>33.479999999999997</v>
      </c>
      <c r="L112" s="183">
        <f t="shared" si="4"/>
        <v>43.17608237406273</v>
      </c>
      <c r="M112" s="200">
        <f t="shared" si="5"/>
        <v>1.0711666666666668</v>
      </c>
      <c r="N112" s="185">
        <f>IF(J112="HBA 0", (H112 - 0.66)*4 + (I112 - 7.94)*0.4, IF(J112="HBA I", (H112 - 0.75)*4 + (I112 - 6.04)*0.4, IF(J112="HBA II", ((H112 - 0.23)*4) + ((I112 - 3.9)*0.4), IF(J112="HBA III", (H112 - 0.24)*4 + (I112 - 3.88)*0.4, ""))))</f>
        <v>1.4409411764705884</v>
      </c>
      <c r="O112" s="175">
        <f t="shared" si="41"/>
        <v>41.735141197592142</v>
      </c>
      <c r="P112" s="193"/>
      <c r="Q112" s="191"/>
      <c r="R112" s="186">
        <f>'ICI, GNewc, Delta'!AF715</f>
        <v>36.935000000000002</v>
      </c>
      <c r="S112" s="217" t="e">
        <f>((#REF!*50%)+(#REF!*50%))</f>
        <v>#REF!</v>
      </c>
      <c r="T112" s="218" t="s">
        <v>25</v>
      </c>
      <c r="U112" s="230">
        <f t="shared" si="37"/>
        <v>-4.80014119759214</v>
      </c>
      <c r="V112" s="220"/>
      <c r="W112" s="221"/>
      <c r="X112" s="226"/>
      <c r="Y112" s="226"/>
      <c r="Z112" s="180"/>
      <c r="AA112" s="180"/>
      <c r="AB112" s="180"/>
      <c r="AC112" s="180"/>
    </row>
    <row r="113" spans="1:29" ht="36.75" hidden="1" customHeight="1" x14ac:dyDescent="0.4">
      <c r="A113" s="214">
        <f t="shared" si="43"/>
        <v>45884</v>
      </c>
      <c r="B113" s="257" t="s">
        <v>161</v>
      </c>
      <c r="C113" s="181">
        <v>4800</v>
      </c>
      <c r="D113" s="182">
        <v>30</v>
      </c>
      <c r="E113" s="182">
        <v>14</v>
      </c>
      <c r="F113" s="182">
        <v>0.8</v>
      </c>
      <c r="G113" s="182">
        <v>8</v>
      </c>
      <c r="H113" s="183">
        <f t="shared" si="1"/>
        <v>0.65116279069767447</v>
      </c>
      <c r="I113" s="192">
        <f t="shared" si="2"/>
        <v>6.5116279069767442</v>
      </c>
      <c r="J113" s="216" t="str">
        <f t="shared" si="33"/>
        <v>HBA II</v>
      </c>
      <c r="K113" s="172">
        <f t="shared" si="44"/>
        <v>43.7</v>
      </c>
      <c r="L113" s="183">
        <f t="shared" si="4"/>
        <v>55.722238877904566</v>
      </c>
      <c r="M113" s="188" t="str">
        <f t="shared" si="5"/>
        <v/>
      </c>
      <c r="N113" s="185">
        <f t="shared" ref="N113:N125" si="49">IF(J113="HBA 0", (H113 - 0.66)*4 + (I113 - 7.94)*0.4, IF(J113="HBA I", (H113 - 0.75)*4 + (I113 - 6.04)*0.4, IF(J113="HBA II", (H113 - 0.23)*4 + (I113 - 3.9)*0.4, IF(J113="HBA III", (H113 - 0.24)*4 + (I113 - 3.88)*0.4, ""))))</f>
        <v>2.7293023255813957</v>
      </c>
      <c r="O113" s="175">
        <f t="shared" si="41"/>
        <v>52.992936552323172</v>
      </c>
      <c r="P113" s="193"/>
      <c r="Q113" s="191"/>
      <c r="R113" s="186">
        <f>'ICI, GNewc, Delta'!D715*C113/5000</f>
        <v>55.977600000000002</v>
      </c>
      <c r="S113" s="217" t="e">
        <f>(#REF!*C113/5000)+R113</f>
        <v>#REF!</v>
      </c>
      <c r="T113" s="218" t="s">
        <v>162</v>
      </c>
      <c r="U113" s="230">
        <f t="shared" si="37"/>
        <v>2.9846634476768301</v>
      </c>
      <c r="V113" s="220"/>
      <c r="W113" s="221"/>
      <c r="X113" s="221"/>
      <c r="Y113" s="221"/>
      <c r="Z113" s="180"/>
      <c r="AA113" s="180"/>
      <c r="AB113" s="180"/>
      <c r="AC113" s="180"/>
    </row>
    <row r="114" spans="1:29" ht="36.75" hidden="1" customHeight="1" x14ac:dyDescent="0.4">
      <c r="A114" s="214">
        <f t="shared" si="43"/>
        <v>45884</v>
      </c>
      <c r="B114" s="215" t="s">
        <v>166</v>
      </c>
      <c r="C114" s="181">
        <v>4200</v>
      </c>
      <c r="D114" s="182">
        <v>38</v>
      </c>
      <c r="E114" s="182">
        <v>16</v>
      </c>
      <c r="F114" s="182">
        <v>0.4</v>
      </c>
      <c r="G114" s="182">
        <v>8</v>
      </c>
      <c r="H114" s="183">
        <f t="shared" si="1"/>
        <v>0.29523809523809524</v>
      </c>
      <c r="I114" s="192">
        <f t="shared" si="2"/>
        <v>5.9047619047619051</v>
      </c>
      <c r="J114" s="216" t="str">
        <f t="shared" si="33"/>
        <v>HBA II</v>
      </c>
      <c r="K114" s="172">
        <f t="shared" si="44"/>
        <v>43.7</v>
      </c>
      <c r="L114" s="183">
        <f t="shared" si="4"/>
        <v>43.184735130376033</v>
      </c>
      <c r="M114" s="188" t="str">
        <f t="shared" si="5"/>
        <v/>
      </c>
      <c r="N114" s="185">
        <f t="shared" si="49"/>
        <v>1.0628571428571432</v>
      </c>
      <c r="O114" s="175">
        <f t="shared" si="41"/>
        <v>42.121877987518893</v>
      </c>
      <c r="P114" s="193"/>
      <c r="Q114" s="191"/>
      <c r="R114" s="258">
        <f t="shared" ref="R114:R115" si="50">O114*16200</f>
        <v>682374.42339780601</v>
      </c>
      <c r="S114" s="217" t="e">
        <f>#REF!+'HPB Calculation'!R114</f>
        <v>#REF!</v>
      </c>
      <c r="T114" s="218" t="s">
        <v>4</v>
      </c>
      <c r="U114" s="230">
        <f t="shared" si="37"/>
        <v>682332.30151981849</v>
      </c>
      <c r="V114" s="220"/>
      <c r="W114" s="221"/>
      <c r="X114" s="226"/>
      <c r="Y114" s="226"/>
      <c r="Z114" s="180"/>
      <c r="AA114" s="180"/>
      <c r="AB114" s="180"/>
      <c r="AC114" s="180"/>
    </row>
    <row r="115" spans="1:29" ht="36.75" hidden="1" customHeight="1" x14ac:dyDescent="0.4">
      <c r="A115" s="231">
        <f t="shared" si="43"/>
        <v>45884</v>
      </c>
      <c r="B115" s="259" t="s">
        <v>166</v>
      </c>
      <c r="C115" s="233">
        <v>4200</v>
      </c>
      <c r="D115" s="234">
        <v>38</v>
      </c>
      <c r="E115" s="234">
        <v>16</v>
      </c>
      <c r="F115" s="234">
        <v>0.4</v>
      </c>
      <c r="G115" s="234">
        <v>8</v>
      </c>
      <c r="H115" s="235">
        <f t="shared" si="1"/>
        <v>0.29523809523809524</v>
      </c>
      <c r="I115" s="236">
        <f t="shared" si="2"/>
        <v>5.9047619047619051</v>
      </c>
      <c r="J115" s="237" t="str">
        <f t="shared" si="33"/>
        <v>HBA II</v>
      </c>
      <c r="K115" s="238" t="e">
        <f t="array" ref="K115">IF(J115="", "", INDEX($B$24:$E$40, MATCH(DATE(2025,8,16), $A$24:$A$40, 0), MATCH(J115, $B$23:$E$23, 0)))</f>
        <v>#N/A</v>
      </c>
      <c r="L115" s="235" t="e">
        <f t="shared" si="4"/>
        <v>#N/A</v>
      </c>
      <c r="M115" s="239" t="str">
        <f t="shared" si="5"/>
        <v/>
      </c>
      <c r="N115" s="240">
        <f t="shared" si="49"/>
        <v>1.0628571428571432</v>
      </c>
      <c r="O115" s="241" t="e">
        <f t="shared" si="41"/>
        <v>#N/A</v>
      </c>
      <c r="P115" s="242"/>
      <c r="Q115" s="243"/>
      <c r="R115" s="260" t="e">
        <f t="shared" si="50"/>
        <v>#N/A</v>
      </c>
      <c r="S115" s="245" t="e">
        <f>#REF!+'HPB Calculation'!R115</f>
        <v>#REF!</v>
      </c>
      <c r="T115" s="246" t="s">
        <v>4</v>
      </c>
      <c r="U115" s="261" t="e">
        <f t="shared" si="37"/>
        <v>#N/A</v>
      </c>
      <c r="V115" s="220"/>
      <c r="W115" s="221"/>
      <c r="X115" s="226"/>
      <c r="Y115" s="226"/>
      <c r="Z115" s="180"/>
      <c r="AA115" s="180"/>
      <c r="AB115" s="180"/>
      <c r="AC115" s="180"/>
    </row>
    <row r="116" spans="1:29" ht="36.75" hidden="1" customHeight="1" x14ac:dyDescent="0.4">
      <c r="A116" s="214">
        <f t="shared" ref="A116:A129" si="51">A$38</f>
        <v>45901</v>
      </c>
      <c r="B116" s="215" t="s">
        <v>14</v>
      </c>
      <c r="C116" s="170">
        <v>5000</v>
      </c>
      <c r="D116" s="171">
        <v>28</v>
      </c>
      <c r="E116" s="171">
        <v>13</v>
      </c>
      <c r="F116" s="171">
        <v>0.8</v>
      </c>
      <c r="G116" s="171">
        <v>8</v>
      </c>
      <c r="H116" s="172">
        <f t="shared" si="1"/>
        <v>0.66206896551724137</v>
      </c>
      <c r="I116" s="172">
        <f t="shared" si="2"/>
        <v>6.6206896551724137</v>
      </c>
      <c r="J116" s="251" t="str">
        <f t="shared" si="33"/>
        <v>HBA II</v>
      </c>
      <c r="K116" s="172">
        <f t="shared" ref="K116:K128" si="52">IF(J116="", "", INDEX($B$24:$E$38, MATCH(DATE(2025,9,1), $A$24:$A$38, 0), MATCH(J116, $B$23:$E$23, 0)))</f>
        <v>42.3</v>
      </c>
      <c r="L116" s="172">
        <f t="shared" si="4"/>
        <v>57.789736136041924</v>
      </c>
      <c r="M116" s="252" t="str">
        <f t="shared" si="5"/>
        <v/>
      </c>
      <c r="N116" s="174">
        <f t="shared" si="49"/>
        <v>2.8165517241379314</v>
      </c>
      <c r="O116" s="253">
        <f t="shared" si="41"/>
        <v>54.973184411903993</v>
      </c>
      <c r="P116" s="171">
        <v>3.01</v>
      </c>
      <c r="Q116" s="254">
        <f t="shared" ref="Q116:Q118" si="53">O116+P116</f>
        <v>57.983184411903991</v>
      </c>
      <c r="R116" s="176">
        <f>'ICI, GNewc, Delta'!D717</f>
        <v>58.7</v>
      </c>
      <c r="S116" s="217" t="e">
        <f>AVERAGE(#REF!)+0.75</f>
        <v>#REF!</v>
      </c>
      <c r="T116" s="255" t="s">
        <v>3</v>
      </c>
      <c r="U116" s="262">
        <f t="shared" si="37"/>
        <v>3.7268155880960094</v>
      </c>
      <c r="V116" s="220"/>
      <c r="W116" s="221"/>
      <c r="X116" s="221"/>
      <c r="Y116" s="221"/>
      <c r="Z116" s="180"/>
      <c r="AA116" s="180"/>
      <c r="AB116" s="180"/>
      <c r="AC116" s="180"/>
    </row>
    <row r="117" spans="1:29" ht="36.75" hidden="1" customHeight="1" x14ac:dyDescent="0.4">
      <c r="A117" s="214">
        <f t="shared" si="51"/>
        <v>45901</v>
      </c>
      <c r="B117" s="215" t="s">
        <v>150</v>
      </c>
      <c r="C117" s="181">
        <v>5400</v>
      </c>
      <c r="D117" s="182">
        <v>19</v>
      </c>
      <c r="E117" s="182">
        <v>14</v>
      </c>
      <c r="F117" s="182">
        <v>0.2</v>
      </c>
      <c r="G117" s="182">
        <v>6</v>
      </c>
      <c r="H117" s="183">
        <f t="shared" si="1"/>
        <v>0.18837209302325583</v>
      </c>
      <c r="I117" s="192">
        <f t="shared" si="2"/>
        <v>5.6511627906976747</v>
      </c>
      <c r="J117" s="222" t="str">
        <f t="shared" si="33"/>
        <v>HBA I</v>
      </c>
      <c r="K117" s="172">
        <f t="shared" si="52"/>
        <v>66.5</v>
      </c>
      <c r="L117" s="183">
        <f t="shared" si="4"/>
        <v>69.752568320687558</v>
      </c>
      <c r="M117" s="188" t="str">
        <f t="shared" si="5"/>
        <v/>
      </c>
      <c r="N117" s="185">
        <f t="shared" si="49"/>
        <v>-2.4020465116279066</v>
      </c>
      <c r="O117" s="175">
        <f t="shared" si="41"/>
        <v>72.15461483231546</v>
      </c>
      <c r="P117" s="193">
        <v>-7.12</v>
      </c>
      <c r="Q117" s="191">
        <f t="shared" si="53"/>
        <v>65.034614832315455</v>
      </c>
      <c r="R117" s="186">
        <f>('ICI, GNewc, Delta'!C717+'ICI, GNewc, Delta'!D717)/2</f>
        <v>67.605000000000004</v>
      </c>
      <c r="S117" s="223"/>
      <c r="T117" s="218" t="s">
        <v>23</v>
      </c>
      <c r="U117" s="230">
        <f t="shared" si="37"/>
        <v>-4.5496148323154557</v>
      </c>
      <c r="V117" s="224"/>
      <c r="W117" s="225"/>
      <c r="X117" s="225"/>
      <c r="Y117" s="226"/>
      <c r="Z117" s="180"/>
      <c r="AA117" s="180"/>
      <c r="AB117" s="180"/>
      <c r="AC117" s="180"/>
    </row>
    <row r="118" spans="1:29" ht="36.75" hidden="1" customHeight="1" x14ac:dyDescent="0.4">
      <c r="A118" s="214">
        <f t="shared" si="51"/>
        <v>45901</v>
      </c>
      <c r="B118" s="215" t="s">
        <v>150</v>
      </c>
      <c r="C118" s="181">
        <v>5250</v>
      </c>
      <c r="D118" s="182">
        <v>19</v>
      </c>
      <c r="E118" s="182">
        <v>14</v>
      </c>
      <c r="F118" s="182">
        <v>0.2</v>
      </c>
      <c r="G118" s="182">
        <v>6</v>
      </c>
      <c r="H118" s="183">
        <f t="shared" si="1"/>
        <v>0.18837209302325583</v>
      </c>
      <c r="I118" s="192">
        <f t="shared" si="2"/>
        <v>5.6511627906976747</v>
      </c>
      <c r="J118" s="216" t="str">
        <f t="shared" si="33"/>
        <v>HBA II</v>
      </c>
      <c r="K118" s="172">
        <f t="shared" si="52"/>
        <v>42.3</v>
      </c>
      <c r="L118" s="183">
        <f t="shared" si="4"/>
        <v>68.264125810699497</v>
      </c>
      <c r="M118" s="188" t="str">
        <f t="shared" si="5"/>
        <v/>
      </c>
      <c r="N118" s="185">
        <f t="shared" si="49"/>
        <v>0.53395348837209322</v>
      </c>
      <c r="O118" s="175">
        <f t="shared" si="41"/>
        <v>67.730172322327405</v>
      </c>
      <c r="P118" s="193">
        <v>-7.12</v>
      </c>
      <c r="Q118" s="191">
        <f t="shared" si="53"/>
        <v>60.610172322327408</v>
      </c>
      <c r="R118" s="186">
        <f>R117*C118/C117</f>
        <v>65.72708333333334</v>
      </c>
      <c r="S118" s="223"/>
      <c r="T118" s="218" t="s">
        <v>151</v>
      </c>
      <c r="U118" s="230">
        <f t="shared" si="37"/>
        <v>-2.0030889889940653</v>
      </c>
      <c r="V118" s="224"/>
      <c r="W118" s="225"/>
      <c r="X118" s="225"/>
      <c r="Y118" s="226"/>
      <c r="Z118" s="180"/>
      <c r="AA118" s="180"/>
      <c r="AB118" s="180"/>
      <c r="AC118" s="180"/>
    </row>
    <row r="119" spans="1:29" ht="36.75" hidden="1" customHeight="1" x14ac:dyDescent="0.4">
      <c r="A119" s="214">
        <f t="shared" si="51"/>
        <v>45901</v>
      </c>
      <c r="B119" s="215" t="s">
        <v>152</v>
      </c>
      <c r="C119" s="227">
        <v>5400</v>
      </c>
      <c r="D119" s="210">
        <v>25</v>
      </c>
      <c r="E119" s="171">
        <v>11</v>
      </c>
      <c r="F119" s="171">
        <v>0.8</v>
      </c>
      <c r="G119" s="171">
        <v>6</v>
      </c>
      <c r="H119" s="183">
        <f t="shared" si="1"/>
        <v>0.6741573033707865</v>
      </c>
      <c r="I119" s="183">
        <f t="shared" si="2"/>
        <v>5.0561797752808983</v>
      </c>
      <c r="J119" s="222" t="str">
        <f t="shared" si="33"/>
        <v>HBA I</v>
      </c>
      <c r="K119" s="172">
        <f t="shared" si="52"/>
        <v>66.5</v>
      </c>
      <c r="L119" s="183">
        <f t="shared" si="4"/>
        <v>64.585711408044034</v>
      </c>
      <c r="M119" s="184" t="str">
        <f t="shared" si="5"/>
        <v/>
      </c>
      <c r="N119" s="185">
        <f t="shared" si="49"/>
        <v>-0.69689887640449477</v>
      </c>
      <c r="O119" s="175">
        <f t="shared" si="41"/>
        <v>65.282610284448523</v>
      </c>
      <c r="P119" s="186"/>
      <c r="Q119" s="187"/>
      <c r="R119" s="176">
        <f>R117</f>
        <v>67.605000000000004</v>
      </c>
      <c r="S119" s="217" t="e">
        <f t="shared" ref="S119:S122" si="54">(((#REF!*50%)+(#REF!*50%))*C119/5400)+R119</f>
        <v>#REF!</v>
      </c>
      <c r="T119" s="218" t="s">
        <v>23</v>
      </c>
      <c r="U119" s="230">
        <f t="shared" si="37"/>
        <v>2.3223897155514805</v>
      </c>
      <c r="V119" s="220">
        <f t="shared" ref="V119:V121" si="55">O119-6.5</f>
        <v>58.782610284448523</v>
      </c>
      <c r="W119" s="221"/>
      <c r="X119" s="226"/>
      <c r="Y119" s="226"/>
      <c r="Z119" s="180"/>
      <c r="AA119" s="180"/>
      <c r="AB119" s="180"/>
      <c r="AC119" s="180"/>
    </row>
    <row r="120" spans="1:29" ht="36.75" hidden="1" customHeight="1" x14ac:dyDescent="0.4">
      <c r="A120" s="214">
        <f t="shared" si="51"/>
        <v>45901</v>
      </c>
      <c r="B120" s="215" t="s">
        <v>164</v>
      </c>
      <c r="C120" s="227">
        <v>5305</v>
      </c>
      <c r="D120" s="210">
        <v>25</v>
      </c>
      <c r="E120" s="171">
        <v>11</v>
      </c>
      <c r="F120" s="171">
        <v>0.8</v>
      </c>
      <c r="G120" s="171">
        <v>6</v>
      </c>
      <c r="H120" s="183">
        <f t="shared" si="1"/>
        <v>0.6741573033707865</v>
      </c>
      <c r="I120" s="183">
        <f t="shared" si="2"/>
        <v>5.0561797752808983</v>
      </c>
      <c r="J120" s="222" t="str">
        <f t="shared" si="33"/>
        <v>HBA I</v>
      </c>
      <c r="K120" s="172">
        <f t="shared" si="52"/>
        <v>66.5</v>
      </c>
      <c r="L120" s="183">
        <f t="shared" si="4"/>
        <v>63.449481299939563</v>
      </c>
      <c r="M120" s="184" t="str">
        <f t="shared" si="5"/>
        <v/>
      </c>
      <c r="N120" s="185">
        <f t="shared" si="49"/>
        <v>-0.69689887640449477</v>
      </c>
      <c r="O120" s="175">
        <f t="shared" si="41"/>
        <v>64.146380176344053</v>
      </c>
      <c r="P120" s="186"/>
      <c r="Q120" s="187"/>
      <c r="R120" s="176">
        <f>R119*C120/C119</f>
        <v>66.41565277777778</v>
      </c>
      <c r="S120" s="217" t="e">
        <f t="shared" si="54"/>
        <v>#REF!</v>
      </c>
      <c r="T120" s="218" t="s">
        <v>151</v>
      </c>
      <c r="U120" s="230">
        <f t="shared" si="37"/>
        <v>2.2692726014337268</v>
      </c>
      <c r="V120" s="220">
        <f t="shared" si="55"/>
        <v>57.646380176344053</v>
      </c>
      <c r="W120" s="221"/>
      <c r="X120" s="226"/>
      <c r="Y120" s="226"/>
      <c r="Z120" s="180"/>
      <c r="AA120" s="180"/>
      <c r="AB120" s="180"/>
      <c r="AC120" s="180"/>
    </row>
    <row r="121" spans="1:29" ht="36.75" hidden="1" customHeight="1" x14ac:dyDescent="0.4">
      <c r="A121" s="214">
        <f t="shared" si="51"/>
        <v>45901</v>
      </c>
      <c r="B121" s="215" t="s">
        <v>165</v>
      </c>
      <c r="C121" s="227">
        <v>5300</v>
      </c>
      <c r="D121" s="210">
        <v>25</v>
      </c>
      <c r="E121" s="171">
        <v>11</v>
      </c>
      <c r="F121" s="171">
        <v>0.8</v>
      </c>
      <c r="G121" s="171">
        <v>6</v>
      </c>
      <c r="H121" s="183">
        <f t="shared" si="1"/>
        <v>0.6741573033707865</v>
      </c>
      <c r="I121" s="183">
        <f t="shared" si="2"/>
        <v>5.0561797752808983</v>
      </c>
      <c r="J121" s="216" t="str">
        <f t="shared" si="33"/>
        <v>HBA II</v>
      </c>
      <c r="K121" s="172">
        <f t="shared" si="52"/>
        <v>42.3</v>
      </c>
      <c r="L121" s="183">
        <f t="shared" si="4"/>
        <v>63.809500316879607</v>
      </c>
      <c r="M121" s="184" t="str">
        <f t="shared" si="5"/>
        <v/>
      </c>
      <c r="N121" s="185">
        <f t="shared" si="49"/>
        <v>2.2391011235955056</v>
      </c>
      <c r="O121" s="175">
        <f t="shared" si="41"/>
        <v>61.570399193284103</v>
      </c>
      <c r="P121" s="186"/>
      <c r="Q121" s="187"/>
      <c r="R121" s="176">
        <f>R119*C121/C119</f>
        <v>66.353055555555557</v>
      </c>
      <c r="S121" s="217" t="e">
        <f t="shared" si="54"/>
        <v>#REF!</v>
      </c>
      <c r="T121" s="218" t="s">
        <v>151</v>
      </c>
      <c r="U121" s="230">
        <f t="shared" si="37"/>
        <v>4.7826563622714531</v>
      </c>
      <c r="V121" s="220">
        <f t="shared" si="55"/>
        <v>55.070399193284103</v>
      </c>
      <c r="W121" s="221"/>
      <c r="X121" s="226"/>
      <c r="Y121" s="226"/>
      <c r="Z121" s="180"/>
      <c r="AA121" s="180"/>
      <c r="AB121" s="180"/>
      <c r="AC121" s="180"/>
    </row>
    <row r="122" spans="1:29" ht="36.75" hidden="1" customHeight="1" x14ac:dyDescent="0.4">
      <c r="A122" s="214">
        <f t="shared" si="51"/>
        <v>45901</v>
      </c>
      <c r="B122" s="215" t="s">
        <v>155</v>
      </c>
      <c r="C122" s="227">
        <v>5275</v>
      </c>
      <c r="D122" s="210">
        <v>25</v>
      </c>
      <c r="E122" s="171">
        <v>11</v>
      </c>
      <c r="F122" s="171">
        <v>0.8</v>
      </c>
      <c r="G122" s="171">
        <v>6</v>
      </c>
      <c r="H122" s="183">
        <f t="shared" si="1"/>
        <v>0.6741573033707865</v>
      </c>
      <c r="I122" s="183">
        <f t="shared" si="2"/>
        <v>5.0561797752808983</v>
      </c>
      <c r="J122" s="216" t="str">
        <f t="shared" si="33"/>
        <v>HBA II</v>
      </c>
      <c r="K122" s="172">
        <f t="shared" si="52"/>
        <v>42.3</v>
      </c>
      <c r="L122" s="183">
        <f t="shared" si="4"/>
        <v>63.508512107837717</v>
      </c>
      <c r="M122" s="184" t="str">
        <f t="shared" si="5"/>
        <v/>
      </c>
      <c r="N122" s="185">
        <f t="shared" si="49"/>
        <v>2.2391011235955056</v>
      </c>
      <c r="O122" s="175">
        <f t="shared" si="41"/>
        <v>61.269410984242214</v>
      </c>
      <c r="P122" s="186"/>
      <c r="Q122" s="187"/>
      <c r="R122" s="176">
        <f>R119*C122/C119</f>
        <v>66.040069444444441</v>
      </c>
      <c r="S122" s="217" t="e">
        <f t="shared" si="54"/>
        <v>#REF!</v>
      </c>
      <c r="T122" s="218" t="s">
        <v>151</v>
      </c>
      <c r="U122" s="230">
        <f t="shared" si="37"/>
        <v>4.7706584602022275</v>
      </c>
      <c r="V122" s="220"/>
      <c r="W122" s="221"/>
      <c r="X122" s="226"/>
      <c r="Y122" s="226"/>
      <c r="Z122" s="180"/>
      <c r="AA122" s="180"/>
      <c r="AB122" s="180"/>
      <c r="AC122" s="180"/>
    </row>
    <row r="123" spans="1:29" ht="36.75" hidden="1" customHeight="1" x14ac:dyDescent="0.4">
      <c r="A123" s="214">
        <f t="shared" si="51"/>
        <v>45901</v>
      </c>
      <c r="B123" s="215" t="s">
        <v>157</v>
      </c>
      <c r="C123" s="181">
        <v>5400</v>
      </c>
      <c r="D123" s="182">
        <v>22</v>
      </c>
      <c r="E123" s="182">
        <v>14</v>
      </c>
      <c r="F123" s="208">
        <v>1</v>
      </c>
      <c r="G123" s="182">
        <v>6</v>
      </c>
      <c r="H123" s="183">
        <f t="shared" si="1"/>
        <v>0.90697674418604646</v>
      </c>
      <c r="I123" s="183">
        <f t="shared" si="2"/>
        <v>5.441860465116279</v>
      </c>
      <c r="J123" s="222" t="str">
        <f t="shared" si="33"/>
        <v>HBA I</v>
      </c>
      <c r="K123" s="172">
        <f t="shared" si="52"/>
        <v>66.5</v>
      </c>
      <c r="L123" s="183">
        <f t="shared" si="4"/>
        <v>67.169139864365803</v>
      </c>
      <c r="M123" s="184" t="str">
        <f t="shared" si="5"/>
        <v/>
      </c>
      <c r="N123" s="185">
        <f t="shared" si="49"/>
        <v>0.38865116279069739</v>
      </c>
      <c r="O123" s="175">
        <f t="shared" si="41"/>
        <v>66.780488701575109</v>
      </c>
      <c r="P123" s="186"/>
      <c r="Q123" s="187"/>
      <c r="R123" s="186">
        <f>R117</f>
        <v>67.605000000000004</v>
      </c>
      <c r="S123" s="217" t="e">
        <f>((#REF!*50%)+(#REF!*50%))+R123</f>
        <v>#REF!</v>
      </c>
      <c r="T123" s="218" t="s">
        <v>151</v>
      </c>
      <c r="U123" s="230">
        <f t="shared" si="37"/>
        <v>0.82451129842489479</v>
      </c>
      <c r="V123" s="220"/>
      <c r="W123" s="221"/>
      <c r="X123" s="226"/>
      <c r="Y123" s="226"/>
      <c r="Z123" s="180"/>
      <c r="AA123" s="180"/>
      <c r="AB123" s="180"/>
      <c r="AC123" s="180"/>
    </row>
    <row r="124" spans="1:29" ht="36.75" hidden="1" customHeight="1" x14ac:dyDescent="0.4">
      <c r="A124" s="214">
        <f t="shared" si="51"/>
        <v>45901</v>
      </c>
      <c r="B124" s="215" t="s">
        <v>158</v>
      </c>
      <c r="C124" s="181">
        <v>4200</v>
      </c>
      <c r="D124" s="182">
        <v>36</v>
      </c>
      <c r="E124" s="182">
        <v>16</v>
      </c>
      <c r="F124" s="182">
        <v>0.4</v>
      </c>
      <c r="G124" s="182">
        <v>8</v>
      </c>
      <c r="H124" s="183">
        <f t="shared" si="1"/>
        <v>0.30476190476190479</v>
      </c>
      <c r="I124" s="192">
        <f t="shared" si="2"/>
        <v>6.0952380952380949</v>
      </c>
      <c r="J124" s="216" t="str">
        <f t="shared" si="33"/>
        <v>HBA II</v>
      </c>
      <c r="K124" s="172">
        <f t="shared" si="52"/>
        <v>42.3</v>
      </c>
      <c r="L124" s="183">
        <f t="shared" si="4"/>
        <v>43.149669648244625</v>
      </c>
      <c r="M124" s="188" t="str">
        <f t="shared" si="5"/>
        <v/>
      </c>
      <c r="N124" s="185">
        <f t="shared" si="49"/>
        <v>1.177142857142857</v>
      </c>
      <c r="O124" s="175">
        <f t="shared" si="41"/>
        <v>41.972526791101771</v>
      </c>
      <c r="P124" s="193"/>
      <c r="Q124" s="191"/>
      <c r="R124" s="186">
        <f>'ICI, GNewc, Delta'!E717</f>
        <v>43.15</v>
      </c>
      <c r="S124" s="217" t="e">
        <f>#REF!+'HPB Calculation'!R124</f>
        <v>#REF!</v>
      </c>
      <c r="T124" s="218" t="s">
        <v>4</v>
      </c>
      <c r="U124" s="230">
        <f t="shared" si="37"/>
        <v>1.1774732088982276</v>
      </c>
      <c r="V124" s="220"/>
      <c r="W124" s="221"/>
      <c r="X124" s="226"/>
      <c r="Y124" s="226"/>
      <c r="Z124" s="180"/>
      <c r="AA124" s="180"/>
      <c r="AB124" s="180"/>
      <c r="AC124" s="180"/>
    </row>
    <row r="125" spans="1:29" ht="36.75" hidden="1" customHeight="1" x14ac:dyDescent="0.4">
      <c r="A125" s="214">
        <f t="shared" si="51"/>
        <v>45901</v>
      </c>
      <c r="B125" s="215" t="s">
        <v>159</v>
      </c>
      <c r="C125" s="181">
        <v>4050</v>
      </c>
      <c r="D125" s="182">
        <v>36</v>
      </c>
      <c r="E125" s="182">
        <v>16</v>
      </c>
      <c r="F125" s="182">
        <v>0.4</v>
      </c>
      <c r="G125" s="182">
        <v>8</v>
      </c>
      <c r="H125" s="183">
        <f t="shared" si="1"/>
        <v>0.30476190476190479</v>
      </c>
      <c r="I125" s="192">
        <f t="shared" si="2"/>
        <v>6.0952380952380949</v>
      </c>
      <c r="J125" s="229" t="str">
        <f t="shared" si="33"/>
        <v>HBA III</v>
      </c>
      <c r="K125" s="172">
        <f t="shared" si="52"/>
        <v>32.32</v>
      </c>
      <c r="L125" s="183">
        <f t="shared" si="4"/>
        <v>44.42225113528356</v>
      </c>
      <c r="M125" s="188">
        <f t="shared" si="5"/>
        <v>1.0042187500000002</v>
      </c>
      <c r="N125" s="185">
        <f t="shared" si="49"/>
        <v>1.1451428571428572</v>
      </c>
      <c r="O125" s="175">
        <f t="shared" si="41"/>
        <v>30.646589430803946</v>
      </c>
      <c r="P125" s="193"/>
      <c r="Q125" s="191"/>
      <c r="R125" s="186">
        <f>R124*C125/C124</f>
        <v>41.608928571428571</v>
      </c>
      <c r="S125" s="217" t="e">
        <f>#REF!+'HPB Calculation'!R125</f>
        <v>#REF!</v>
      </c>
      <c r="T125" s="218" t="s">
        <v>160</v>
      </c>
      <c r="U125" s="230">
        <f t="shared" si="37"/>
        <v>10.962339140624625</v>
      </c>
      <c r="V125" s="220"/>
      <c r="W125" s="221"/>
      <c r="X125" s="226"/>
      <c r="Y125" s="226"/>
      <c r="Z125" s="180"/>
      <c r="AA125" s="180"/>
      <c r="AB125" s="180"/>
      <c r="AC125" s="180"/>
    </row>
    <row r="126" spans="1:29" ht="36.75" hidden="1" customHeight="1" x14ac:dyDescent="0.4">
      <c r="A126" s="214">
        <f t="shared" si="51"/>
        <v>45901</v>
      </c>
      <c r="B126" s="215" t="s">
        <v>15</v>
      </c>
      <c r="C126" s="170">
        <v>3800</v>
      </c>
      <c r="D126" s="171">
        <v>40</v>
      </c>
      <c r="E126" s="171">
        <v>15</v>
      </c>
      <c r="F126" s="171">
        <v>0.6</v>
      </c>
      <c r="G126" s="171">
        <v>8</v>
      </c>
      <c r="H126" s="183">
        <f t="shared" si="1"/>
        <v>0.42352941176470588</v>
      </c>
      <c r="I126" s="192">
        <f t="shared" si="2"/>
        <v>5.6470588235294121</v>
      </c>
      <c r="J126" s="229" t="str">
        <f t="shared" si="33"/>
        <v>HBA III</v>
      </c>
      <c r="K126" s="172">
        <f t="shared" si="52"/>
        <v>32.32</v>
      </c>
      <c r="L126" s="183">
        <f t="shared" si="4"/>
        <v>41.680136867673468</v>
      </c>
      <c r="M126" s="200">
        <f t="shared" si="5"/>
        <v>1.0711666666666668</v>
      </c>
      <c r="N126" s="185">
        <f>IF(J126="HBA 0", (H126 - 0.66)*4 + (I126 - 7.94)*0.4, IF(J126="HBA I", (H126 - 0.75)*4 + (I126 - 6.04)*0.4, IF(J126="HBA II", ((H126 - 0.23)*4) + ((I126 - 3.9)*0.4), IF(J126="HBA III", (H126 - 0.24)*4 + (I126 - 3.88)*0.4, ""))))</f>
        <v>1.4409411764705884</v>
      </c>
      <c r="O126" s="175">
        <f t="shared" si="41"/>
        <v>40.23919569120288</v>
      </c>
      <c r="P126" s="193"/>
      <c r="Q126" s="191"/>
      <c r="R126" s="186">
        <f>'ICI, GNewc, Delta'!AF717</f>
        <v>37.1</v>
      </c>
      <c r="S126" s="217" t="e">
        <f>((#REF!*50%)+(#REF!*50%))</f>
        <v>#REF!</v>
      </c>
      <c r="T126" s="218" t="s">
        <v>25</v>
      </c>
      <c r="U126" s="230">
        <f t="shared" si="37"/>
        <v>-3.1391956912028789</v>
      </c>
      <c r="V126" s="220"/>
      <c r="W126" s="221"/>
      <c r="X126" s="226"/>
      <c r="Y126" s="226"/>
      <c r="Z126" s="180"/>
      <c r="AA126" s="180"/>
      <c r="AB126" s="180"/>
      <c r="AC126" s="180"/>
    </row>
    <row r="127" spans="1:29" ht="36.75" hidden="1" customHeight="1" x14ac:dyDescent="0.4">
      <c r="A127" s="214">
        <f t="shared" si="51"/>
        <v>45901</v>
      </c>
      <c r="B127" s="257" t="s">
        <v>161</v>
      </c>
      <c r="C127" s="181">
        <v>4800</v>
      </c>
      <c r="D127" s="182">
        <v>30</v>
      </c>
      <c r="E127" s="182">
        <v>14</v>
      </c>
      <c r="F127" s="182">
        <v>0.8</v>
      </c>
      <c r="G127" s="182">
        <v>8</v>
      </c>
      <c r="H127" s="183">
        <f t="shared" si="1"/>
        <v>0.65116279069767447</v>
      </c>
      <c r="I127" s="192">
        <f t="shared" si="2"/>
        <v>6.5116279069767442</v>
      </c>
      <c r="J127" s="216" t="str">
        <f t="shared" si="33"/>
        <v>HBA II</v>
      </c>
      <c r="K127" s="172">
        <f t="shared" si="52"/>
        <v>42.3</v>
      </c>
      <c r="L127" s="183">
        <f t="shared" si="4"/>
        <v>53.937087060305792</v>
      </c>
      <c r="M127" s="188" t="str">
        <f t="shared" si="5"/>
        <v/>
      </c>
      <c r="N127" s="185">
        <f t="shared" ref="N127:N140" si="56">IF(J127="HBA 0", (H127 - 0.66)*4 + (I127 - 7.94)*0.4, IF(J127="HBA I", (H127 - 0.75)*4 + (I127 - 6.04)*0.4, IF(J127="HBA II", (H127 - 0.23)*4 + (I127 - 3.9)*0.4, IF(J127="HBA III", (H127 - 0.24)*4 + (I127 - 3.88)*0.4, ""))))</f>
        <v>2.7293023255813957</v>
      </c>
      <c r="O127" s="175">
        <f t="shared" si="41"/>
        <v>51.207784734724399</v>
      </c>
      <c r="P127" s="193"/>
      <c r="Q127" s="191"/>
      <c r="R127" s="186">
        <f>'ICI, GNewc, Delta'!D717*C127/5000</f>
        <v>56.351999999999997</v>
      </c>
      <c r="S127" s="217" t="e">
        <f>(#REF!*C127/5000)+R127</f>
        <v>#REF!</v>
      </c>
      <c r="T127" s="218" t="s">
        <v>162</v>
      </c>
      <c r="U127" s="230">
        <f t="shared" si="37"/>
        <v>5.1442152652755979</v>
      </c>
      <c r="V127" s="220"/>
      <c r="W127" s="221"/>
      <c r="X127" s="221"/>
      <c r="Y127" s="221"/>
      <c r="Z127" s="180"/>
      <c r="AA127" s="180"/>
      <c r="AB127" s="180"/>
      <c r="AC127" s="180"/>
    </row>
    <row r="128" spans="1:29" ht="36.75" hidden="1" customHeight="1" x14ac:dyDescent="0.4">
      <c r="A128" s="214">
        <f t="shared" si="51"/>
        <v>45901</v>
      </c>
      <c r="B128" s="215" t="s">
        <v>166</v>
      </c>
      <c r="C128" s="181">
        <v>4200</v>
      </c>
      <c r="D128" s="182">
        <v>38</v>
      </c>
      <c r="E128" s="182">
        <v>16</v>
      </c>
      <c r="F128" s="182">
        <v>0.4</v>
      </c>
      <c r="G128" s="182">
        <v>8</v>
      </c>
      <c r="H128" s="183">
        <f t="shared" si="1"/>
        <v>0.29523809523809524</v>
      </c>
      <c r="I128" s="192">
        <f t="shared" si="2"/>
        <v>5.9047619047619051</v>
      </c>
      <c r="J128" s="216" t="str">
        <f t="shared" si="33"/>
        <v>HBA II</v>
      </c>
      <c r="K128" s="172">
        <f t="shared" si="52"/>
        <v>42.3</v>
      </c>
      <c r="L128" s="183">
        <f t="shared" si="4"/>
        <v>41.801242471736984</v>
      </c>
      <c r="M128" s="188" t="str">
        <f t="shared" si="5"/>
        <v/>
      </c>
      <c r="N128" s="185">
        <f t="shared" si="56"/>
        <v>1.0628571428571432</v>
      </c>
      <c r="O128" s="175">
        <f t="shared" si="41"/>
        <v>40.738385328879843</v>
      </c>
      <c r="P128" s="193"/>
      <c r="Q128" s="191"/>
      <c r="R128" s="258">
        <f t="shared" ref="R128:R129" si="57">O128*16200</f>
        <v>659961.84232785343</v>
      </c>
      <c r="S128" s="217" t="e">
        <f>#REF!+'HPB Calculation'!R128</f>
        <v>#REF!</v>
      </c>
      <c r="T128" s="218" t="s">
        <v>4</v>
      </c>
      <c r="U128" s="230">
        <f t="shared" si="37"/>
        <v>659921.10394252453</v>
      </c>
      <c r="V128" s="220"/>
      <c r="W128" s="221"/>
      <c r="X128" s="226"/>
      <c r="Y128" s="226"/>
      <c r="Z128" s="180"/>
      <c r="AA128" s="180"/>
      <c r="AB128" s="180"/>
      <c r="AC128" s="180"/>
    </row>
    <row r="129" spans="1:29" ht="36.75" hidden="1" customHeight="1" x14ac:dyDescent="0.4">
      <c r="A129" s="231">
        <f t="shared" si="51"/>
        <v>45901</v>
      </c>
      <c r="B129" s="259" t="s">
        <v>166</v>
      </c>
      <c r="C129" s="233">
        <v>4200</v>
      </c>
      <c r="D129" s="234">
        <v>38</v>
      </c>
      <c r="E129" s="234">
        <v>16</v>
      </c>
      <c r="F129" s="234">
        <v>0.4</v>
      </c>
      <c r="G129" s="234">
        <v>8</v>
      </c>
      <c r="H129" s="235">
        <f t="shared" si="1"/>
        <v>0.29523809523809524</v>
      </c>
      <c r="I129" s="236">
        <f t="shared" si="2"/>
        <v>5.9047619047619051</v>
      </c>
      <c r="J129" s="237" t="str">
        <f t="shared" si="33"/>
        <v>HBA II</v>
      </c>
      <c r="K129" s="238" t="e">
        <f t="array" ref="K129">IF(J129="", "", INDEX($B$24:$E$40, MATCH(DATE(2025,8,16), $A$24:$A$40, 0), MATCH(J129, $B$23:$E$23, 0)))</f>
        <v>#N/A</v>
      </c>
      <c r="L129" s="235" t="e">
        <f t="shared" si="4"/>
        <v>#N/A</v>
      </c>
      <c r="M129" s="239" t="str">
        <f t="shared" si="5"/>
        <v/>
      </c>
      <c r="N129" s="240">
        <f t="shared" si="56"/>
        <v>1.0628571428571432</v>
      </c>
      <c r="O129" s="241" t="e">
        <f t="shared" si="41"/>
        <v>#N/A</v>
      </c>
      <c r="P129" s="242"/>
      <c r="Q129" s="243"/>
      <c r="R129" s="260" t="e">
        <f t="shared" si="57"/>
        <v>#N/A</v>
      </c>
      <c r="S129" s="245" t="e">
        <f>#REF!+'HPB Calculation'!R129</f>
        <v>#REF!</v>
      </c>
      <c r="T129" s="246" t="s">
        <v>4</v>
      </c>
      <c r="U129" s="261" t="e">
        <f t="shared" si="37"/>
        <v>#N/A</v>
      </c>
      <c r="V129" s="220"/>
      <c r="W129" s="221"/>
      <c r="X129" s="226"/>
      <c r="Y129" s="226"/>
      <c r="Z129" s="180"/>
      <c r="AA129" s="180"/>
      <c r="AB129" s="180"/>
      <c r="AC129" s="180"/>
    </row>
    <row r="130" spans="1:29" ht="36.75" hidden="1" customHeight="1" x14ac:dyDescent="0.4">
      <c r="A130" s="214">
        <f t="shared" ref="A130:A144" si="58">A$39</f>
        <v>45915</v>
      </c>
      <c r="B130" s="215" t="s">
        <v>14</v>
      </c>
      <c r="C130" s="170">
        <v>5000</v>
      </c>
      <c r="D130" s="171">
        <v>28</v>
      </c>
      <c r="E130" s="171">
        <v>13</v>
      </c>
      <c r="F130" s="171">
        <v>0.8</v>
      </c>
      <c r="G130" s="171">
        <v>8</v>
      </c>
      <c r="H130" s="172">
        <f t="shared" si="1"/>
        <v>0.66206896551724137</v>
      </c>
      <c r="I130" s="172">
        <f t="shared" si="2"/>
        <v>6.6206896551724137</v>
      </c>
      <c r="J130" s="251" t="str">
        <f t="shared" si="33"/>
        <v>HBA II</v>
      </c>
      <c r="K130" s="172">
        <f t="shared" ref="K130:K140" si="59">IF(J130="", "", INDEX($B$24:$E$39, MATCH(DATE(2025,9,15), $A$24:$A$39, 0), MATCH(J130, $B$23:$E$23, 0)))</f>
        <v>42.58</v>
      </c>
      <c r="L130" s="172">
        <f t="shared" si="4"/>
        <v>58.172268668384518</v>
      </c>
      <c r="M130" s="252" t="str">
        <f t="shared" si="5"/>
        <v/>
      </c>
      <c r="N130" s="174">
        <f t="shared" si="56"/>
        <v>2.8165517241379314</v>
      </c>
      <c r="O130" s="253">
        <f t="shared" si="41"/>
        <v>55.355716944246588</v>
      </c>
      <c r="P130" s="171">
        <v>3.01</v>
      </c>
      <c r="Q130" s="254">
        <f t="shared" ref="Q130:Q133" si="60">O130+P130</f>
        <v>58.365716944246586</v>
      </c>
      <c r="R130" s="176">
        <f>'ICI, GNewc, Delta'!D719</f>
        <v>58.01</v>
      </c>
      <c r="S130" s="217" t="e">
        <f t="shared" ref="S130:S131" si="61">AVERAGE(#REF!)+0.75</f>
        <v>#REF!</v>
      </c>
      <c r="T130" s="255" t="s">
        <v>3</v>
      </c>
      <c r="U130" s="262">
        <f t="shared" si="37"/>
        <v>2.6542830557534103</v>
      </c>
      <c r="V130" s="220"/>
      <c r="W130" s="221"/>
      <c r="X130" s="221"/>
      <c r="Y130" s="221"/>
      <c r="Z130" s="180"/>
      <c r="AA130" s="180"/>
      <c r="AB130" s="180"/>
      <c r="AC130" s="180"/>
    </row>
    <row r="131" spans="1:29" ht="36.75" hidden="1" customHeight="1" x14ac:dyDescent="0.4">
      <c r="A131" s="214">
        <f t="shared" si="58"/>
        <v>45915</v>
      </c>
      <c r="B131" s="256" t="s">
        <v>167</v>
      </c>
      <c r="C131" s="170">
        <v>4943</v>
      </c>
      <c r="D131" s="171">
        <v>28.76</v>
      </c>
      <c r="E131" s="171">
        <v>13.9</v>
      </c>
      <c r="F131" s="171">
        <v>0.71</v>
      </c>
      <c r="G131" s="171">
        <v>4.5999999999999996</v>
      </c>
      <c r="H131" s="172">
        <f t="shared" si="1"/>
        <v>0.58746109175377459</v>
      </c>
      <c r="I131" s="172">
        <f t="shared" si="2"/>
        <v>3.8060859465737509</v>
      </c>
      <c r="J131" s="251" t="str">
        <f t="shared" si="33"/>
        <v>HBA II</v>
      </c>
      <c r="K131" s="172">
        <f t="shared" si="59"/>
        <v>42.58</v>
      </c>
      <c r="L131" s="172">
        <f t="shared" si="4"/>
        <v>56.902064254839516</v>
      </c>
      <c r="M131" s="252" t="str">
        <f t="shared" si="5"/>
        <v/>
      </c>
      <c r="N131" s="174">
        <f t="shared" si="56"/>
        <v>1.3922787456445989</v>
      </c>
      <c r="O131" s="253">
        <f t="shared" si="41"/>
        <v>55.50978550919492</v>
      </c>
      <c r="P131" s="171">
        <v>3.01</v>
      </c>
      <c r="Q131" s="254">
        <f t="shared" si="60"/>
        <v>58.519785509194918</v>
      </c>
      <c r="R131" s="176">
        <f>'ICI, GNewc, Delta'!D719</f>
        <v>58.01</v>
      </c>
      <c r="S131" s="217" t="e">
        <f t="shared" si="61"/>
        <v>#REF!</v>
      </c>
      <c r="T131" s="255" t="s">
        <v>3</v>
      </c>
      <c r="U131" s="262">
        <f t="shared" si="37"/>
        <v>2.5002144908050781</v>
      </c>
      <c r="V131" s="220"/>
      <c r="W131" s="221"/>
      <c r="X131" s="221"/>
      <c r="Y131" s="221"/>
      <c r="Z131" s="180"/>
      <c r="AA131" s="180"/>
      <c r="AB131" s="180"/>
      <c r="AC131" s="180"/>
    </row>
    <row r="132" spans="1:29" ht="36.75" hidden="1" customHeight="1" x14ac:dyDescent="0.4">
      <c r="A132" s="214">
        <f t="shared" si="58"/>
        <v>45915</v>
      </c>
      <c r="B132" s="215" t="s">
        <v>150</v>
      </c>
      <c r="C132" s="181">
        <v>5400</v>
      </c>
      <c r="D132" s="182">
        <v>19</v>
      </c>
      <c r="E132" s="182">
        <v>14</v>
      </c>
      <c r="F132" s="182">
        <v>0.2</v>
      </c>
      <c r="G132" s="182">
        <v>6</v>
      </c>
      <c r="H132" s="183">
        <f t="shared" si="1"/>
        <v>0.18837209302325583</v>
      </c>
      <c r="I132" s="192">
        <f t="shared" si="2"/>
        <v>5.6511627906976747</v>
      </c>
      <c r="J132" s="222" t="str">
        <f t="shared" si="33"/>
        <v>HBA I</v>
      </c>
      <c r="K132" s="172">
        <f t="shared" si="59"/>
        <v>64.400000000000006</v>
      </c>
      <c r="L132" s="183">
        <f t="shared" si="4"/>
        <v>67.549855636876387</v>
      </c>
      <c r="M132" s="188" t="str">
        <f t="shared" si="5"/>
        <v/>
      </c>
      <c r="N132" s="185">
        <f t="shared" si="56"/>
        <v>-2.4020465116279066</v>
      </c>
      <c r="O132" s="175">
        <f t="shared" si="41"/>
        <v>69.951902148504288</v>
      </c>
      <c r="P132" s="193">
        <v>-7.12</v>
      </c>
      <c r="Q132" s="191">
        <f t="shared" si="60"/>
        <v>62.831902148504291</v>
      </c>
      <c r="R132" s="186">
        <f>('ICI, GNewc, Delta'!C719+'ICI, GNewc, Delta'!D719)/2</f>
        <v>67.004999999999995</v>
      </c>
      <c r="S132" s="223"/>
      <c r="T132" s="218" t="s">
        <v>23</v>
      </c>
      <c r="U132" s="230">
        <f t="shared" si="37"/>
        <v>-2.946902148504293</v>
      </c>
      <c r="V132" s="224"/>
      <c r="W132" s="225"/>
      <c r="X132" s="225"/>
      <c r="Y132" s="226"/>
      <c r="Z132" s="180"/>
      <c r="AA132" s="180"/>
      <c r="AB132" s="180"/>
      <c r="AC132" s="180"/>
    </row>
    <row r="133" spans="1:29" ht="36.75" hidden="1" customHeight="1" x14ac:dyDescent="0.4">
      <c r="A133" s="214">
        <f t="shared" si="58"/>
        <v>45915</v>
      </c>
      <c r="B133" s="215" t="s">
        <v>150</v>
      </c>
      <c r="C133" s="181">
        <v>5250</v>
      </c>
      <c r="D133" s="182">
        <v>19</v>
      </c>
      <c r="E133" s="182">
        <v>14</v>
      </c>
      <c r="F133" s="182">
        <v>0.2</v>
      </c>
      <c r="G133" s="182">
        <v>6</v>
      </c>
      <c r="H133" s="183">
        <f t="shared" si="1"/>
        <v>0.18837209302325583</v>
      </c>
      <c r="I133" s="192">
        <f t="shared" si="2"/>
        <v>5.6511627906976747</v>
      </c>
      <c r="J133" s="216" t="str">
        <f t="shared" si="33"/>
        <v>HBA II</v>
      </c>
      <c r="K133" s="172">
        <f t="shared" si="59"/>
        <v>42.58</v>
      </c>
      <c r="L133" s="183">
        <f t="shared" si="4"/>
        <v>68.7159923645292</v>
      </c>
      <c r="M133" s="188" t="str">
        <f t="shared" si="5"/>
        <v/>
      </c>
      <c r="N133" s="185">
        <f t="shared" si="56"/>
        <v>0.53395348837209322</v>
      </c>
      <c r="O133" s="175">
        <f t="shared" si="41"/>
        <v>68.182038876157108</v>
      </c>
      <c r="P133" s="193">
        <v>-7.12</v>
      </c>
      <c r="Q133" s="191">
        <f t="shared" si="60"/>
        <v>61.062038876157111</v>
      </c>
      <c r="R133" s="186">
        <f>R132*C133/C132</f>
        <v>65.143749999999997</v>
      </c>
      <c r="S133" s="223"/>
      <c r="T133" s="218" t="s">
        <v>151</v>
      </c>
      <c r="U133" s="230">
        <f t="shared" si="37"/>
        <v>-3.038288876157111</v>
      </c>
      <c r="V133" s="224"/>
      <c r="W133" s="225"/>
      <c r="X133" s="225"/>
      <c r="Y133" s="226"/>
      <c r="Z133" s="180"/>
      <c r="AA133" s="180"/>
      <c r="AB133" s="180"/>
      <c r="AC133" s="180"/>
    </row>
    <row r="134" spans="1:29" ht="36.75" hidden="1" customHeight="1" x14ac:dyDescent="0.4">
      <c r="A134" s="214">
        <f t="shared" si="58"/>
        <v>45915</v>
      </c>
      <c r="B134" s="215" t="s">
        <v>152</v>
      </c>
      <c r="C134" s="227">
        <v>5400</v>
      </c>
      <c r="D134" s="210">
        <v>25</v>
      </c>
      <c r="E134" s="171">
        <v>11</v>
      </c>
      <c r="F134" s="171">
        <v>0.8</v>
      </c>
      <c r="G134" s="171">
        <v>6</v>
      </c>
      <c r="H134" s="183">
        <f t="shared" si="1"/>
        <v>0.6741573033707865</v>
      </c>
      <c r="I134" s="183">
        <f t="shared" si="2"/>
        <v>5.0561797752808983</v>
      </c>
      <c r="J134" s="222" t="str">
        <f t="shared" si="33"/>
        <v>HBA I</v>
      </c>
      <c r="K134" s="172">
        <f t="shared" si="59"/>
        <v>64.400000000000006</v>
      </c>
      <c r="L134" s="183">
        <f t="shared" si="4"/>
        <v>62.546162626737399</v>
      </c>
      <c r="M134" s="184" t="str">
        <f t="shared" si="5"/>
        <v/>
      </c>
      <c r="N134" s="185">
        <f t="shared" si="56"/>
        <v>-0.69689887640449477</v>
      </c>
      <c r="O134" s="175">
        <f t="shared" si="41"/>
        <v>63.243061503141895</v>
      </c>
      <c r="P134" s="186"/>
      <c r="Q134" s="187"/>
      <c r="R134" s="176">
        <f>R132</f>
        <v>67.004999999999995</v>
      </c>
      <c r="S134" s="217" t="e">
        <f t="shared" ref="S134:S137" si="62">(((#REF!*50%)+(#REF!*50%))*C134/5400)+R134</f>
        <v>#REF!</v>
      </c>
      <c r="T134" s="218" t="s">
        <v>23</v>
      </c>
      <c r="U134" s="230">
        <f t="shared" si="37"/>
        <v>3.7619384968581002</v>
      </c>
      <c r="V134" s="220">
        <f t="shared" ref="V134:V136" si="63">O134-6.5</f>
        <v>56.743061503141895</v>
      </c>
      <c r="W134" s="221"/>
      <c r="X134" s="226"/>
      <c r="Y134" s="226"/>
      <c r="Z134" s="180"/>
      <c r="AA134" s="180"/>
      <c r="AB134" s="180"/>
      <c r="AC134" s="180"/>
    </row>
    <row r="135" spans="1:29" ht="36.75" hidden="1" customHeight="1" x14ac:dyDescent="0.4">
      <c r="A135" s="214">
        <f t="shared" si="58"/>
        <v>45915</v>
      </c>
      <c r="B135" s="215" t="s">
        <v>164</v>
      </c>
      <c r="C135" s="227">
        <v>5305</v>
      </c>
      <c r="D135" s="210">
        <v>25</v>
      </c>
      <c r="E135" s="171">
        <v>11</v>
      </c>
      <c r="F135" s="171">
        <v>0.8</v>
      </c>
      <c r="G135" s="171">
        <v>6</v>
      </c>
      <c r="H135" s="183">
        <f t="shared" si="1"/>
        <v>0.6741573033707865</v>
      </c>
      <c r="I135" s="183">
        <f t="shared" si="2"/>
        <v>5.0561797752808983</v>
      </c>
      <c r="J135" s="222" t="str">
        <f t="shared" si="33"/>
        <v>HBA I</v>
      </c>
      <c r="K135" s="172">
        <f t="shared" si="59"/>
        <v>64.400000000000006</v>
      </c>
      <c r="L135" s="183">
        <f t="shared" si="4"/>
        <v>61.445813469415164</v>
      </c>
      <c r="M135" s="184" t="str">
        <f t="shared" si="5"/>
        <v/>
      </c>
      <c r="N135" s="185">
        <f t="shared" si="56"/>
        <v>-0.69689887640449477</v>
      </c>
      <c r="O135" s="175">
        <f t="shared" si="41"/>
        <v>62.14271234581966</v>
      </c>
      <c r="P135" s="186"/>
      <c r="Q135" s="187"/>
      <c r="R135" s="176">
        <f>R134*C135/C134</f>
        <v>65.826208333333327</v>
      </c>
      <c r="S135" s="217" t="e">
        <f t="shared" si="62"/>
        <v>#REF!</v>
      </c>
      <c r="T135" s="218" t="s">
        <v>151</v>
      </c>
      <c r="U135" s="230">
        <f t="shared" si="37"/>
        <v>3.6834959875136661</v>
      </c>
      <c r="V135" s="220">
        <f t="shared" si="63"/>
        <v>55.64271234581966</v>
      </c>
      <c r="W135" s="221"/>
      <c r="X135" s="226"/>
      <c r="Y135" s="226"/>
      <c r="Z135" s="180"/>
      <c r="AA135" s="180"/>
      <c r="AB135" s="180"/>
      <c r="AC135" s="180"/>
    </row>
    <row r="136" spans="1:29" ht="36.75" hidden="1" customHeight="1" x14ac:dyDescent="0.4">
      <c r="A136" s="214">
        <f t="shared" si="58"/>
        <v>45915</v>
      </c>
      <c r="B136" s="215" t="s">
        <v>165</v>
      </c>
      <c r="C136" s="227">
        <v>5300</v>
      </c>
      <c r="D136" s="210">
        <v>25</v>
      </c>
      <c r="E136" s="171">
        <v>11</v>
      </c>
      <c r="F136" s="171">
        <v>0.8</v>
      </c>
      <c r="G136" s="171">
        <v>6</v>
      </c>
      <c r="H136" s="183">
        <f t="shared" si="1"/>
        <v>0.6741573033707865</v>
      </c>
      <c r="I136" s="183">
        <f t="shared" si="2"/>
        <v>5.0561797752808983</v>
      </c>
      <c r="J136" s="216" t="str">
        <f t="shared" si="33"/>
        <v>HBA II</v>
      </c>
      <c r="K136" s="172">
        <f t="shared" si="59"/>
        <v>42.58</v>
      </c>
      <c r="L136" s="183">
        <f t="shared" si="4"/>
        <v>64.23187998800789</v>
      </c>
      <c r="M136" s="184" t="str">
        <f t="shared" si="5"/>
        <v/>
      </c>
      <c r="N136" s="185">
        <f t="shared" si="56"/>
        <v>2.2391011235955056</v>
      </c>
      <c r="O136" s="175">
        <f t="shared" si="41"/>
        <v>61.992778864412386</v>
      </c>
      <c r="P136" s="186"/>
      <c r="Q136" s="187"/>
      <c r="R136" s="176">
        <f>R134*C136/C134</f>
        <v>65.764166666666668</v>
      </c>
      <c r="S136" s="217" t="e">
        <f t="shared" si="62"/>
        <v>#REF!</v>
      </c>
      <c r="T136" s="218" t="s">
        <v>151</v>
      </c>
      <c r="U136" s="230">
        <f t="shared" si="37"/>
        <v>3.7713878022542815</v>
      </c>
      <c r="V136" s="220">
        <f t="shared" si="63"/>
        <v>55.492778864412386</v>
      </c>
      <c r="W136" s="221"/>
      <c r="X136" s="226"/>
      <c r="Y136" s="226"/>
      <c r="Z136" s="180"/>
      <c r="AA136" s="180"/>
      <c r="AB136" s="180"/>
      <c r="AC136" s="180"/>
    </row>
    <row r="137" spans="1:29" ht="36.75" hidden="1" customHeight="1" x14ac:dyDescent="0.4">
      <c r="A137" s="214">
        <f t="shared" si="58"/>
        <v>45915</v>
      </c>
      <c r="B137" s="215" t="s">
        <v>155</v>
      </c>
      <c r="C137" s="227">
        <v>5275</v>
      </c>
      <c r="D137" s="210">
        <v>25</v>
      </c>
      <c r="E137" s="171">
        <v>11</v>
      </c>
      <c r="F137" s="171">
        <v>0.8</v>
      </c>
      <c r="G137" s="171">
        <v>6</v>
      </c>
      <c r="H137" s="183">
        <f t="shared" si="1"/>
        <v>0.6741573033707865</v>
      </c>
      <c r="I137" s="183">
        <f t="shared" si="2"/>
        <v>5.0561797752808983</v>
      </c>
      <c r="J137" s="216" t="str">
        <f t="shared" si="33"/>
        <v>HBA II</v>
      </c>
      <c r="K137" s="172">
        <f t="shared" si="59"/>
        <v>42.58</v>
      </c>
      <c r="L137" s="183">
        <f t="shared" si="4"/>
        <v>63.928899422026724</v>
      </c>
      <c r="M137" s="184" t="str">
        <f t="shared" si="5"/>
        <v/>
      </c>
      <c r="N137" s="185">
        <f t="shared" si="56"/>
        <v>2.2391011235955056</v>
      </c>
      <c r="O137" s="175">
        <f t="shared" si="41"/>
        <v>61.689798298431221</v>
      </c>
      <c r="P137" s="186"/>
      <c r="Q137" s="187"/>
      <c r="R137" s="176">
        <f>R134*C137/C134</f>
        <v>65.453958333333333</v>
      </c>
      <c r="S137" s="217" t="e">
        <f t="shared" si="62"/>
        <v>#REF!</v>
      </c>
      <c r="T137" s="218" t="s">
        <v>151</v>
      </c>
      <c r="U137" s="230">
        <f t="shared" si="37"/>
        <v>3.7641600349021118</v>
      </c>
      <c r="V137" s="220"/>
      <c r="W137" s="221"/>
      <c r="X137" s="226"/>
      <c r="Y137" s="226"/>
      <c r="Z137" s="180"/>
      <c r="AA137" s="180"/>
      <c r="AB137" s="180"/>
      <c r="AC137" s="180"/>
    </row>
    <row r="138" spans="1:29" ht="36.75" hidden="1" customHeight="1" x14ac:dyDescent="0.4">
      <c r="A138" s="214">
        <f t="shared" si="58"/>
        <v>45915</v>
      </c>
      <c r="B138" s="215" t="s">
        <v>157</v>
      </c>
      <c r="C138" s="181">
        <v>5400</v>
      </c>
      <c r="D138" s="182">
        <v>22</v>
      </c>
      <c r="E138" s="182">
        <v>14</v>
      </c>
      <c r="F138" s="208">
        <v>1</v>
      </c>
      <c r="G138" s="182">
        <v>6</v>
      </c>
      <c r="H138" s="183">
        <f t="shared" si="1"/>
        <v>0.90697674418604646</v>
      </c>
      <c r="I138" s="183">
        <f t="shared" si="2"/>
        <v>5.441860465116279</v>
      </c>
      <c r="J138" s="222" t="str">
        <f t="shared" si="33"/>
        <v>HBA I</v>
      </c>
      <c r="K138" s="172">
        <f t="shared" si="59"/>
        <v>64.400000000000006</v>
      </c>
      <c r="L138" s="183">
        <f t="shared" si="4"/>
        <v>65.048009131806907</v>
      </c>
      <c r="M138" s="184" t="str">
        <f t="shared" si="5"/>
        <v/>
      </c>
      <c r="N138" s="185">
        <f t="shared" si="56"/>
        <v>0.38865116279069739</v>
      </c>
      <c r="O138" s="175">
        <f t="shared" si="41"/>
        <v>64.659357969016213</v>
      </c>
      <c r="P138" s="186"/>
      <c r="Q138" s="187"/>
      <c r="R138" s="186">
        <f>R132</f>
        <v>67.004999999999995</v>
      </c>
      <c r="S138" s="217" t="e">
        <f>((#REF!*50%)+(#REF!*50%))+R138</f>
        <v>#REF!</v>
      </c>
      <c r="T138" s="218" t="s">
        <v>151</v>
      </c>
      <c r="U138" s="230">
        <f t="shared" si="37"/>
        <v>2.3456420309837824</v>
      </c>
      <c r="V138" s="220"/>
      <c r="W138" s="221"/>
      <c r="X138" s="226"/>
      <c r="Y138" s="226"/>
      <c r="Z138" s="180"/>
      <c r="AA138" s="180"/>
      <c r="AB138" s="180"/>
      <c r="AC138" s="180"/>
    </row>
    <row r="139" spans="1:29" ht="36.75" hidden="1" customHeight="1" x14ac:dyDescent="0.4">
      <c r="A139" s="214">
        <f t="shared" si="58"/>
        <v>45915</v>
      </c>
      <c r="B139" s="215" t="s">
        <v>158</v>
      </c>
      <c r="C139" s="181">
        <v>4200</v>
      </c>
      <c r="D139" s="182">
        <v>36</v>
      </c>
      <c r="E139" s="182">
        <v>16</v>
      </c>
      <c r="F139" s="182">
        <v>0.4</v>
      </c>
      <c r="G139" s="182">
        <v>8</v>
      </c>
      <c r="H139" s="183">
        <f t="shared" si="1"/>
        <v>0.30476190476190479</v>
      </c>
      <c r="I139" s="192">
        <f t="shared" si="2"/>
        <v>6.0952380952380949</v>
      </c>
      <c r="J139" s="216" t="str">
        <f t="shared" si="33"/>
        <v>HBA II</v>
      </c>
      <c r="K139" s="172">
        <f t="shared" si="59"/>
        <v>42.58</v>
      </c>
      <c r="L139" s="183">
        <f t="shared" si="4"/>
        <v>43.435293939060429</v>
      </c>
      <c r="M139" s="188" t="str">
        <f t="shared" si="5"/>
        <v/>
      </c>
      <c r="N139" s="185">
        <f t="shared" si="56"/>
        <v>1.177142857142857</v>
      </c>
      <c r="O139" s="175">
        <f t="shared" si="41"/>
        <v>42.258151081917575</v>
      </c>
      <c r="P139" s="193"/>
      <c r="Q139" s="191"/>
      <c r="R139" s="186">
        <f>'ICI, GNewc, Delta'!E719</f>
        <v>42.62</v>
      </c>
      <c r="S139" s="217" t="e">
        <f>#REF!+'HPB Calculation'!R139</f>
        <v>#REF!</v>
      </c>
      <c r="T139" s="218" t="s">
        <v>4</v>
      </c>
      <c r="U139" s="230">
        <f t="shared" si="37"/>
        <v>0.3618489180824227</v>
      </c>
      <c r="V139" s="220"/>
      <c r="W139" s="221"/>
      <c r="X139" s="226"/>
      <c r="Y139" s="226"/>
      <c r="Z139" s="180"/>
      <c r="AA139" s="180"/>
      <c r="AB139" s="180"/>
      <c r="AC139" s="180"/>
    </row>
    <row r="140" spans="1:29" ht="36.75" hidden="1" customHeight="1" x14ac:dyDescent="0.4">
      <c r="A140" s="214">
        <f t="shared" si="58"/>
        <v>45915</v>
      </c>
      <c r="B140" s="215" t="s">
        <v>159</v>
      </c>
      <c r="C140" s="181">
        <v>4050</v>
      </c>
      <c r="D140" s="182">
        <v>36</v>
      </c>
      <c r="E140" s="182">
        <v>16</v>
      </c>
      <c r="F140" s="182">
        <v>0.4</v>
      </c>
      <c r="G140" s="182">
        <v>8</v>
      </c>
      <c r="H140" s="183">
        <f t="shared" si="1"/>
        <v>0.30476190476190479</v>
      </c>
      <c r="I140" s="192">
        <f t="shared" si="2"/>
        <v>6.0952380952380949</v>
      </c>
      <c r="J140" s="229" t="str">
        <f t="shared" si="33"/>
        <v>HBA III</v>
      </c>
      <c r="K140" s="172">
        <f t="shared" si="59"/>
        <v>32.78</v>
      </c>
      <c r="L140" s="183">
        <f t="shared" si="4"/>
        <v>45.054498521491183</v>
      </c>
      <c r="M140" s="188">
        <f t="shared" si="5"/>
        <v>1.0042187500000002</v>
      </c>
      <c r="N140" s="185">
        <f t="shared" si="56"/>
        <v>1.1451428571428572</v>
      </c>
      <c r="O140" s="175">
        <f t="shared" si="41"/>
        <v>31.099070769060617</v>
      </c>
      <c r="P140" s="193"/>
      <c r="Q140" s="191"/>
      <c r="R140" s="186">
        <f>R139*C140/C139</f>
        <v>41.097857142857144</v>
      </c>
      <c r="S140" s="217" t="e">
        <f>#REF!+'HPB Calculation'!R140</f>
        <v>#REF!</v>
      </c>
      <c r="T140" s="218" t="s">
        <v>160</v>
      </c>
      <c r="U140" s="230">
        <f t="shared" si="37"/>
        <v>9.998786373796527</v>
      </c>
      <c r="V140" s="220"/>
      <c r="W140" s="221"/>
      <c r="X140" s="226"/>
      <c r="Y140" s="226"/>
      <c r="Z140" s="180"/>
      <c r="AA140" s="180"/>
      <c r="AB140" s="180"/>
      <c r="AC140" s="180"/>
    </row>
    <row r="141" spans="1:29" ht="36.75" hidden="1" customHeight="1" x14ac:dyDescent="0.4">
      <c r="A141" s="214">
        <f t="shared" si="58"/>
        <v>45915</v>
      </c>
      <c r="B141" s="215" t="s">
        <v>15</v>
      </c>
      <c r="C141" s="170">
        <v>3600</v>
      </c>
      <c r="D141" s="171">
        <v>40</v>
      </c>
      <c r="E141" s="171">
        <v>15</v>
      </c>
      <c r="F141" s="171">
        <v>0.6</v>
      </c>
      <c r="G141" s="171">
        <v>8</v>
      </c>
      <c r="H141" s="183">
        <f t="shared" si="1"/>
        <v>0.42352941176470588</v>
      </c>
      <c r="I141" s="192">
        <f t="shared" si="2"/>
        <v>5.6470588235294121</v>
      </c>
      <c r="J141" s="229" t="str">
        <f>IF(C141&gt;6000,"HBA 0",IF(C141&gt;5300,"HBA I",IF(C141&gt;3400,"HBA II","HBA III")))</f>
        <v>HBA II</v>
      </c>
      <c r="K141" s="172">
        <v>37.380000000000003</v>
      </c>
      <c r="L141" s="183">
        <f t="shared" si="4"/>
        <v>30.640855840641798</v>
      </c>
      <c r="M141" s="200">
        <f t="shared" si="5"/>
        <v>1.0711666666666668</v>
      </c>
      <c r="N141" s="185">
        <f>IF(J141="HBA 0", (H141 - 0.66)*4 + (I141 - 7.94)*0.4, IF(J141="HBA I", (H141 - 0.75)*4 + (I141 - 6.04)*0.4, IF(J141="HBA II", ((H141 - 0.23)*4) + ((I141 - 3.9)*0.4), IF(J141="HBA III", (H141 - 0.24)*4 + (I141 - 3.88)*0.4, ""))))</f>
        <v>1.4729411764705884</v>
      </c>
      <c r="O141" s="175">
        <f t="shared" si="41"/>
        <v>44.19547872003379</v>
      </c>
      <c r="P141" s="193"/>
      <c r="Q141" s="191"/>
      <c r="R141" s="186">
        <f>'ICI, GNewc, Delta'!AF719</f>
        <v>36.575000000000003</v>
      </c>
      <c r="S141" s="217" t="e">
        <f>((#REF!*50%)+(#REF!*50%))</f>
        <v>#REF!</v>
      </c>
      <c r="T141" s="218" t="s">
        <v>25</v>
      </c>
      <c r="U141" s="230">
        <f t="shared" si="37"/>
        <v>-7.6204787200337876</v>
      </c>
      <c r="V141" s="220"/>
      <c r="W141" s="221"/>
      <c r="X141" s="226"/>
      <c r="Y141" s="226"/>
      <c r="Z141" s="180"/>
      <c r="AA141" s="180"/>
      <c r="AB141" s="180"/>
      <c r="AC141" s="180"/>
    </row>
    <row r="142" spans="1:29" ht="36.75" hidden="1" customHeight="1" x14ac:dyDescent="0.4">
      <c r="A142" s="263">
        <f t="shared" si="58"/>
        <v>45915</v>
      </c>
      <c r="B142" s="264" t="s">
        <v>161</v>
      </c>
      <c r="C142" s="233">
        <v>4800</v>
      </c>
      <c r="D142" s="234">
        <v>30</v>
      </c>
      <c r="E142" s="234">
        <v>14</v>
      </c>
      <c r="F142" s="234">
        <v>0.8</v>
      </c>
      <c r="G142" s="234">
        <v>8</v>
      </c>
      <c r="H142" s="235">
        <f t="shared" si="1"/>
        <v>0.65116279069767447</v>
      </c>
      <c r="I142" s="236">
        <f t="shared" si="2"/>
        <v>6.5116279069767442</v>
      </c>
      <c r="J142" s="237" t="str">
        <f t="shared" ref="J142:J155" si="64">IF(C142&gt;6000,"HBA 0",IF(C142&gt;5300,"HBA I",IF(C142&gt;4100,"HBA II","HBA III")))</f>
        <v>HBA II</v>
      </c>
      <c r="K142" s="235">
        <f t="shared" ref="K142:K144" si="65">IF(J142="", "", INDEX($B$24:$E$39, MATCH(DATE(2025,9,15), $A$24:$A$39, 0), MATCH(J142, $B$23:$E$23, 0)))</f>
        <v>42.58</v>
      </c>
      <c r="L142" s="235">
        <f t="shared" si="4"/>
        <v>54.294117423825547</v>
      </c>
      <c r="M142" s="239" t="str">
        <f t="shared" si="5"/>
        <v/>
      </c>
      <c r="N142" s="240">
        <f t="shared" ref="N142:N155" si="66">IF(J142="HBA 0", (H142 - 0.66)*4 + (I142 - 7.94)*0.4, IF(J142="HBA I", (H142 - 0.75)*4 + (I142 - 6.04)*0.4, IF(J142="HBA II", (H142 - 0.23)*4 + (I142 - 3.9)*0.4, IF(J142="HBA III", (H142 - 0.24)*4 + (I142 - 3.88)*0.4, ""))))</f>
        <v>2.7293023255813957</v>
      </c>
      <c r="O142" s="241">
        <f t="shared" si="41"/>
        <v>51.564815098244154</v>
      </c>
      <c r="P142" s="242"/>
      <c r="Q142" s="243"/>
      <c r="R142" s="244">
        <f>'ICI, GNewc, Delta'!D719*C142/5000</f>
        <v>55.689599999999999</v>
      </c>
      <c r="S142" s="265" t="e">
        <f>(#REF!*C142/5000)+R142</f>
        <v>#REF!</v>
      </c>
      <c r="T142" s="246" t="s">
        <v>162</v>
      </c>
      <c r="U142" s="261">
        <f t="shared" si="37"/>
        <v>4.1247849017558451</v>
      </c>
      <c r="V142" s="220"/>
      <c r="W142" s="221"/>
      <c r="X142" s="221"/>
      <c r="Y142" s="221"/>
      <c r="Z142" s="180"/>
      <c r="AA142" s="180"/>
      <c r="AB142" s="180"/>
      <c r="AC142" s="180"/>
    </row>
    <row r="143" spans="1:29" ht="36.75" hidden="1" customHeight="1" x14ac:dyDescent="0.4">
      <c r="A143" s="231">
        <f t="shared" si="58"/>
        <v>45915</v>
      </c>
      <c r="B143" s="259" t="s">
        <v>166</v>
      </c>
      <c r="C143" s="266">
        <v>4200</v>
      </c>
      <c r="D143" s="267">
        <v>38</v>
      </c>
      <c r="E143" s="267">
        <v>16</v>
      </c>
      <c r="F143" s="267">
        <v>0.4</v>
      </c>
      <c r="G143" s="267">
        <v>8</v>
      </c>
      <c r="H143" s="238">
        <f t="shared" si="1"/>
        <v>0.29523809523809524</v>
      </c>
      <c r="I143" s="268">
        <f t="shared" si="2"/>
        <v>5.9047619047619051</v>
      </c>
      <c r="J143" s="269" t="str">
        <f t="shared" si="64"/>
        <v>HBA II</v>
      </c>
      <c r="K143" s="238">
        <f t="shared" si="65"/>
        <v>42.58</v>
      </c>
      <c r="L143" s="238">
        <f t="shared" si="4"/>
        <v>42.077941003464794</v>
      </c>
      <c r="M143" s="270" t="str">
        <f t="shared" si="5"/>
        <v/>
      </c>
      <c r="N143" s="271">
        <f t="shared" si="66"/>
        <v>1.0628571428571432</v>
      </c>
      <c r="O143" s="272">
        <f t="shared" si="41"/>
        <v>41.015083860607653</v>
      </c>
      <c r="P143" s="273"/>
      <c r="Q143" s="274"/>
      <c r="R143" s="275">
        <f t="shared" ref="R143:R144" si="67">O143*16200</f>
        <v>664444.35854184395</v>
      </c>
      <c r="S143" s="245" t="e">
        <f>#REF!+'HPB Calculation'!R143</f>
        <v>#REF!</v>
      </c>
      <c r="T143" s="276" t="s">
        <v>4</v>
      </c>
      <c r="U143" s="277">
        <f t="shared" si="37"/>
        <v>664403.34345798334</v>
      </c>
      <c r="V143" s="220"/>
      <c r="W143" s="221"/>
      <c r="X143" s="226"/>
      <c r="Y143" s="226"/>
      <c r="Z143" s="180"/>
      <c r="AA143" s="180"/>
      <c r="AB143" s="180"/>
      <c r="AC143" s="180"/>
    </row>
    <row r="144" spans="1:29" ht="36.75" hidden="1" customHeight="1" x14ac:dyDescent="0.4">
      <c r="A144" s="214">
        <f t="shared" si="58"/>
        <v>45915</v>
      </c>
      <c r="B144" s="215" t="s">
        <v>166</v>
      </c>
      <c r="C144" s="170">
        <v>4200</v>
      </c>
      <c r="D144" s="171">
        <v>38</v>
      </c>
      <c r="E144" s="171">
        <v>16</v>
      </c>
      <c r="F144" s="171">
        <v>0.4</v>
      </c>
      <c r="G144" s="171">
        <v>8</v>
      </c>
      <c r="H144" s="172">
        <f t="shared" si="1"/>
        <v>0.29523809523809524</v>
      </c>
      <c r="I144" s="278">
        <f t="shared" si="2"/>
        <v>5.9047619047619051</v>
      </c>
      <c r="J144" s="251" t="str">
        <f t="shared" si="64"/>
        <v>HBA II</v>
      </c>
      <c r="K144" s="172">
        <f t="shared" si="65"/>
        <v>42.58</v>
      </c>
      <c r="L144" s="172">
        <f t="shared" si="4"/>
        <v>42.077941003464794</v>
      </c>
      <c r="M144" s="252" t="str">
        <f t="shared" si="5"/>
        <v/>
      </c>
      <c r="N144" s="174">
        <f t="shared" si="66"/>
        <v>1.0628571428571432</v>
      </c>
      <c r="O144" s="253">
        <f t="shared" si="41"/>
        <v>41.015083860607653</v>
      </c>
      <c r="P144" s="279"/>
      <c r="Q144" s="254"/>
      <c r="R144" s="280">
        <f t="shared" si="67"/>
        <v>664444.35854184395</v>
      </c>
      <c r="S144" s="217" t="e">
        <f>#REF!+'HPB Calculation'!R144</f>
        <v>#REF!</v>
      </c>
      <c r="T144" s="255" t="s">
        <v>4</v>
      </c>
      <c r="U144" s="262">
        <f t="shared" si="37"/>
        <v>664403.34345798334</v>
      </c>
      <c r="V144" s="220"/>
      <c r="W144" s="221"/>
      <c r="X144" s="226"/>
      <c r="Y144" s="226"/>
      <c r="Z144" s="180"/>
      <c r="AA144" s="180"/>
      <c r="AB144" s="180"/>
      <c r="AC144" s="180"/>
    </row>
    <row r="145" spans="1:29" ht="36.75" hidden="1" customHeight="1" x14ac:dyDescent="0.4">
      <c r="A145" s="263">
        <f>A99</f>
        <v>45870</v>
      </c>
      <c r="B145" s="281" t="s">
        <v>152</v>
      </c>
      <c r="C145" s="282">
        <v>5400</v>
      </c>
      <c r="D145" s="283">
        <v>25</v>
      </c>
      <c r="E145" s="234">
        <v>11</v>
      </c>
      <c r="F145" s="234">
        <v>0.8</v>
      </c>
      <c r="G145" s="234">
        <v>6</v>
      </c>
      <c r="H145" s="235">
        <f t="shared" si="1"/>
        <v>0.6741573033707865</v>
      </c>
      <c r="I145" s="235">
        <f t="shared" si="2"/>
        <v>5.0561797752808983</v>
      </c>
      <c r="J145" s="284" t="str">
        <f t="shared" si="64"/>
        <v>HBA I</v>
      </c>
      <c r="K145" s="235">
        <f t="array" ref="K145">IF(J145="", "", INDEX($B$24:$E$36, MATCH(DATE(2025,8,1), $A$24:$A$36, 0), MATCH(J145, $B$23:$E$23, 0)))</f>
        <v>67.33</v>
      </c>
      <c r="L145" s="235">
        <f t="shared" si="4"/>
        <v>65.391818783512861</v>
      </c>
      <c r="M145" s="285" t="str">
        <f t="shared" si="5"/>
        <v/>
      </c>
      <c r="N145" s="240">
        <f t="shared" si="66"/>
        <v>-0.69689887640449477</v>
      </c>
      <c r="O145" s="241">
        <f t="shared" si="41"/>
        <v>66.08871765991735</v>
      </c>
      <c r="P145" s="244"/>
      <c r="Q145" s="286"/>
      <c r="R145" s="244">
        <f>R143</f>
        <v>664444.35854184395</v>
      </c>
      <c r="S145" s="265" t="e">
        <f>(((#REF!*50%)+(#REF!*50%))*C145/5400)+R145</f>
        <v>#REF!</v>
      </c>
      <c r="T145" s="246" t="s">
        <v>23</v>
      </c>
      <c r="U145" s="287">
        <f t="shared" si="37"/>
        <v>664378.26982418401</v>
      </c>
      <c r="V145" s="220"/>
      <c r="W145" s="221"/>
      <c r="X145" s="226"/>
      <c r="Y145" s="226"/>
      <c r="Z145" s="180"/>
      <c r="AA145" s="180"/>
      <c r="AB145" s="180"/>
      <c r="AC145" s="180"/>
    </row>
    <row r="146" spans="1:29" ht="36.75" hidden="1" customHeight="1" x14ac:dyDescent="0.4">
      <c r="A146" s="214">
        <f t="shared" ref="A146:A162" si="68">A$40</f>
        <v>45931</v>
      </c>
      <c r="B146" s="215" t="s">
        <v>14</v>
      </c>
      <c r="C146" s="170">
        <v>5000</v>
      </c>
      <c r="D146" s="171">
        <v>28</v>
      </c>
      <c r="E146" s="171">
        <v>13</v>
      </c>
      <c r="F146" s="171">
        <v>0.8</v>
      </c>
      <c r="G146" s="171">
        <v>8</v>
      </c>
      <c r="H146" s="172">
        <f t="shared" si="1"/>
        <v>0.66206896551724137</v>
      </c>
      <c r="I146" s="172">
        <f t="shared" si="2"/>
        <v>6.6206896551724137</v>
      </c>
      <c r="J146" s="251" t="str">
        <f t="shared" si="64"/>
        <v>HBA II</v>
      </c>
      <c r="K146" s="172">
        <f t="shared" ref="K146:K162" si="69">IF(J146="", "", INDEX($B$24:$E$40, MATCH(DATE(2025,10,1), $A$24:$A$40, 0), MATCH(J146, $B$23:$E$23, 0)))</f>
        <v>43.12</v>
      </c>
      <c r="L146" s="172">
        <f t="shared" si="4"/>
        <v>58.910009980759519</v>
      </c>
      <c r="M146" s="252" t="str">
        <f t="shared" si="5"/>
        <v/>
      </c>
      <c r="N146" s="174">
        <f t="shared" si="66"/>
        <v>2.8165517241379314</v>
      </c>
      <c r="O146" s="253">
        <f t="shared" si="41"/>
        <v>56.093458256621588</v>
      </c>
      <c r="P146" s="171">
        <v>3.01</v>
      </c>
      <c r="Q146" s="254">
        <f t="shared" ref="Q146:Q148" si="70">O146+P146</f>
        <v>59.103458256621586</v>
      </c>
      <c r="R146" s="176">
        <f>'ICI, GNewc, Delta'!D721</f>
        <v>59.23</v>
      </c>
      <c r="S146" s="217" t="e">
        <f>AVERAGE(#REF!)+0.75</f>
        <v>#REF!</v>
      </c>
      <c r="T146" s="255" t="s">
        <v>3</v>
      </c>
      <c r="U146" s="262">
        <f t="shared" si="37"/>
        <v>3.1365417433784089</v>
      </c>
      <c r="V146" s="220"/>
      <c r="W146" s="221"/>
      <c r="X146" s="221"/>
      <c r="Y146" s="221"/>
      <c r="Z146" s="180"/>
      <c r="AA146" s="180"/>
      <c r="AB146" s="180"/>
      <c r="AC146" s="180"/>
    </row>
    <row r="147" spans="1:29" ht="36.75" hidden="1" customHeight="1" x14ac:dyDescent="0.4">
      <c r="A147" s="214">
        <f t="shared" si="68"/>
        <v>45931</v>
      </c>
      <c r="B147" s="215" t="s">
        <v>150</v>
      </c>
      <c r="C147" s="181">
        <v>5400</v>
      </c>
      <c r="D147" s="182">
        <v>19</v>
      </c>
      <c r="E147" s="182">
        <v>14</v>
      </c>
      <c r="F147" s="182">
        <v>0.2</v>
      </c>
      <c r="G147" s="182">
        <v>6</v>
      </c>
      <c r="H147" s="183">
        <f t="shared" si="1"/>
        <v>0.18837209302325583</v>
      </c>
      <c r="I147" s="192">
        <f t="shared" si="2"/>
        <v>5.6511627906976747</v>
      </c>
      <c r="J147" s="222" t="str">
        <f t="shared" si="64"/>
        <v>HBA I</v>
      </c>
      <c r="K147" s="172">
        <f t="shared" si="69"/>
        <v>64.84</v>
      </c>
      <c r="L147" s="183">
        <f t="shared" si="4"/>
        <v>68.011376389674908</v>
      </c>
      <c r="M147" s="188" t="str">
        <f t="shared" si="5"/>
        <v/>
      </c>
      <c r="N147" s="185">
        <f t="shared" si="66"/>
        <v>-2.4020465116279066</v>
      </c>
      <c r="O147" s="175">
        <f t="shared" si="41"/>
        <v>70.413422901302809</v>
      </c>
      <c r="P147" s="193">
        <v>-7.12</v>
      </c>
      <c r="Q147" s="191">
        <f t="shared" si="70"/>
        <v>63.293422901302812</v>
      </c>
      <c r="R147" s="186">
        <f>('ICI, GNewc, Delta'!C721+'ICI, GNewc, Delta'!D721)/2</f>
        <v>67.83</v>
      </c>
      <c r="S147" s="223"/>
      <c r="T147" s="218" t="s">
        <v>23</v>
      </c>
      <c r="U147" s="230">
        <f t="shared" si="37"/>
        <v>-2.5834229013028107</v>
      </c>
      <c r="V147" s="224"/>
      <c r="W147" s="225"/>
      <c r="X147" s="225"/>
      <c r="Y147" s="226"/>
      <c r="Z147" s="180"/>
      <c r="AA147" s="180"/>
      <c r="AB147" s="180"/>
      <c r="AC147" s="180"/>
    </row>
    <row r="148" spans="1:29" ht="36.75" hidden="1" customHeight="1" x14ac:dyDescent="0.4">
      <c r="A148" s="214">
        <f t="shared" si="68"/>
        <v>45931</v>
      </c>
      <c r="B148" s="215" t="s">
        <v>150</v>
      </c>
      <c r="C148" s="181">
        <v>5250</v>
      </c>
      <c r="D148" s="182">
        <v>19</v>
      </c>
      <c r="E148" s="182">
        <v>14</v>
      </c>
      <c r="F148" s="182">
        <v>0.2</v>
      </c>
      <c r="G148" s="182">
        <v>6</v>
      </c>
      <c r="H148" s="183">
        <f t="shared" si="1"/>
        <v>0.18837209302325583</v>
      </c>
      <c r="I148" s="192">
        <f t="shared" si="2"/>
        <v>5.6511627906976747</v>
      </c>
      <c r="J148" s="216" t="str">
        <f t="shared" si="64"/>
        <v>HBA II</v>
      </c>
      <c r="K148" s="172">
        <f t="shared" si="69"/>
        <v>43.12</v>
      </c>
      <c r="L148" s="183">
        <f t="shared" si="4"/>
        <v>69.587449289772167</v>
      </c>
      <c r="M148" s="188" t="str">
        <f t="shared" si="5"/>
        <v/>
      </c>
      <c r="N148" s="185">
        <f t="shared" si="66"/>
        <v>0.53395348837209322</v>
      </c>
      <c r="O148" s="175">
        <f t="shared" si="41"/>
        <v>69.053495801400075</v>
      </c>
      <c r="P148" s="193">
        <v>-7.12</v>
      </c>
      <c r="Q148" s="191">
        <f t="shared" si="70"/>
        <v>61.933495801400078</v>
      </c>
      <c r="R148" s="186">
        <f>R147*C148/C147</f>
        <v>65.94583333333334</v>
      </c>
      <c r="S148" s="223"/>
      <c r="T148" s="218" t="s">
        <v>151</v>
      </c>
      <c r="U148" s="230">
        <f t="shared" si="37"/>
        <v>-3.1076624680667351</v>
      </c>
      <c r="V148" s="224"/>
      <c r="W148" s="225"/>
      <c r="X148" s="225"/>
      <c r="Y148" s="226"/>
      <c r="Z148" s="180"/>
      <c r="AA148" s="180"/>
      <c r="AB148" s="180"/>
      <c r="AC148" s="180"/>
    </row>
    <row r="149" spans="1:29" ht="36.75" hidden="1" customHeight="1" x14ac:dyDescent="0.4">
      <c r="A149" s="214">
        <f t="shared" si="68"/>
        <v>45931</v>
      </c>
      <c r="B149" s="215" t="s">
        <v>152</v>
      </c>
      <c r="C149" s="227">
        <v>5400</v>
      </c>
      <c r="D149" s="210">
        <v>25</v>
      </c>
      <c r="E149" s="171">
        <v>11</v>
      </c>
      <c r="F149" s="171">
        <v>0.8</v>
      </c>
      <c r="G149" s="171">
        <v>6</v>
      </c>
      <c r="H149" s="183">
        <f t="shared" si="1"/>
        <v>0.6741573033707865</v>
      </c>
      <c r="I149" s="183">
        <f t="shared" si="2"/>
        <v>5.0561797752808983</v>
      </c>
      <c r="J149" s="222" t="str">
        <f t="shared" si="64"/>
        <v>HBA I</v>
      </c>
      <c r="K149" s="172">
        <f t="shared" si="69"/>
        <v>64.84</v>
      </c>
      <c r="L149" s="183">
        <f t="shared" si="4"/>
        <v>62.973496657106395</v>
      </c>
      <c r="M149" s="184" t="str">
        <f t="shared" si="5"/>
        <v/>
      </c>
      <c r="N149" s="185">
        <f t="shared" si="66"/>
        <v>-0.69689887640449477</v>
      </c>
      <c r="O149" s="175">
        <f t="shared" si="41"/>
        <v>63.670395533510892</v>
      </c>
      <c r="P149" s="186"/>
      <c r="Q149" s="187"/>
      <c r="R149" s="176">
        <f>R147</f>
        <v>67.83</v>
      </c>
      <c r="S149" s="217" t="e">
        <f t="shared" ref="S149:S152" si="71">(((#REF!*50%)+(#REF!*50%))*C149/5400)+R149</f>
        <v>#REF!</v>
      </c>
      <c r="T149" s="218" t="s">
        <v>23</v>
      </c>
      <c r="U149" s="230">
        <f t="shared" si="37"/>
        <v>4.1596044664891068</v>
      </c>
      <c r="V149" s="220">
        <f t="shared" ref="V149:V151" si="72">O149-6.5</f>
        <v>57.170395533510892</v>
      </c>
      <c r="W149" s="221"/>
      <c r="X149" s="226"/>
      <c r="Y149" s="226"/>
      <c r="Z149" s="180"/>
      <c r="AA149" s="180"/>
      <c r="AB149" s="180"/>
      <c r="AC149" s="180"/>
    </row>
    <row r="150" spans="1:29" ht="36.75" hidden="1" customHeight="1" x14ac:dyDescent="0.4">
      <c r="A150" s="214">
        <f t="shared" si="68"/>
        <v>45931</v>
      </c>
      <c r="B150" s="215" t="s">
        <v>164</v>
      </c>
      <c r="C150" s="227">
        <v>5305</v>
      </c>
      <c r="D150" s="210">
        <v>25</v>
      </c>
      <c r="E150" s="171">
        <v>11</v>
      </c>
      <c r="F150" s="171">
        <v>0.8</v>
      </c>
      <c r="G150" s="171">
        <v>6</v>
      </c>
      <c r="H150" s="183">
        <f t="shared" si="1"/>
        <v>0.6741573033707865</v>
      </c>
      <c r="I150" s="183">
        <f t="shared" si="2"/>
        <v>5.0561797752808983</v>
      </c>
      <c r="J150" s="222" t="str">
        <f t="shared" si="64"/>
        <v>HBA I</v>
      </c>
      <c r="K150" s="172">
        <f t="shared" si="69"/>
        <v>64.84</v>
      </c>
      <c r="L150" s="183">
        <f t="shared" si="4"/>
        <v>61.865629586286936</v>
      </c>
      <c r="M150" s="184" t="str">
        <f t="shared" si="5"/>
        <v/>
      </c>
      <c r="N150" s="185">
        <f t="shared" si="66"/>
        <v>-0.69689887640449477</v>
      </c>
      <c r="O150" s="175">
        <f t="shared" si="41"/>
        <v>62.562528462691432</v>
      </c>
      <c r="P150" s="186"/>
      <c r="Q150" s="187"/>
      <c r="R150" s="176">
        <f>R149*C150/C149</f>
        <v>66.636694444444444</v>
      </c>
      <c r="S150" s="217" t="e">
        <f t="shared" si="71"/>
        <v>#REF!</v>
      </c>
      <c r="T150" s="218" t="s">
        <v>151</v>
      </c>
      <c r="U150" s="230">
        <f t="shared" si="37"/>
        <v>4.074165981753012</v>
      </c>
      <c r="V150" s="220">
        <f t="shared" si="72"/>
        <v>56.062528462691432</v>
      </c>
      <c r="W150" s="221"/>
      <c r="X150" s="226"/>
      <c r="Y150" s="226"/>
      <c r="Z150" s="180"/>
      <c r="AA150" s="180"/>
      <c r="AB150" s="180"/>
      <c r="AC150" s="180"/>
    </row>
    <row r="151" spans="1:29" ht="36.75" hidden="1" customHeight="1" x14ac:dyDescent="0.4">
      <c r="A151" s="214">
        <f t="shared" si="68"/>
        <v>45931</v>
      </c>
      <c r="B151" s="215" t="s">
        <v>165</v>
      </c>
      <c r="C151" s="227">
        <v>5300</v>
      </c>
      <c r="D151" s="210">
        <v>25</v>
      </c>
      <c r="E151" s="171">
        <v>11</v>
      </c>
      <c r="F151" s="171">
        <v>0.8</v>
      </c>
      <c r="G151" s="171">
        <v>6</v>
      </c>
      <c r="H151" s="183">
        <f t="shared" si="1"/>
        <v>0.6741573033707865</v>
      </c>
      <c r="I151" s="183">
        <f t="shared" si="2"/>
        <v>5.0561797752808983</v>
      </c>
      <c r="J151" s="216" t="str">
        <f t="shared" si="64"/>
        <v>HBA II</v>
      </c>
      <c r="K151" s="172">
        <f t="shared" si="69"/>
        <v>43.12</v>
      </c>
      <c r="L151" s="183">
        <f t="shared" si="4"/>
        <v>65.046469353755299</v>
      </c>
      <c r="M151" s="184" t="str">
        <f t="shared" si="5"/>
        <v/>
      </c>
      <c r="N151" s="185">
        <f t="shared" si="66"/>
        <v>2.2391011235955056</v>
      </c>
      <c r="O151" s="175">
        <f t="shared" si="41"/>
        <v>62.807368230159796</v>
      </c>
      <c r="P151" s="186"/>
      <c r="Q151" s="187"/>
      <c r="R151" s="176">
        <f>R149*C151/C149</f>
        <v>66.573888888888888</v>
      </c>
      <c r="S151" s="217" t="e">
        <f t="shared" si="71"/>
        <v>#REF!</v>
      </c>
      <c r="T151" s="218" t="s">
        <v>151</v>
      </c>
      <c r="U151" s="230">
        <f t="shared" si="37"/>
        <v>3.7665206587290925</v>
      </c>
      <c r="V151" s="220">
        <f t="shared" si="72"/>
        <v>56.307368230159796</v>
      </c>
      <c r="W151" s="221"/>
      <c r="X151" s="226"/>
      <c r="Y151" s="226"/>
      <c r="Z151" s="180"/>
      <c r="AA151" s="180"/>
      <c r="AB151" s="180"/>
      <c r="AC151" s="180"/>
    </row>
    <row r="152" spans="1:29" ht="36.75" hidden="1" customHeight="1" x14ac:dyDescent="0.4">
      <c r="A152" s="214">
        <f t="shared" si="68"/>
        <v>45931</v>
      </c>
      <c r="B152" s="215" t="s">
        <v>155</v>
      </c>
      <c r="C152" s="227">
        <v>5275</v>
      </c>
      <c r="D152" s="210">
        <v>25</v>
      </c>
      <c r="E152" s="171">
        <v>11</v>
      </c>
      <c r="F152" s="171">
        <v>0.8</v>
      </c>
      <c r="G152" s="171">
        <v>6</v>
      </c>
      <c r="H152" s="183">
        <f t="shared" si="1"/>
        <v>0.6741573033707865</v>
      </c>
      <c r="I152" s="183">
        <f t="shared" si="2"/>
        <v>5.0561797752808983</v>
      </c>
      <c r="J152" s="216" t="str">
        <f t="shared" si="64"/>
        <v>HBA II</v>
      </c>
      <c r="K152" s="172">
        <f t="shared" si="69"/>
        <v>43.12</v>
      </c>
      <c r="L152" s="183">
        <f t="shared" si="4"/>
        <v>64.739646385105502</v>
      </c>
      <c r="M152" s="184" t="str">
        <f t="shared" si="5"/>
        <v/>
      </c>
      <c r="N152" s="185">
        <f t="shared" si="66"/>
        <v>2.2391011235955056</v>
      </c>
      <c r="O152" s="175">
        <f t="shared" si="41"/>
        <v>62.500545261509998</v>
      </c>
      <c r="P152" s="186"/>
      <c r="Q152" s="187"/>
      <c r="R152" s="176">
        <f>R149*C152/C149</f>
        <v>66.259861111111107</v>
      </c>
      <c r="S152" s="217" t="e">
        <f t="shared" si="71"/>
        <v>#REF!</v>
      </c>
      <c r="T152" s="218" t="s">
        <v>151</v>
      </c>
      <c r="U152" s="230">
        <f t="shared" si="37"/>
        <v>3.7593158496011085</v>
      </c>
      <c r="V152" s="220"/>
      <c r="W152" s="221"/>
      <c r="X152" s="226"/>
      <c r="Y152" s="226"/>
      <c r="Z152" s="180"/>
      <c r="AA152" s="180"/>
      <c r="AB152" s="180"/>
      <c r="AC152" s="180"/>
    </row>
    <row r="153" spans="1:29" ht="36.75" hidden="1" customHeight="1" x14ac:dyDescent="0.4">
      <c r="A153" s="214">
        <f t="shared" si="68"/>
        <v>45931</v>
      </c>
      <c r="B153" s="215" t="s">
        <v>157</v>
      </c>
      <c r="C153" s="181">
        <v>5400</v>
      </c>
      <c r="D153" s="182">
        <v>22</v>
      </c>
      <c r="E153" s="182">
        <v>14</v>
      </c>
      <c r="F153" s="208">
        <v>1</v>
      </c>
      <c r="G153" s="182">
        <v>6</v>
      </c>
      <c r="H153" s="183">
        <f t="shared" si="1"/>
        <v>0.90697674418604646</v>
      </c>
      <c r="I153" s="183">
        <f t="shared" si="2"/>
        <v>5.441860465116279</v>
      </c>
      <c r="J153" s="222" t="str">
        <f t="shared" si="64"/>
        <v>HBA I</v>
      </c>
      <c r="K153" s="172">
        <f t="shared" si="69"/>
        <v>64.84</v>
      </c>
      <c r="L153" s="183">
        <f t="shared" si="4"/>
        <v>65.492436523390666</v>
      </c>
      <c r="M153" s="184" t="str">
        <f t="shared" si="5"/>
        <v/>
      </c>
      <c r="N153" s="185">
        <f t="shared" si="66"/>
        <v>0.38865116279069739</v>
      </c>
      <c r="O153" s="175">
        <f t="shared" si="41"/>
        <v>65.103785360599971</v>
      </c>
      <c r="P153" s="186"/>
      <c r="Q153" s="187"/>
      <c r="R153" s="186">
        <f>R147</f>
        <v>67.83</v>
      </c>
      <c r="S153" s="217" t="e">
        <f>((#REF!*50%)+(#REF!*50%))+R153</f>
        <v>#REF!</v>
      </c>
      <c r="T153" s="218" t="s">
        <v>151</v>
      </c>
      <c r="U153" s="230">
        <f t="shared" si="37"/>
        <v>2.7262146394000268</v>
      </c>
      <c r="V153" s="220"/>
      <c r="W153" s="221"/>
      <c r="X153" s="226"/>
      <c r="Y153" s="226"/>
      <c r="Z153" s="180"/>
      <c r="AA153" s="180"/>
      <c r="AB153" s="180"/>
      <c r="AC153" s="180"/>
    </row>
    <row r="154" spans="1:29" ht="36.75" hidden="1" customHeight="1" x14ac:dyDescent="0.4">
      <c r="A154" s="214">
        <f t="shared" si="68"/>
        <v>45931</v>
      </c>
      <c r="B154" s="215" t="s">
        <v>158</v>
      </c>
      <c r="C154" s="181">
        <v>4200</v>
      </c>
      <c r="D154" s="182">
        <v>36</v>
      </c>
      <c r="E154" s="182">
        <v>16</v>
      </c>
      <c r="F154" s="182">
        <v>0.4</v>
      </c>
      <c r="G154" s="182">
        <v>8</v>
      </c>
      <c r="H154" s="183">
        <f t="shared" si="1"/>
        <v>0.30476190476190479</v>
      </c>
      <c r="I154" s="192">
        <f t="shared" si="2"/>
        <v>6.0952380952380949</v>
      </c>
      <c r="J154" s="216" t="str">
        <f t="shared" si="64"/>
        <v>HBA II</v>
      </c>
      <c r="K154" s="172">
        <f t="shared" si="69"/>
        <v>43.12</v>
      </c>
      <c r="L154" s="183">
        <f t="shared" si="4"/>
        <v>43.986140785633772</v>
      </c>
      <c r="M154" s="188" t="str">
        <f t="shared" si="5"/>
        <v/>
      </c>
      <c r="N154" s="185">
        <f t="shared" si="66"/>
        <v>1.177142857142857</v>
      </c>
      <c r="O154" s="175">
        <f t="shared" si="41"/>
        <v>42.808997928490918</v>
      </c>
      <c r="P154" s="193"/>
      <c r="Q154" s="191"/>
      <c r="R154" s="186">
        <f>'ICI, GNewc, Delta'!E721</f>
        <v>43.79</v>
      </c>
      <c r="S154" s="217" t="e">
        <f>#REF!+'HPB Calculation'!R154</f>
        <v>#REF!</v>
      </c>
      <c r="T154" s="218" t="s">
        <v>4</v>
      </c>
      <c r="U154" s="230">
        <f t="shared" si="37"/>
        <v>0.98100207150908147</v>
      </c>
      <c r="V154" s="220"/>
      <c r="W154" s="221"/>
      <c r="X154" s="226"/>
      <c r="Y154" s="226"/>
      <c r="Z154" s="180"/>
      <c r="AA154" s="180"/>
      <c r="AB154" s="180"/>
      <c r="AC154" s="180"/>
    </row>
    <row r="155" spans="1:29" ht="36.75" hidden="1" customHeight="1" x14ac:dyDescent="0.4">
      <c r="A155" s="214">
        <f t="shared" si="68"/>
        <v>45931</v>
      </c>
      <c r="B155" s="215" t="s">
        <v>159</v>
      </c>
      <c r="C155" s="181">
        <v>4050</v>
      </c>
      <c r="D155" s="182">
        <v>36</v>
      </c>
      <c r="E155" s="182">
        <v>16</v>
      </c>
      <c r="F155" s="182">
        <v>0.4</v>
      </c>
      <c r="G155" s="182">
        <v>8</v>
      </c>
      <c r="H155" s="183">
        <f t="shared" si="1"/>
        <v>0.30476190476190479</v>
      </c>
      <c r="I155" s="192">
        <f t="shared" si="2"/>
        <v>6.0952380952380949</v>
      </c>
      <c r="J155" s="229" t="str">
        <f t="shared" si="64"/>
        <v>HBA III</v>
      </c>
      <c r="K155" s="172">
        <f t="shared" si="69"/>
        <v>32.950000000000003</v>
      </c>
      <c r="L155" s="183">
        <f t="shared" si="4"/>
        <v>45.288155164220093</v>
      </c>
      <c r="M155" s="188">
        <f t="shared" si="5"/>
        <v>1.0042187500000002</v>
      </c>
      <c r="N155" s="185">
        <f t="shared" si="66"/>
        <v>1.1451428571428572</v>
      </c>
      <c r="O155" s="175">
        <f t="shared" si="41"/>
        <v>31.266292133198945</v>
      </c>
      <c r="P155" s="193"/>
      <c r="Q155" s="191"/>
      <c r="R155" s="186">
        <f>R154*C155/C154</f>
        <v>42.22607142857143</v>
      </c>
      <c r="S155" s="217" t="e">
        <f>#REF!+'HPB Calculation'!R155</f>
        <v>#REF!</v>
      </c>
      <c r="T155" s="218" t="s">
        <v>160</v>
      </c>
      <c r="U155" s="230">
        <f t="shared" si="37"/>
        <v>10.959779295372485</v>
      </c>
      <c r="V155" s="220"/>
      <c r="W155" s="221"/>
      <c r="X155" s="226"/>
      <c r="Y155" s="226"/>
      <c r="Z155" s="180"/>
      <c r="AA155" s="180"/>
      <c r="AB155" s="180"/>
      <c r="AC155" s="180"/>
    </row>
    <row r="156" spans="1:29" ht="36.75" hidden="1" customHeight="1" x14ac:dyDescent="0.4">
      <c r="A156" s="214">
        <f t="shared" si="68"/>
        <v>45931</v>
      </c>
      <c r="B156" s="215" t="s">
        <v>15</v>
      </c>
      <c r="C156" s="170">
        <v>3600</v>
      </c>
      <c r="D156" s="171">
        <v>40</v>
      </c>
      <c r="E156" s="171">
        <v>15</v>
      </c>
      <c r="F156" s="171">
        <v>0.6</v>
      </c>
      <c r="G156" s="171">
        <v>8</v>
      </c>
      <c r="H156" s="183">
        <f t="shared" si="1"/>
        <v>0.42352941176470588</v>
      </c>
      <c r="I156" s="192">
        <f t="shared" si="2"/>
        <v>5.6470588235294121</v>
      </c>
      <c r="J156" s="229" t="str">
        <f>IF(C156&gt;6000,"HBA 0",IF(C156&gt;5300,"HBA I",IF(C156&gt;3400,"HBA II","HBA III")))</f>
        <v>HBA II</v>
      </c>
      <c r="K156" s="172">
        <f t="shared" si="69"/>
        <v>43.12</v>
      </c>
      <c r="L156" s="183">
        <f t="shared" si="4"/>
        <v>35.346005988455708</v>
      </c>
      <c r="M156" s="200">
        <f t="shared" si="5"/>
        <v>1.0711666666666668</v>
      </c>
      <c r="N156" s="185">
        <f>IF(J156="HBA 0", (H156 - 0.66)*4 + (I156 - 7.94)*0.4, IF(J156="HBA I", (H156 - 0.75)*4 + (I156 - 6.04)*0.4, IF(J156="HBA II", ((H156 - 0.23)*4) + ((I156 - 3.9)*0.4), IF(J156="HBA III", (H156 - 0.24)*4 + (I156 - 3.88)*0.4, ""))))</f>
        <v>1.4729411764705884</v>
      </c>
      <c r="O156" s="175">
        <f t="shared" si="41"/>
        <v>51.208232337100007</v>
      </c>
      <c r="P156" s="193"/>
      <c r="Q156" s="191"/>
      <c r="R156" s="186">
        <f>'ICI, GNewc, Delta'!AF721</f>
        <v>37.305</v>
      </c>
      <c r="S156" s="217" t="e">
        <f>((#REF!*50%)+(#REF!*50%))</f>
        <v>#REF!</v>
      </c>
      <c r="T156" s="218" t="s">
        <v>25</v>
      </c>
      <c r="U156" s="230">
        <f t="shared" si="37"/>
        <v>-13.903232337100007</v>
      </c>
      <c r="V156" s="220"/>
      <c r="W156" s="221"/>
      <c r="X156" s="226"/>
      <c r="Y156" s="226"/>
      <c r="Z156" s="180"/>
      <c r="AA156" s="180"/>
      <c r="AB156" s="180"/>
      <c r="AC156" s="180"/>
    </row>
    <row r="157" spans="1:29" ht="36.75" hidden="1" customHeight="1" x14ac:dyDescent="0.4">
      <c r="A157" s="214">
        <f t="shared" si="68"/>
        <v>45931</v>
      </c>
      <c r="B157" s="257" t="s">
        <v>161</v>
      </c>
      <c r="C157" s="181">
        <v>4800</v>
      </c>
      <c r="D157" s="182">
        <v>30</v>
      </c>
      <c r="E157" s="182">
        <v>14</v>
      </c>
      <c r="F157" s="182">
        <v>0.8</v>
      </c>
      <c r="G157" s="182">
        <v>8</v>
      </c>
      <c r="H157" s="183">
        <f t="shared" si="1"/>
        <v>0.65116279069767447</v>
      </c>
      <c r="I157" s="192">
        <f t="shared" si="2"/>
        <v>6.5116279069767442</v>
      </c>
      <c r="J157" s="216" t="str">
        <f t="shared" ref="J157:J172" si="73">IF(C157&gt;6000,"HBA 0",IF(C157&gt;5300,"HBA I",IF(C157&gt;4100,"HBA II","HBA III")))</f>
        <v>HBA II</v>
      </c>
      <c r="K157" s="172">
        <f t="shared" si="69"/>
        <v>43.12</v>
      </c>
      <c r="L157" s="183">
        <f t="shared" si="4"/>
        <v>54.982675982042217</v>
      </c>
      <c r="M157" s="188" t="str">
        <f t="shared" si="5"/>
        <v/>
      </c>
      <c r="N157" s="185">
        <f t="shared" ref="N157:N172" si="74">IF(J157="HBA 0", (H157 - 0.66)*4 + (I157 - 7.94)*0.4, IF(J157="HBA I", (H157 - 0.75)*4 + (I157 - 6.04)*0.4, IF(J157="HBA II", (H157 - 0.23)*4 + (I157 - 3.9)*0.4, IF(J157="HBA III", (H157 - 0.24)*4 + (I157 - 3.88)*0.4, ""))))</f>
        <v>2.7293023255813957</v>
      </c>
      <c r="O157" s="175">
        <f t="shared" si="41"/>
        <v>52.253373656460823</v>
      </c>
      <c r="P157" s="193"/>
      <c r="Q157" s="191"/>
      <c r="R157" s="186">
        <f>'ICI, GNewc, Delta'!D721*C157/5000</f>
        <v>56.860799999999998</v>
      </c>
      <c r="S157" s="217" t="e">
        <f>(#REF!*C157/5000)+R157</f>
        <v>#REF!</v>
      </c>
      <c r="T157" s="218" t="s">
        <v>162</v>
      </c>
      <c r="U157" s="230">
        <f t="shared" si="37"/>
        <v>4.6074263435391742</v>
      </c>
      <c r="V157" s="220"/>
      <c r="W157" s="221"/>
      <c r="X157" s="221"/>
      <c r="Y157" s="221"/>
      <c r="Z157" s="180"/>
      <c r="AA157" s="180"/>
      <c r="AB157" s="180"/>
      <c r="AC157" s="180"/>
    </row>
    <row r="158" spans="1:29" ht="36.75" hidden="1" customHeight="1" x14ac:dyDescent="0.4">
      <c r="A158" s="214">
        <f t="shared" si="68"/>
        <v>45931</v>
      </c>
      <c r="B158" s="215" t="s">
        <v>166</v>
      </c>
      <c r="C158" s="181">
        <v>4200</v>
      </c>
      <c r="D158" s="182">
        <v>38</v>
      </c>
      <c r="E158" s="182">
        <v>16</v>
      </c>
      <c r="F158" s="182">
        <v>0.4</v>
      </c>
      <c r="G158" s="182">
        <v>8</v>
      </c>
      <c r="H158" s="183">
        <f t="shared" si="1"/>
        <v>0.29523809523809524</v>
      </c>
      <c r="I158" s="192">
        <f t="shared" si="2"/>
        <v>5.9047619047619051</v>
      </c>
      <c r="J158" s="216" t="str">
        <f t="shared" si="73"/>
        <v>HBA II</v>
      </c>
      <c r="K158" s="172">
        <f t="shared" si="69"/>
        <v>43.12</v>
      </c>
      <c r="L158" s="183">
        <f t="shared" si="4"/>
        <v>42.611573886082716</v>
      </c>
      <c r="M158" s="188" t="str">
        <f t="shared" si="5"/>
        <v/>
      </c>
      <c r="N158" s="185">
        <f t="shared" si="74"/>
        <v>1.0628571428571432</v>
      </c>
      <c r="O158" s="175">
        <f t="shared" si="41"/>
        <v>41.548716743225576</v>
      </c>
      <c r="P158" s="193"/>
      <c r="Q158" s="191"/>
      <c r="R158" s="258">
        <f t="shared" ref="R158:R159" si="75">O158*16200</f>
        <v>673089.21124025434</v>
      </c>
      <c r="S158" s="217" t="e">
        <f>#REF!+'HPB Calculation'!R158</f>
        <v>#REF!</v>
      </c>
      <c r="T158" s="218" t="s">
        <v>4</v>
      </c>
      <c r="U158" s="230">
        <f t="shared" si="37"/>
        <v>673047.6625235111</v>
      </c>
      <c r="V158" s="220"/>
      <c r="W158" s="221"/>
      <c r="X158" s="226"/>
      <c r="Y158" s="226"/>
      <c r="Z158" s="180"/>
      <c r="AA158" s="180"/>
      <c r="AB158" s="180"/>
      <c r="AC158" s="180"/>
    </row>
    <row r="159" spans="1:29" ht="36.75" hidden="1" customHeight="1" x14ac:dyDescent="0.4">
      <c r="A159" s="214">
        <f t="shared" si="68"/>
        <v>45931</v>
      </c>
      <c r="B159" s="215" t="s">
        <v>166</v>
      </c>
      <c r="C159" s="181">
        <v>4200</v>
      </c>
      <c r="D159" s="182">
        <v>38</v>
      </c>
      <c r="E159" s="182">
        <v>16</v>
      </c>
      <c r="F159" s="182">
        <v>0.4</v>
      </c>
      <c r="G159" s="182">
        <v>8</v>
      </c>
      <c r="H159" s="183">
        <f t="shared" si="1"/>
        <v>0.29523809523809524</v>
      </c>
      <c r="I159" s="192">
        <f t="shared" si="2"/>
        <v>5.9047619047619051</v>
      </c>
      <c r="J159" s="216" t="str">
        <f t="shared" si="73"/>
        <v>HBA II</v>
      </c>
      <c r="K159" s="172">
        <f t="shared" si="69"/>
        <v>43.12</v>
      </c>
      <c r="L159" s="183">
        <f t="shared" si="4"/>
        <v>42.611573886082716</v>
      </c>
      <c r="M159" s="188" t="str">
        <f t="shared" si="5"/>
        <v/>
      </c>
      <c r="N159" s="185">
        <f t="shared" si="74"/>
        <v>1.0628571428571432</v>
      </c>
      <c r="O159" s="175">
        <f t="shared" si="41"/>
        <v>41.548716743225576</v>
      </c>
      <c r="P159" s="193"/>
      <c r="Q159" s="191"/>
      <c r="R159" s="258">
        <f t="shared" si="75"/>
        <v>673089.21124025434</v>
      </c>
      <c r="S159" s="217" t="e">
        <f>#REF!+'HPB Calculation'!R159</f>
        <v>#REF!</v>
      </c>
      <c r="T159" s="218" t="s">
        <v>4</v>
      </c>
      <c r="U159" s="230">
        <f t="shared" si="37"/>
        <v>673047.6625235111</v>
      </c>
      <c r="V159" s="220"/>
      <c r="W159" s="221"/>
      <c r="X159" s="226"/>
      <c r="Y159" s="226"/>
      <c r="Z159" s="180"/>
      <c r="AA159" s="180"/>
      <c r="AB159" s="180"/>
      <c r="AC159" s="180"/>
    </row>
    <row r="160" spans="1:29" ht="36.75" hidden="1" customHeight="1" x14ac:dyDescent="0.4">
      <c r="A160" s="214">
        <f t="shared" si="68"/>
        <v>45931</v>
      </c>
      <c r="B160" s="288" t="s">
        <v>165</v>
      </c>
      <c r="C160" s="227">
        <v>5300</v>
      </c>
      <c r="D160" s="210">
        <v>22</v>
      </c>
      <c r="E160" s="210">
        <v>13</v>
      </c>
      <c r="F160" s="171">
        <v>0.8</v>
      </c>
      <c r="G160" s="210">
        <v>8</v>
      </c>
      <c r="H160" s="183">
        <f t="shared" si="1"/>
        <v>0.71724137931034493</v>
      </c>
      <c r="I160" s="183">
        <f t="shared" si="2"/>
        <v>7.1724137931034484</v>
      </c>
      <c r="J160" s="222" t="str">
        <f t="shared" si="73"/>
        <v>HBA II</v>
      </c>
      <c r="K160" s="172">
        <f t="shared" si="69"/>
        <v>43.12</v>
      </c>
      <c r="L160" s="183">
        <f t="shared" si="4"/>
        <v>67.648328127905515</v>
      </c>
      <c r="M160" s="184" t="str">
        <f t="shared" si="5"/>
        <v/>
      </c>
      <c r="N160" s="185">
        <f t="shared" si="74"/>
        <v>3.257931034482759</v>
      </c>
      <c r="O160" s="175">
        <f t="shared" si="41"/>
        <v>64.390397093422763</v>
      </c>
      <c r="P160" s="289">
        <v>6.5</v>
      </c>
      <c r="Q160" s="187">
        <f t="shared" ref="Q160:Q162" si="76">O160-P160</f>
        <v>57.890397093422763</v>
      </c>
      <c r="R160" s="176">
        <f>R158</f>
        <v>673089.21124025434</v>
      </c>
      <c r="S160" s="217" t="e">
        <f t="shared" ref="S160:S162" si="77">(((#REF!*50%)+(#REF!*50%))*C160/5400)+R160</f>
        <v>#REF!</v>
      </c>
      <c r="T160" s="218" t="s">
        <v>23</v>
      </c>
      <c r="U160" s="219">
        <f t="shared" si="37"/>
        <v>673024.82084316097</v>
      </c>
      <c r="V160" s="220"/>
      <c r="W160" s="221"/>
      <c r="X160" s="226"/>
      <c r="Y160" s="226"/>
      <c r="Z160" s="180"/>
      <c r="AA160" s="180"/>
      <c r="AB160" s="180"/>
      <c r="AC160" s="180"/>
    </row>
    <row r="161" spans="1:29" ht="36.75" hidden="1" customHeight="1" x14ac:dyDescent="0.4">
      <c r="A161" s="214">
        <f t="shared" si="68"/>
        <v>45931</v>
      </c>
      <c r="B161" s="288" t="s">
        <v>152</v>
      </c>
      <c r="C161" s="227">
        <v>5400</v>
      </c>
      <c r="D161" s="210">
        <v>25</v>
      </c>
      <c r="E161" s="210">
        <v>11</v>
      </c>
      <c r="F161" s="171">
        <v>0.8</v>
      </c>
      <c r="G161" s="210">
        <v>6</v>
      </c>
      <c r="H161" s="183">
        <f t="shared" si="1"/>
        <v>0.6741573033707865</v>
      </c>
      <c r="I161" s="183">
        <f t="shared" si="2"/>
        <v>5.0561797752808983</v>
      </c>
      <c r="J161" s="222" t="str">
        <f t="shared" si="73"/>
        <v>HBA I</v>
      </c>
      <c r="K161" s="172">
        <f t="shared" si="69"/>
        <v>64.84</v>
      </c>
      <c r="L161" s="183">
        <f t="shared" si="4"/>
        <v>62.973496657106395</v>
      </c>
      <c r="M161" s="184" t="str">
        <f t="shared" si="5"/>
        <v/>
      </c>
      <c r="N161" s="185">
        <f t="shared" si="74"/>
        <v>-0.69689887640449477</v>
      </c>
      <c r="O161" s="175">
        <f t="shared" si="41"/>
        <v>63.670395533510892</v>
      </c>
      <c r="P161" s="289">
        <v>6.5</v>
      </c>
      <c r="Q161" s="187">
        <f t="shared" si="76"/>
        <v>57.170395533510892</v>
      </c>
      <c r="R161" s="176">
        <f>'ICI, GNewc, Delta'!D771</f>
        <v>61.58</v>
      </c>
      <c r="S161" s="217" t="e">
        <f t="shared" si="77"/>
        <v>#REF!</v>
      </c>
      <c r="T161" s="218" t="s">
        <v>23</v>
      </c>
      <c r="U161" s="219">
        <f t="shared" si="37"/>
        <v>-2.0903955335108932</v>
      </c>
      <c r="V161" s="220"/>
      <c r="W161" s="221"/>
      <c r="X161" s="226"/>
      <c r="Y161" s="226"/>
      <c r="Z161" s="180"/>
      <c r="AA161" s="180"/>
      <c r="AB161" s="180"/>
      <c r="AC161" s="180"/>
    </row>
    <row r="162" spans="1:29" ht="36.75" hidden="1" customHeight="1" x14ac:dyDescent="0.4">
      <c r="A162" s="290">
        <f t="shared" si="68"/>
        <v>45931</v>
      </c>
      <c r="B162" s="291" t="s">
        <v>168</v>
      </c>
      <c r="C162" s="292">
        <v>5295</v>
      </c>
      <c r="D162" s="293">
        <v>25</v>
      </c>
      <c r="E162" s="293">
        <v>11</v>
      </c>
      <c r="F162" s="294">
        <v>0.8</v>
      </c>
      <c r="G162" s="293">
        <v>6</v>
      </c>
      <c r="H162" s="295">
        <f t="shared" si="1"/>
        <v>0.6741573033707865</v>
      </c>
      <c r="I162" s="295">
        <f t="shared" si="2"/>
        <v>5.0561797752808983</v>
      </c>
      <c r="J162" s="296" t="str">
        <f t="shared" si="73"/>
        <v>HBA II</v>
      </c>
      <c r="K162" s="297">
        <f t="shared" si="69"/>
        <v>43.12</v>
      </c>
      <c r="L162" s="295">
        <f t="shared" si="4"/>
        <v>64.985104760025337</v>
      </c>
      <c r="M162" s="298" t="str">
        <f t="shared" si="5"/>
        <v/>
      </c>
      <c r="N162" s="299">
        <f t="shared" si="74"/>
        <v>2.2391011235955056</v>
      </c>
      <c r="O162" s="300">
        <f t="shared" si="41"/>
        <v>62.746003636429833</v>
      </c>
      <c r="P162" s="301">
        <v>6.5</v>
      </c>
      <c r="Q162" s="302">
        <f t="shared" si="76"/>
        <v>56.246003636429833</v>
      </c>
      <c r="R162" s="303">
        <f>'ICI, GNewc, Delta'!D772</f>
        <v>0</v>
      </c>
      <c r="S162" s="304" t="e">
        <f t="shared" si="77"/>
        <v>#REF!</v>
      </c>
      <c r="T162" s="305" t="s">
        <v>23</v>
      </c>
      <c r="U162" s="306">
        <f t="shared" si="37"/>
        <v>-62.746003636429833</v>
      </c>
      <c r="V162" s="220"/>
      <c r="W162" s="221"/>
      <c r="X162" s="226"/>
      <c r="Y162" s="226"/>
      <c r="Z162" s="180"/>
      <c r="AA162" s="180"/>
      <c r="AB162" s="180"/>
      <c r="AC162" s="180"/>
    </row>
    <row r="163" spans="1:29" ht="36.75" hidden="1" customHeight="1" x14ac:dyDescent="0.4">
      <c r="A163" s="307">
        <f t="shared" ref="A163:A179" si="78">A$41</f>
        <v>45945</v>
      </c>
      <c r="B163" s="308" t="s">
        <v>14</v>
      </c>
      <c r="C163" s="309">
        <v>5000</v>
      </c>
      <c r="D163" s="310">
        <v>28</v>
      </c>
      <c r="E163" s="310">
        <v>13</v>
      </c>
      <c r="F163" s="310">
        <v>0.8</v>
      </c>
      <c r="G163" s="310">
        <v>8</v>
      </c>
      <c r="H163" s="311">
        <f t="shared" si="1"/>
        <v>0.66206896551724137</v>
      </c>
      <c r="I163" s="311">
        <f t="shared" si="2"/>
        <v>6.6206896551724137</v>
      </c>
      <c r="J163" s="312" t="str">
        <f t="shared" si="73"/>
        <v>HBA II</v>
      </c>
      <c r="K163" s="311">
        <f t="shared" ref="K163:K179" si="79">IF(J163="", "", INDEX($B$24:$E$41, MATCH(DATE(2025,10,15), $A$24:$A$41, 0), MATCH(J163, $B$23:$E$23, 0)))</f>
        <v>43.71</v>
      </c>
      <c r="L163" s="311">
        <f t="shared" si="4"/>
        <v>59.716060673909986</v>
      </c>
      <c r="M163" s="313" t="str">
        <f t="shared" si="5"/>
        <v/>
      </c>
      <c r="N163" s="314">
        <f t="shared" si="74"/>
        <v>2.8165517241379314</v>
      </c>
      <c r="O163" s="315">
        <f t="shared" si="41"/>
        <v>56.899508949772056</v>
      </c>
      <c r="P163" s="310">
        <v>3.01</v>
      </c>
      <c r="Q163" s="316">
        <f t="shared" ref="Q163:Q165" si="80">O163+P163</f>
        <v>59.909508949772054</v>
      </c>
      <c r="R163" s="317">
        <f>'ICI, GNewc, Delta'!D723</f>
        <v>60.12</v>
      </c>
      <c r="S163" s="318" t="e">
        <f>AVERAGE(#REF!)+0.75</f>
        <v>#REF!</v>
      </c>
      <c r="T163" s="319" t="s">
        <v>3</v>
      </c>
      <c r="U163" s="320">
        <f t="shared" si="37"/>
        <v>3.2204910502279418</v>
      </c>
      <c r="V163" s="220"/>
      <c r="W163" s="221"/>
      <c r="X163" s="221"/>
      <c r="Y163" s="221"/>
      <c r="Z163" s="180"/>
      <c r="AA163" s="180"/>
      <c r="AB163" s="180"/>
      <c r="AC163" s="180"/>
    </row>
    <row r="164" spans="1:29" ht="36.75" hidden="1" customHeight="1" x14ac:dyDescent="0.4">
      <c r="A164" s="214">
        <f t="shared" si="78"/>
        <v>45945</v>
      </c>
      <c r="B164" s="215" t="s">
        <v>150</v>
      </c>
      <c r="C164" s="181">
        <v>5400</v>
      </c>
      <c r="D164" s="182">
        <v>19</v>
      </c>
      <c r="E164" s="182">
        <v>14</v>
      </c>
      <c r="F164" s="182">
        <v>0.2</v>
      </c>
      <c r="G164" s="182">
        <v>6</v>
      </c>
      <c r="H164" s="183">
        <f t="shared" si="1"/>
        <v>0.18837209302325583</v>
      </c>
      <c r="I164" s="192">
        <f t="shared" si="2"/>
        <v>5.6511627906976747</v>
      </c>
      <c r="J164" s="222" t="str">
        <f t="shared" si="73"/>
        <v>HBA I</v>
      </c>
      <c r="K164" s="172">
        <f t="shared" si="79"/>
        <v>67.760000000000005</v>
      </c>
      <c r="L164" s="183">
        <f t="shared" si="4"/>
        <v>71.07419593097427</v>
      </c>
      <c r="M164" s="188" t="str">
        <f t="shared" si="5"/>
        <v/>
      </c>
      <c r="N164" s="185">
        <f t="shared" si="74"/>
        <v>-2.4020465116279066</v>
      </c>
      <c r="O164" s="175">
        <f t="shared" si="41"/>
        <v>73.476242442602171</v>
      </c>
      <c r="P164" s="193">
        <v>-7.12</v>
      </c>
      <c r="Q164" s="191">
        <f t="shared" si="80"/>
        <v>66.356242442602166</v>
      </c>
      <c r="R164" s="186">
        <f>('ICI, GNewc, Delta'!C723+'ICI, GNewc, Delta'!D723)/2</f>
        <v>68.504999999999995</v>
      </c>
      <c r="S164" s="223"/>
      <c r="T164" s="218" t="s">
        <v>23</v>
      </c>
      <c r="U164" s="230">
        <f t="shared" si="37"/>
        <v>-4.9712424426021755</v>
      </c>
      <c r="V164" s="224"/>
      <c r="W164" s="225"/>
      <c r="X164" s="225"/>
      <c r="Y164" s="226"/>
      <c r="Z164" s="180"/>
      <c r="AA164" s="180"/>
      <c r="AB164" s="180"/>
      <c r="AC164" s="180"/>
    </row>
    <row r="165" spans="1:29" ht="36.75" hidden="1" customHeight="1" x14ac:dyDescent="0.4">
      <c r="A165" s="214">
        <f t="shared" si="78"/>
        <v>45945</v>
      </c>
      <c r="B165" s="215" t="s">
        <v>150</v>
      </c>
      <c r="C165" s="181">
        <v>5250</v>
      </c>
      <c r="D165" s="182">
        <v>19</v>
      </c>
      <c r="E165" s="182">
        <v>14</v>
      </c>
      <c r="F165" s="182">
        <v>0.2</v>
      </c>
      <c r="G165" s="182">
        <v>6</v>
      </c>
      <c r="H165" s="183">
        <f t="shared" si="1"/>
        <v>0.18837209302325583</v>
      </c>
      <c r="I165" s="192">
        <f t="shared" si="2"/>
        <v>5.6511627906976747</v>
      </c>
      <c r="J165" s="216" t="str">
        <f t="shared" si="73"/>
        <v>HBA II</v>
      </c>
      <c r="K165" s="172">
        <f t="shared" si="79"/>
        <v>43.71</v>
      </c>
      <c r="L165" s="183">
        <f t="shared" si="4"/>
        <v>70.539596671056159</v>
      </c>
      <c r="M165" s="188" t="str">
        <f t="shared" si="5"/>
        <v/>
      </c>
      <c r="N165" s="185">
        <f t="shared" si="74"/>
        <v>0.53395348837209322</v>
      </c>
      <c r="O165" s="175">
        <f t="shared" si="41"/>
        <v>70.005643182684068</v>
      </c>
      <c r="P165" s="193">
        <v>-7.12</v>
      </c>
      <c r="Q165" s="191">
        <f t="shared" si="80"/>
        <v>62.88564318268407</v>
      </c>
      <c r="R165" s="186">
        <f>R164*C165/C164</f>
        <v>66.60208333333334</v>
      </c>
      <c r="S165" s="223"/>
      <c r="T165" s="218" t="s">
        <v>151</v>
      </c>
      <c r="U165" s="230">
        <f t="shared" si="37"/>
        <v>-3.403559849350728</v>
      </c>
      <c r="V165" s="224"/>
      <c r="W165" s="225"/>
      <c r="X165" s="225"/>
      <c r="Y165" s="226"/>
      <c r="Z165" s="180"/>
      <c r="AA165" s="180"/>
      <c r="AB165" s="180"/>
      <c r="AC165" s="180"/>
    </row>
    <row r="166" spans="1:29" ht="36.75" hidden="1" customHeight="1" x14ac:dyDescent="0.4">
      <c r="A166" s="214">
        <f t="shared" si="78"/>
        <v>45945</v>
      </c>
      <c r="B166" s="215" t="s">
        <v>152</v>
      </c>
      <c r="C166" s="227">
        <v>5400</v>
      </c>
      <c r="D166" s="210">
        <v>25</v>
      </c>
      <c r="E166" s="171">
        <v>11</v>
      </c>
      <c r="F166" s="171">
        <v>0.8</v>
      </c>
      <c r="G166" s="171">
        <v>6</v>
      </c>
      <c r="H166" s="183">
        <f t="shared" si="1"/>
        <v>0.6741573033707865</v>
      </c>
      <c r="I166" s="183">
        <f t="shared" si="2"/>
        <v>5.0561797752808983</v>
      </c>
      <c r="J166" s="222" t="str">
        <f t="shared" si="73"/>
        <v>HBA I</v>
      </c>
      <c r="K166" s="172">
        <f t="shared" si="79"/>
        <v>67.760000000000005</v>
      </c>
      <c r="L166" s="183">
        <f t="shared" si="4"/>
        <v>65.809440676828032</v>
      </c>
      <c r="M166" s="184" t="str">
        <f t="shared" si="5"/>
        <v/>
      </c>
      <c r="N166" s="185">
        <f t="shared" si="74"/>
        <v>-0.69689887640449477</v>
      </c>
      <c r="O166" s="175">
        <f t="shared" si="41"/>
        <v>66.506339553232522</v>
      </c>
      <c r="P166" s="186"/>
      <c r="Q166" s="187"/>
      <c r="R166" s="176">
        <f>R164</f>
        <v>68.504999999999995</v>
      </c>
      <c r="S166" s="217" t="e">
        <f t="shared" ref="S166:S169" si="81">(((#REF!*50%)+(#REF!*50%))*C166/5400)+R166</f>
        <v>#REF!</v>
      </c>
      <c r="T166" s="218" t="s">
        <v>23</v>
      </c>
      <c r="U166" s="230">
        <f t="shared" si="37"/>
        <v>1.9986604467674738</v>
      </c>
      <c r="V166" s="220">
        <f t="shared" ref="V166:V168" si="82">O166-6.5</f>
        <v>60.006339553232522</v>
      </c>
      <c r="W166" s="221"/>
      <c r="X166" s="226"/>
      <c r="Y166" s="226"/>
      <c r="Z166" s="180"/>
      <c r="AA166" s="180"/>
      <c r="AB166" s="180"/>
      <c r="AC166" s="180"/>
    </row>
    <row r="167" spans="1:29" ht="36.75" hidden="1" customHeight="1" x14ac:dyDescent="0.4">
      <c r="A167" s="214">
        <f t="shared" si="78"/>
        <v>45945</v>
      </c>
      <c r="B167" s="215" t="s">
        <v>164</v>
      </c>
      <c r="C167" s="227">
        <v>5305</v>
      </c>
      <c r="D167" s="210">
        <v>25</v>
      </c>
      <c r="E167" s="171">
        <v>11</v>
      </c>
      <c r="F167" s="171">
        <v>0.8</v>
      </c>
      <c r="G167" s="171">
        <v>6</v>
      </c>
      <c r="H167" s="183">
        <f t="shared" si="1"/>
        <v>0.6741573033707865</v>
      </c>
      <c r="I167" s="183">
        <f t="shared" si="2"/>
        <v>5.0561797752808983</v>
      </c>
      <c r="J167" s="222" t="str">
        <f t="shared" si="73"/>
        <v>HBA I</v>
      </c>
      <c r="K167" s="172">
        <f t="shared" si="79"/>
        <v>67.760000000000005</v>
      </c>
      <c r="L167" s="183">
        <f t="shared" si="4"/>
        <v>64.651681998254219</v>
      </c>
      <c r="M167" s="184" t="str">
        <f t="shared" si="5"/>
        <v/>
      </c>
      <c r="N167" s="185">
        <f t="shared" si="74"/>
        <v>-0.69689887640449477</v>
      </c>
      <c r="O167" s="175">
        <f t="shared" si="41"/>
        <v>65.348580874658708</v>
      </c>
      <c r="P167" s="186"/>
      <c r="Q167" s="187"/>
      <c r="R167" s="176">
        <f>R166*C167/C166</f>
        <v>67.299819444444438</v>
      </c>
      <c r="S167" s="217" t="e">
        <f t="shared" si="81"/>
        <v>#REF!</v>
      </c>
      <c r="T167" s="218" t="s">
        <v>151</v>
      </c>
      <c r="U167" s="230">
        <f t="shared" si="37"/>
        <v>1.9512385697857297</v>
      </c>
      <c r="V167" s="220">
        <f t="shared" si="82"/>
        <v>58.848580874658708</v>
      </c>
      <c r="W167" s="221"/>
      <c r="X167" s="226"/>
      <c r="Y167" s="226"/>
      <c r="Z167" s="180"/>
      <c r="AA167" s="180"/>
      <c r="AB167" s="180"/>
      <c r="AC167" s="180"/>
    </row>
    <row r="168" spans="1:29" ht="36.75" hidden="1" customHeight="1" x14ac:dyDescent="0.4">
      <c r="A168" s="214">
        <f t="shared" si="78"/>
        <v>45945</v>
      </c>
      <c r="B168" s="215" t="s">
        <v>165</v>
      </c>
      <c r="C168" s="227">
        <v>5300</v>
      </c>
      <c r="D168" s="210">
        <v>25</v>
      </c>
      <c r="E168" s="171">
        <v>11</v>
      </c>
      <c r="F168" s="171">
        <v>0.8</v>
      </c>
      <c r="G168" s="171">
        <v>6</v>
      </c>
      <c r="H168" s="183">
        <f t="shared" si="1"/>
        <v>0.6741573033707865</v>
      </c>
      <c r="I168" s="183">
        <f t="shared" si="2"/>
        <v>5.0561797752808983</v>
      </c>
      <c r="J168" s="216" t="str">
        <f t="shared" si="73"/>
        <v>HBA II</v>
      </c>
      <c r="K168" s="172">
        <f t="shared" si="79"/>
        <v>43.71</v>
      </c>
      <c r="L168" s="183">
        <f t="shared" si="4"/>
        <v>65.936483660775593</v>
      </c>
      <c r="M168" s="184" t="str">
        <f t="shared" si="5"/>
        <v/>
      </c>
      <c r="N168" s="185">
        <f t="shared" si="74"/>
        <v>2.2391011235955056</v>
      </c>
      <c r="O168" s="175">
        <f t="shared" si="41"/>
        <v>63.69738253718009</v>
      </c>
      <c r="P168" s="186"/>
      <c r="Q168" s="187"/>
      <c r="R168" s="176">
        <f>R166*C168/C166</f>
        <v>67.236388888888882</v>
      </c>
      <c r="S168" s="217" t="e">
        <f t="shared" si="81"/>
        <v>#REF!</v>
      </c>
      <c r="T168" s="218" t="s">
        <v>151</v>
      </c>
      <c r="U168" s="230">
        <f t="shared" si="37"/>
        <v>3.5390063517087924</v>
      </c>
      <c r="V168" s="220">
        <f t="shared" si="82"/>
        <v>57.19738253718009</v>
      </c>
      <c r="W168" s="221"/>
      <c r="X168" s="226"/>
      <c r="Y168" s="226"/>
      <c r="Z168" s="180"/>
      <c r="AA168" s="180"/>
      <c r="AB168" s="180"/>
      <c r="AC168" s="180"/>
    </row>
    <row r="169" spans="1:29" ht="36.75" hidden="1" customHeight="1" x14ac:dyDescent="0.4">
      <c r="A169" s="214">
        <f t="shared" si="78"/>
        <v>45945</v>
      </c>
      <c r="B169" s="215" t="s">
        <v>155</v>
      </c>
      <c r="C169" s="227">
        <v>5275</v>
      </c>
      <c r="D169" s="210">
        <v>25</v>
      </c>
      <c r="E169" s="171">
        <v>11</v>
      </c>
      <c r="F169" s="171">
        <v>0.8</v>
      </c>
      <c r="G169" s="171">
        <v>6</v>
      </c>
      <c r="H169" s="183">
        <f t="shared" si="1"/>
        <v>0.6741573033707865</v>
      </c>
      <c r="I169" s="183">
        <f t="shared" si="2"/>
        <v>5.0561797752808983</v>
      </c>
      <c r="J169" s="216" t="str">
        <f t="shared" si="73"/>
        <v>HBA II</v>
      </c>
      <c r="K169" s="172">
        <f t="shared" si="79"/>
        <v>43.71</v>
      </c>
      <c r="L169" s="183">
        <f t="shared" si="4"/>
        <v>65.625462511432318</v>
      </c>
      <c r="M169" s="184" t="str">
        <f t="shared" si="5"/>
        <v/>
      </c>
      <c r="N169" s="185">
        <f t="shared" si="74"/>
        <v>2.2391011235955056</v>
      </c>
      <c r="O169" s="175">
        <f t="shared" si="41"/>
        <v>63.386361387836814</v>
      </c>
      <c r="P169" s="186"/>
      <c r="Q169" s="187"/>
      <c r="R169" s="176">
        <f>R166*C169/C166</f>
        <v>66.919236111111104</v>
      </c>
      <c r="S169" s="217" t="e">
        <f t="shared" si="81"/>
        <v>#REF!</v>
      </c>
      <c r="T169" s="218" t="s">
        <v>151</v>
      </c>
      <c r="U169" s="230">
        <f t="shared" si="37"/>
        <v>3.5328747232742899</v>
      </c>
      <c r="V169" s="220"/>
      <c r="W169" s="221"/>
      <c r="X169" s="226"/>
      <c r="Y169" s="226"/>
      <c r="Z169" s="180"/>
      <c r="AA169" s="180"/>
      <c r="AB169" s="180"/>
      <c r="AC169" s="180"/>
    </row>
    <row r="170" spans="1:29" ht="36.75" hidden="1" customHeight="1" x14ac:dyDescent="0.4">
      <c r="A170" s="214">
        <f t="shared" si="78"/>
        <v>45945</v>
      </c>
      <c r="B170" s="215" t="s">
        <v>157</v>
      </c>
      <c r="C170" s="181">
        <v>5400</v>
      </c>
      <c r="D170" s="182">
        <v>22</v>
      </c>
      <c r="E170" s="182">
        <v>14</v>
      </c>
      <c r="F170" s="208">
        <v>1</v>
      </c>
      <c r="G170" s="182">
        <v>6</v>
      </c>
      <c r="H170" s="183">
        <f t="shared" si="1"/>
        <v>0.90697674418604646</v>
      </c>
      <c r="I170" s="183">
        <f t="shared" si="2"/>
        <v>5.441860465116279</v>
      </c>
      <c r="J170" s="222" t="str">
        <f t="shared" si="73"/>
        <v>HBA I</v>
      </c>
      <c r="K170" s="172">
        <f t="shared" si="79"/>
        <v>67.760000000000005</v>
      </c>
      <c r="L170" s="183">
        <f t="shared" si="4"/>
        <v>68.441818303901158</v>
      </c>
      <c r="M170" s="184" t="str">
        <f t="shared" si="5"/>
        <v/>
      </c>
      <c r="N170" s="185">
        <f t="shared" si="74"/>
        <v>0.38865116279069739</v>
      </c>
      <c r="O170" s="175">
        <f t="shared" si="41"/>
        <v>68.053167141110464</v>
      </c>
      <c r="P170" s="186"/>
      <c r="Q170" s="187"/>
      <c r="R170" s="186">
        <f>R164</f>
        <v>68.504999999999995</v>
      </c>
      <c r="S170" s="217" t="e">
        <f>((#REF!*50%)+(#REF!*50%))+R170</f>
        <v>#REF!</v>
      </c>
      <c r="T170" s="218" t="s">
        <v>151</v>
      </c>
      <c r="U170" s="230">
        <f t="shared" si="37"/>
        <v>0.45183285888953151</v>
      </c>
      <c r="V170" s="220"/>
      <c r="W170" s="221"/>
      <c r="X170" s="226"/>
      <c r="Y170" s="226"/>
      <c r="Z170" s="180"/>
      <c r="AA170" s="180"/>
      <c r="AB170" s="180"/>
      <c r="AC170" s="180"/>
    </row>
    <row r="171" spans="1:29" ht="36.75" hidden="1" customHeight="1" x14ac:dyDescent="0.4">
      <c r="A171" s="214">
        <f t="shared" si="78"/>
        <v>45945</v>
      </c>
      <c r="B171" s="215" t="s">
        <v>158</v>
      </c>
      <c r="C171" s="181">
        <v>4200</v>
      </c>
      <c r="D171" s="182">
        <v>36</v>
      </c>
      <c r="E171" s="182">
        <v>16</v>
      </c>
      <c r="F171" s="182">
        <v>0.4</v>
      </c>
      <c r="G171" s="182">
        <v>8</v>
      </c>
      <c r="H171" s="183">
        <f t="shared" si="1"/>
        <v>0.30476190476190479</v>
      </c>
      <c r="I171" s="192">
        <f t="shared" si="2"/>
        <v>6.0952380952380949</v>
      </c>
      <c r="J171" s="216" t="str">
        <f t="shared" si="73"/>
        <v>HBA II</v>
      </c>
      <c r="K171" s="172">
        <f t="shared" si="79"/>
        <v>43.71</v>
      </c>
      <c r="L171" s="183">
        <f t="shared" si="4"/>
        <v>44.58799196985278</v>
      </c>
      <c r="M171" s="188" t="str">
        <f t="shared" si="5"/>
        <v/>
      </c>
      <c r="N171" s="185">
        <f t="shared" si="74"/>
        <v>1.177142857142857</v>
      </c>
      <c r="O171" s="175">
        <f t="shared" si="41"/>
        <v>43.410849112709926</v>
      </c>
      <c r="P171" s="193"/>
      <c r="Q171" s="191"/>
      <c r="R171" s="186">
        <f>'ICI, GNewc, Delta'!E723</f>
        <v>43.93</v>
      </c>
      <c r="S171" s="217" t="e">
        <f>#REF!+'HPB Calculation'!R171</f>
        <v>#REF!</v>
      </c>
      <c r="T171" s="218" t="s">
        <v>4</v>
      </c>
      <c r="U171" s="230">
        <f t="shared" si="37"/>
        <v>0.51915088729007408</v>
      </c>
      <c r="V171" s="220"/>
      <c r="W171" s="221"/>
      <c r="X171" s="226"/>
      <c r="Y171" s="226"/>
      <c r="Z171" s="180"/>
      <c r="AA171" s="180"/>
      <c r="AB171" s="180"/>
      <c r="AC171" s="180"/>
    </row>
    <row r="172" spans="1:29" ht="36.75" hidden="1" customHeight="1" x14ac:dyDescent="0.4">
      <c r="A172" s="214">
        <f t="shared" si="78"/>
        <v>45945</v>
      </c>
      <c r="B172" s="215" t="s">
        <v>159</v>
      </c>
      <c r="C172" s="181">
        <v>4050</v>
      </c>
      <c r="D172" s="182">
        <v>36</v>
      </c>
      <c r="E172" s="182">
        <v>16</v>
      </c>
      <c r="F172" s="182">
        <v>0.4</v>
      </c>
      <c r="G172" s="182">
        <v>8</v>
      </c>
      <c r="H172" s="183">
        <f t="shared" si="1"/>
        <v>0.30476190476190479</v>
      </c>
      <c r="I172" s="192">
        <f t="shared" si="2"/>
        <v>6.0952380952380949</v>
      </c>
      <c r="J172" s="229" t="str">
        <f t="shared" si="73"/>
        <v>HBA III</v>
      </c>
      <c r="K172" s="172">
        <f t="shared" si="79"/>
        <v>33.92</v>
      </c>
      <c r="L172" s="183">
        <f t="shared" si="4"/>
        <v>46.621372478614433</v>
      </c>
      <c r="M172" s="188">
        <f t="shared" si="5"/>
        <v>1.0042187500000002</v>
      </c>
      <c r="N172" s="185">
        <f t="shared" si="74"/>
        <v>1.1451428571428572</v>
      </c>
      <c r="O172" s="175">
        <f t="shared" si="41"/>
        <v>32.220437563870618</v>
      </c>
      <c r="P172" s="193"/>
      <c r="Q172" s="191"/>
      <c r="R172" s="186">
        <f>R171*C172/C171</f>
        <v>42.361071428571428</v>
      </c>
      <c r="S172" s="217" t="e">
        <f>#REF!+'HPB Calculation'!R172</f>
        <v>#REF!</v>
      </c>
      <c r="T172" s="218" t="s">
        <v>160</v>
      </c>
      <c r="U172" s="230">
        <f t="shared" si="37"/>
        <v>10.14063386470081</v>
      </c>
      <c r="V172" s="220"/>
      <c r="W172" s="221"/>
      <c r="X172" s="226"/>
      <c r="Y172" s="226"/>
      <c r="Z172" s="180"/>
      <c r="AA172" s="180"/>
      <c r="AB172" s="180"/>
      <c r="AC172" s="180"/>
    </row>
    <row r="173" spans="1:29" ht="36.75" hidden="1" customHeight="1" x14ac:dyDescent="0.4">
      <c r="A173" s="214">
        <f t="shared" si="78"/>
        <v>45945</v>
      </c>
      <c r="B173" s="215" t="s">
        <v>15</v>
      </c>
      <c r="C173" s="170">
        <v>3600</v>
      </c>
      <c r="D173" s="171">
        <v>40</v>
      </c>
      <c r="E173" s="171">
        <v>15</v>
      </c>
      <c r="F173" s="171">
        <v>0.6</v>
      </c>
      <c r="G173" s="171">
        <v>8</v>
      </c>
      <c r="H173" s="183">
        <f t="shared" si="1"/>
        <v>0.42352941176470588</v>
      </c>
      <c r="I173" s="192">
        <f t="shared" si="2"/>
        <v>5.6470588235294121</v>
      </c>
      <c r="J173" s="229" t="str">
        <f>IF(C173&gt;6000,"HBA 0",IF(C173&gt;5300,"HBA I",IF(C173&gt;3400,"HBA II","HBA III")))</f>
        <v>HBA II</v>
      </c>
      <c r="K173" s="172">
        <f t="shared" si="79"/>
        <v>43.71</v>
      </c>
      <c r="L173" s="183">
        <f t="shared" si="4"/>
        <v>35.82963640434599</v>
      </c>
      <c r="M173" s="200">
        <f t="shared" si="5"/>
        <v>1.0711666666666668</v>
      </c>
      <c r="N173" s="185">
        <f>IF(J173="HBA 0", (H173 - 0.66)*4 + (I173 - 7.94)*0.4, IF(J173="HBA I", (H173 - 0.75)*4 + (I173 - 6.04)*0.4, IF(J173="HBA II", ((H173 - 0.23)*4) + ((I173 - 3.9)*0.4), IF(J173="HBA III", (H173 - 0.24)*4 + (I173 - 3.88)*0.4, ""))))</f>
        <v>1.4729411764705884</v>
      </c>
      <c r="O173" s="175">
        <f t="shared" si="41"/>
        <v>51.929055444080682</v>
      </c>
      <c r="P173" s="193"/>
      <c r="Q173" s="191"/>
      <c r="R173" s="186">
        <f>'ICI, GNewc, Delta'!AF723</f>
        <v>37.6</v>
      </c>
      <c r="S173" s="217" t="e">
        <f>((#REF!*50%)+(#REF!*50%))</f>
        <v>#REF!</v>
      </c>
      <c r="T173" s="218" t="s">
        <v>25</v>
      </c>
      <c r="U173" s="230">
        <f t="shared" si="37"/>
        <v>-14.32905544408068</v>
      </c>
      <c r="V173" s="220"/>
      <c r="W173" s="221"/>
      <c r="X173" s="226"/>
      <c r="Y173" s="226"/>
      <c r="Z173" s="180"/>
      <c r="AA173" s="180"/>
      <c r="AB173" s="180"/>
      <c r="AC173" s="180"/>
    </row>
    <row r="174" spans="1:29" ht="36.75" hidden="1" customHeight="1" x14ac:dyDescent="0.4">
      <c r="A174" s="214">
        <f t="shared" si="78"/>
        <v>45945</v>
      </c>
      <c r="B174" s="257" t="s">
        <v>161</v>
      </c>
      <c r="C174" s="181">
        <v>4800</v>
      </c>
      <c r="D174" s="182">
        <v>30</v>
      </c>
      <c r="E174" s="182">
        <v>14</v>
      </c>
      <c r="F174" s="182">
        <v>0.8</v>
      </c>
      <c r="G174" s="182">
        <v>8</v>
      </c>
      <c r="H174" s="183">
        <f t="shared" si="1"/>
        <v>0.65116279069767447</v>
      </c>
      <c r="I174" s="192">
        <f t="shared" si="2"/>
        <v>6.5116279069767442</v>
      </c>
      <c r="J174" s="216" t="str">
        <f t="shared" ref="J174:J191" si="83">IF(C174&gt;6000,"HBA 0",IF(C174&gt;5300,"HBA I",IF(C174&gt;4100,"HBA II","HBA III")))</f>
        <v>HBA II</v>
      </c>
      <c r="K174" s="172">
        <f t="shared" si="79"/>
        <v>43.71</v>
      </c>
      <c r="L174" s="183">
        <f t="shared" si="4"/>
        <v>55.734989962315986</v>
      </c>
      <c r="M174" s="188" t="str">
        <f t="shared" si="5"/>
        <v/>
      </c>
      <c r="N174" s="185">
        <f t="shared" ref="N174:N191" si="84">IF(J174="HBA 0", (H174 - 0.66)*4 + (I174 - 7.94)*0.4, IF(J174="HBA I", (H174 - 0.75)*4 + (I174 - 6.04)*0.4, IF(J174="HBA II", (H174 - 0.23)*4 + (I174 - 3.9)*0.4, IF(J174="HBA III", (H174 - 0.24)*4 + (I174 - 3.88)*0.4, ""))))</f>
        <v>2.7293023255813957</v>
      </c>
      <c r="O174" s="175">
        <f t="shared" si="41"/>
        <v>53.005687636734592</v>
      </c>
      <c r="P174" s="193"/>
      <c r="Q174" s="191"/>
      <c r="R174" s="186">
        <f>'ICI, GNewc, Delta'!D723*C174/5000</f>
        <v>57.715200000000003</v>
      </c>
      <c r="S174" s="217" t="e">
        <f>(#REF!*C174/5000)+R174</f>
        <v>#REF!</v>
      </c>
      <c r="T174" s="218" t="s">
        <v>162</v>
      </c>
      <c r="U174" s="230">
        <f t="shared" si="37"/>
        <v>4.7095123632654108</v>
      </c>
      <c r="V174" s="220"/>
      <c r="W174" s="221"/>
      <c r="X174" s="221"/>
      <c r="Y174" s="221"/>
      <c r="Z174" s="180"/>
      <c r="AA174" s="180"/>
      <c r="AB174" s="180"/>
      <c r="AC174" s="180"/>
    </row>
    <row r="175" spans="1:29" ht="36.75" hidden="1" customHeight="1" x14ac:dyDescent="0.4">
      <c r="A175" s="214">
        <f t="shared" si="78"/>
        <v>45945</v>
      </c>
      <c r="B175" s="215" t="s">
        <v>166</v>
      </c>
      <c r="C175" s="181">
        <v>4200</v>
      </c>
      <c r="D175" s="182">
        <v>38</v>
      </c>
      <c r="E175" s="182">
        <v>16</v>
      </c>
      <c r="F175" s="182">
        <v>0.4</v>
      </c>
      <c r="G175" s="182">
        <v>8</v>
      </c>
      <c r="H175" s="183">
        <f t="shared" si="1"/>
        <v>0.29523809523809524</v>
      </c>
      <c r="I175" s="192">
        <f t="shared" si="2"/>
        <v>5.9047619047619051</v>
      </c>
      <c r="J175" s="216" t="str">
        <f t="shared" si="83"/>
        <v>HBA II</v>
      </c>
      <c r="K175" s="172">
        <f t="shared" si="79"/>
        <v>43.71</v>
      </c>
      <c r="L175" s="183">
        <f t="shared" si="4"/>
        <v>43.194617220794882</v>
      </c>
      <c r="M175" s="188" t="str">
        <f t="shared" si="5"/>
        <v/>
      </c>
      <c r="N175" s="185">
        <f t="shared" si="84"/>
        <v>1.0628571428571432</v>
      </c>
      <c r="O175" s="175">
        <f t="shared" si="41"/>
        <v>42.131760077937741</v>
      </c>
      <c r="P175" s="193"/>
      <c r="Q175" s="191"/>
      <c r="R175" s="258">
        <f t="shared" ref="R175:R176" si="85">O175*16200</f>
        <v>682534.51326259144</v>
      </c>
      <c r="S175" s="217" t="e">
        <f>#REF!+'HPB Calculation'!R175</f>
        <v>#REF!</v>
      </c>
      <c r="T175" s="218" t="s">
        <v>4</v>
      </c>
      <c r="U175" s="230">
        <f t="shared" si="37"/>
        <v>682492.38150251354</v>
      </c>
      <c r="V175" s="220"/>
      <c r="W175" s="221"/>
      <c r="X175" s="226"/>
      <c r="Y175" s="226"/>
      <c r="Z175" s="180"/>
      <c r="AA175" s="180"/>
      <c r="AB175" s="180"/>
      <c r="AC175" s="180"/>
    </row>
    <row r="176" spans="1:29" ht="36.75" hidden="1" customHeight="1" x14ac:dyDescent="0.4">
      <c r="A176" s="214">
        <f t="shared" si="78"/>
        <v>45945</v>
      </c>
      <c r="B176" s="215" t="s">
        <v>166</v>
      </c>
      <c r="C176" s="181">
        <v>4200</v>
      </c>
      <c r="D176" s="182">
        <v>38</v>
      </c>
      <c r="E176" s="182">
        <v>16</v>
      </c>
      <c r="F176" s="182">
        <v>0.4</v>
      </c>
      <c r="G176" s="182">
        <v>8</v>
      </c>
      <c r="H176" s="183">
        <f t="shared" si="1"/>
        <v>0.29523809523809524</v>
      </c>
      <c r="I176" s="192">
        <f t="shared" si="2"/>
        <v>5.9047619047619051</v>
      </c>
      <c r="J176" s="216" t="str">
        <f t="shared" si="83"/>
        <v>HBA II</v>
      </c>
      <c r="K176" s="172">
        <f t="shared" si="79"/>
        <v>43.71</v>
      </c>
      <c r="L176" s="183">
        <f t="shared" si="4"/>
        <v>43.194617220794882</v>
      </c>
      <c r="M176" s="188" t="str">
        <f t="shared" si="5"/>
        <v/>
      </c>
      <c r="N176" s="185">
        <f t="shared" si="84"/>
        <v>1.0628571428571432</v>
      </c>
      <c r="O176" s="175">
        <f t="shared" si="41"/>
        <v>42.131760077937741</v>
      </c>
      <c r="P176" s="193"/>
      <c r="Q176" s="191"/>
      <c r="R176" s="258">
        <f t="shared" si="85"/>
        <v>682534.51326259144</v>
      </c>
      <c r="S176" s="217" t="e">
        <f>#REF!+'HPB Calculation'!R176</f>
        <v>#REF!</v>
      </c>
      <c r="T176" s="218" t="s">
        <v>4</v>
      </c>
      <c r="U176" s="230">
        <f t="shared" si="37"/>
        <v>682492.38150251354</v>
      </c>
      <c r="V176" s="220"/>
      <c r="W176" s="221"/>
      <c r="X176" s="226"/>
      <c r="Y176" s="226"/>
      <c r="Z176" s="180"/>
      <c r="AA176" s="180"/>
      <c r="AB176" s="180"/>
      <c r="AC176" s="180"/>
    </row>
    <row r="177" spans="1:29" ht="36.75" hidden="1" customHeight="1" x14ac:dyDescent="0.4">
      <c r="A177" s="214">
        <f t="shared" si="78"/>
        <v>45945</v>
      </c>
      <c r="B177" s="288" t="s">
        <v>165</v>
      </c>
      <c r="C177" s="227">
        <v>5300</v>
      </c>
      <c r="D177" s="210">
        <v>22</v>
      </c>
      <c r="E177" s="210">
        <v>13</v>
      </c>
      <c r="F177" s="171">
        <v>0.8</v>
      </c>
      <c r="G177" s="210">
        <v>8</v>
      </c>
      <c r="H177" s="183">
        <f t="shared" si="1"/>
        <v>0.71724137931034493</v>
      </c>
      <c r="I177" s="183">
        <f t="shared" si="2"/>
        <v>7.1724137931034484</v>
      </c>
      <c r="J177" s="222" t="str">
        <f t="shared" si="83"/>
        <v>HBA II</v>
      </c>
      <c r="K177" s="172">
        <f t="shared" si="79"/>
        <v>43.71</v>
      </c>
      <c r="L177" s="183">
        <f t="shared" si="4"/>
        <v>68.573943007206623</v>
      </c>
      <c r="M177" s="184" t="str">
        <f t="shared" si="5"/>
        <v/>
      </c>
      <c r="N177" s="185">
        <f t="shared" si="84"/>
        <v>3.257931034482759</v>
      </c>
      <c r="O177" s="175">
        <f t="shared" si="41"/>
        <v>65.316011972723857</v>
      </c>
      <c r="P177" s="289">
        <v>6.5</v>
      </c>
      <c r="Q177" s="187">
        <f t="shared" ref="Q177:Q179" si="86">O177-P177</f>
        <v>58.816011972723857</v>
      </c>
      <c r="R177" s="176">
        <f>R175</f>
        <v>682534.51326259144</v>
      </c>
      <c r="S177" s="217" t="e">
        <f t="shared" ref="S177:S179" si="87">(((#REF!*50%)+(#REF!*50%))*C177/5400)+R177</f>
        <v>#REF!</v>
      </c>
      <c r="T177" s="218" t="s">
        <v>23</v>
      </c>
      <c r="U177" s="219">
        <f t="shared" si="37"/>
        <v>682469.19725061872</v>
      </c>
      <c r="V177" s="220"/>
      <c r="W177" s="221"/>
      <c r="X177" s="226"/>
      <c r="Y177" s="226"/>
      <c r="Z177" s="180"/>
      <c r="AA177" s="180"/>
      <c r="AB177" s="180"/>
      <c r="AC177" s="180"/>
    </row>
    <row r="178" spans="1:29" ht="36.75" hidden="1" customHeight="1" x14ac:dyDescent="0.4">
      <c r="A178" s="214">
        <f t="shared" si="78"/>
        <v>45945</v>
      </c>
      <c r="B178" s="288" t="s">
        <v>152</v>
      </c>
      <c r="C178" s="227">
        <v>5400</v>
      </c>
      <c r="D178" s="210">
        <v>25</v>
      </c>
      <c r="E178" s="210">
        <v>11</v>
      </c>
      <c r="F178" s="171">
        <v>0.8</v>
      </c>
      <c r="G178" s="210">
        <v>6</v>
      </c>
      <c r="H178" s="183">
        <f t="shared" si="1"/>
        <v>0.6741573033707865</v>
      </c>
      <c r="I178" s="183">
        <f t="shared" si="2"/>
        <v>5.0561797752808983</v>
      </c>
      <c r="J178" s="222" t="str">
        <f t="shared" si="83"/>
        <v>HBA I</v>
      </c>
      <c r="K178" s="172">
        <f t="shared" si="79"/>
        <v>67.760000000000005</v>
      </c>
      <c r="L178" s="183">
        <f t="shared" si="4"/>
        <v>65.809440676828032</v>
      </c>
      <c r="M178" s="184" t="str">
        <f t="shared" si="5"/>
        <v/>
      </c>
      <c r="N178" s="185">
        <f t="shared" si="84"/>
        <v>-0.69689887640449477</v>
      </c>
      <c r="O178" s="175">
        <f t="shared" si="41"/>
        <v>66.506339553232522</v>
      </c>
      <c r="P178" s="289">
        <v>6.5</v>
      </c>
      <c r="Q178" s="187">
        <f t="shared" si="86"/>
        <v>60.006339553232522</v>
      </c>
      <c r="R178" s="176">
        <f>'ICI, GNewc, Delta'!D788</f>
        <v>0</v>
      </c>
      <c r="S178" s="217" t="e">
        <f t="shared" si="87"/>
        <v>#REF!</v>
      </c>
      <c r="T178" s="218" t="s">
        <v>23</v>
      </c>
      <c r="U178" s="219">
        <f t="shared" si="37"/>
        <v>-66.506339553232522</v>
      </c>
      <c r="V178" s="220"/>
      <c r="W178" s="221"/>
      <c r="X178" s="226"/>
      <c r="Y178" s="226"/>
      <c r="Z178" s="180"/>
      <c r="AA178" s="180"/>
      <c r="AB178" s="180"/>
      <c r="AC178" s="180"/>
    </row>
    <row r="179" spans="1:29" ht="36.75" hidden="1" customHeight="1" x14ac:dyDescent="0.4">
      <c r="A179" s="214">
        <f t="shared" si="78"/>
        <v>45945</v>
      </c>
      <c r="B179" s="288" t="s">
        <v>168</v>
      </c>
      <c r="C179" s="321">
        <v>5295</v>
      </c>
      <c r="D179" s="210">
        <v>25</v>
      </c>
      <c r="E179" s="210">
        <v>11</v>
      </c>
      <c r="F179" s="171">
        <v>0.8</v>
      </c>
      <c r="G179" s="210">
        <v>6</v>
      </c>
      <c r="H179" s="183">
        <f t="shared" si="1"/>
        <v>0.6741573033707865</v>
      </c>
      <c r="I179" s="183">
        <f t="shared" si="2"/>
        <v>5.0561797752808983</v>
      </c>
      <c r="J179" s="222" t="str">
        <f t="shared" si="83"/>
        <v>HBA II</v>
      </c>
      <c r="K179" s="172">
        <f t="shared" si="79"/>
        <v>43.71</v>
      </c>
      <c r="L179" s="183">
        <f t="shared" si="4"/>
        <v>65.874279430906938</v>
      </c>
      <c r="M179" s="184" t="str">
        <f t="shared" si="5"/>
        <v/>
      </c>
      <c r="N179" s="185">
        <f t="shared" si="84"/>
        <v>2.2391011235955056</v>
      </c>
      <c r="O179" s="175">
        <f t="shared" si="41"/>
        <v>63.635178307311435</v>
      </c>
      <c r="P179" s="289">
        <v>6.5</v>
      </c>
      <c r="Q179" s="187">
        <f t="shared" si="86"/>
        <v>57.135178307311435</v>
      </c>
      <c r="R179" s="176">
        <f>'ICI, GNewc, Delta'!D789</f>
        <v>0</v>
      </c>
      <c r="S179" s="217" t="e">
        <f t="shared" si="87"/>
        <v>#REF!</v>
      </c>
      <c r="T179" s="218" t="s">
        <v>23</v>
      </c>
      <c r="U179" s="219">
        <f t="shared" si="37"/>
        <v>-63.635178307311435</v>
      </c>
      <c r="V179" s="220"/>
      <c r="W179" s="221"/>
      <c r="X179" s="226"/>
      <c r="Y179" s="226"/>
      <c r="Z179" s="180"/>
      <c r="AA179" s="180"/>
      <c r="AB179" s="180"/>
      <c r="AC179" s="180"/>
    </row>
    <row r="180" spans="1:29" ht="36.75" hidden="1" customHeight="1" x14ac:dyDescent="0.4">
      <c r="A180" s="307">
        <f t="shared" ref="A180:A199" si="88">A$42</f>
        <v>45962</v>
      </c>
      <c r="B180" s="308" t="s">
        <v>14</v>
      </c>
      <c r="C180" s="309">
        <v>5000</v>
      </c>
      <c r="D180" s="310">
        <v>28</v>
      </c>
      <c r="E180" s="310">
        <v>13</v>
      </c>
      <c r="F180" s="310">
        <v>0.8</v>
      </c>
      <c r="G180" s="310">
        <v>8</v>
      </c>
      <c r="H180" s="311">
        <f t="shared" si="1"/>
        <v>0.66206896551724137</v>
      </c>
      <c r="I180" s="311">
        <f t="shared" si="2"/>
        <v>6.6206896551724137</v>
      </c>
      <c r="J180" s="312" t="str">
        <f t="shared" si="83"/>
        <v>HBA II</v>
      </c>
      <c r="K180" s="311">
        <f t="shared" ref="K180:K182" si="89">IF(J180="", "", INDEX($B$24:$E$42, MATCH(DATE(2025,11,1), $A$24:$A$42, 0), MATCH(J180, $B$23:$E$23, 0)))</f>
        <v>44.02</v>
      </c>
      <c r="L180" s="311">
        <f t="shared" si="4"/>
        <v>60.139578834717859</v>
      </c>
      <c r="M180" s="313" t="str">
        <f t="shared" si="5"/>
        <v/>
      </c>
      <c r="N180" s="314">
        <f t="shared" si="84"/>
        <v>2.8165517241379314</v>
      </c>
      <c r="O180" s="315">
        <f t="shared" si="41"/>
        <v>57.323027110579929</v>
      </c>
      <c r="P180" s="310">
        <v>3.01</v>
      </c>
      <c r="Q180" s="316">
        <f t="shared" ref="Q180:Q182" si="90">O180+P180</f>
        <v>60.333027110579927</v>
      </c>
      <c r="R180" s="317">
        <f>'ICI, GNewc, Delta'!D726</f>
        <v>61.88</v>
      </c>
      <c r="S180" s="318" t="e">
        <f>AVERAGE(#REF!)+0.75</f>
        <v>#REF!</v>
      </c>
      <c r="T180" s="319" t="s">
        <v>3</v>
      </c>
      <c r="U180" s="320">
        <f t="shared" si="37"/>
        <v>4.5569728894200736</v>
      </c>
      <c r="V180" s="220"/>
      <c r="W180" s="221"/>
      <c r="X180" s="221"/>
      <c r="Y180" s="221"/>
      <c r="Z180" s="180"/>
      <c r="AA180" s="180"/>
      <c r="AB180" s="180"/>
      <c r="AC180" s="180"/>
    </row>
    <row r="181" spans="1:29" ht="36.75" hidden="1" customHeight="1" x14ac:dyDescent="0.4">
      <c r="A181" s="214">
        <f t="shared" si="88"/>
        <v>45962</v>
      </c>
      <c r="B181" s="215" t="s">
        <v>150</v>
      </c>
      <c r="C181" s="181">
        <v>5400</v>
      </c>
      <c r="D181" s="182">
        <v>19</v>
      </c>
      <c r="E181" s="182">
        <v>14</v>
      </c>
      <c r="F181" s="182">
        <v>0.2</v>
      </c>
      <c r="G181" s="182">
        <v>6</v>
      </c>
      <c r="H181" s="183">
        <f t="shared" si="1"/>
        <v>0.18837209302325583</v>
      </c>
      <c r="I181" s="192">
        <f t="shared" si="2"/>
        <v>5.6511627906976747</v>
      </c>
      <c r="J181" s="222" t="str">
        <f t="shared" si="83"/>
        <v>HBA I</v>
      </c>
      <c r="K181" s="172">
        <f t="shared" si="89"/>
        <v>67.22</v>
      </c>
      <c r="L181" s="183">
        <f t="shared" si="4"/>
        <v>70.507784097994261</v>
      </c>
      <c r="M181" s="188" t="str">
        <f t="shared" si="5"/>
        <v/>
      </c>
      <c r="N181" s="185">
        <f t="shared" si="84"/>
        <v>-2.4020465116279066</v>
      </c>
      <c r="O181" s="175">
        <f t="shared" si="41"/>
        <v>72.909830609622162</v>
      </c>
      <c r="P181" s="193">
        <v>-7.12</v>
      </c>
      <c r="Q181" s="191">
        <f t="shared" si="90"/>
        <v>65.789830609622157</v>
      </c>
      <c r="R181" s="186">
        <f>('ICI, GNewc, Delta'!C726+'ICI, GNewc, Delta'!D726)/2</f>
        <v>70.275000000000006</v>
      </c>
      <c r="S181" s="223"/>
      <c r="T181" s="218" t="s">
        <v>23</v>
      </c>
      <c r="U181" s="230">
        <f t="shared" si="37"/>
        <v>-2.6348306096221563</v>
      </c>
      <c r="V181" s="224"/>
      <c r="W181" s="225"/>
      <c r="X181" s="225"/>
      <c r="Y181" s="226"/>
      <c r="Z181" s="180"/>
      <c r="AA181" s="180"/>
      <c r="AB181" s="180"/>
      <c r="AC181" s="180"/>
    </row>
    <row r="182" spans="1:29" ht="36.75" hidden="1" customHeight="1" x14ac:dyDescent="0.4">
      <c r="A182" s="214">
        <f t="shared" si="88"/>
        <v>45962</v>
      </c>
      <c r="B182" s="215" t="s">
        <v>150</v>
      </c>
      <c r="C182" s="181">
        <v>5250</v>
      </c>
      <c r="D182" s="182">
        <v>19</v>
      </c>
      <c r="E182" s="182">
        <v>14</v>
      </c>
      <c r="F182" s="182">
        <v>0.2</v>
      </c>
      <c r="G182" s="182">
        <v>6</v>
      </c>
      <c r="H182" s="183">
        <f t="shared" si="1"/>
        <v>0.18837209302325583</v>
      </c>
      <c r="I182" s="192">
        <f t="shared" si="2"/>
        <v>5.6511627906976747</v>
      </c>
      <c r="J182" s="216" t="str">
        <f t="shared" si="83"/>
        <v>HBA II</v>
      </c>
      <c r="K182" s="172">
        <f t="shared" si="89"/>
        <v>44.02</v>
      </c>
      <c r="L182" s="183">
        <f t="shared" si="4"/>
        <v>71.039877498510464</v>
      </c>
      <c r="M182" s="188" t="str">
        <f t="shared" si="5"/>
        <v/>
      </c>
      <c r="N182" s="185">
        <f t="shared" si="84"/>
        <v>0.53395348837209322</v>
      </c>
      <c r="O182" s="175">
        <f t="shared" si="41"/>
        <v>70.505924010138372</v>
      </c>
      <c r="P182" s="193">
        <v>-7.12</v>
      </c>
      <c r="Q182" s="191">
        <f t="shared" si="90"/>
        <v>63.385924010138375</v>
      </c>
      <c r="R182" s="186">
        <f>R181*C182/C181</f>
        <v>68.322916666666671</v>
      </c>
      <c r="S182" s="223"/>
      <c r="T182" s="218" t="s">
        <v>151</v>
      </c>
      <c r="U182" s="230">
        <f t="shared" si="37"/>
        <v>-2.1830073434717008</v>
      </c>
      <c r="V182" s="224"/>
      <c r="W182" s="225"/>
      <c r="X182" s="225"/>
      <c r="Y182" s="226"/>
      <c r="Z182" s="180"/>
      <c r="AA182" s="180"/>
      <c r="AB182" s="180"/>
      <c r="AC182" s="180"/>
    </row>
    <row r="183" spans="1:29" ht="36.75" hidden="1" customHeight="1" x14ac:dyDescent="0.4">
      <c r="A183" s="214">
        <f t="shared" si="88"/>
        <v>45962</v>
      </c>
      <c r="B183" s="215" t="s">
        <v>164</v>
      </c>
      <c r="C183" s="227">
        <v>5305</v>
      </c>
      <c r="D183" s="210">
        <v>25</v>
      </c>
      <c r="E183" s="171">
        <v>11</v>
      </c>
      <c r="F183" s="171">
        <v>0.8</v>
      </c>
      <c r="G183" s="171">
        <v>6</v>
      </c>
      <c r="H183" s="183">
        <f t="shared" si="1"/>
        <v>0.6741573033707865</v>
      </c>
      <c r="I183" s="183">
        <f t="shared" si="2"/>
        <v>5.0561797752808983</v>
      </c>
      <c r="J183" s="222" t="str">
        <f t="shared" si="83"/>
        <v>HBA I</v>
      </c>
      <c r="K183" s="172">
        <f t="array" ref="K183">IF(J183="", "", INDEX($B$24:$E$42, MATCH(DATE(2025,8,1), $A$24:$A$42, 0), MATCH(J183, $B$23:$E$23, 0)))</f>
        <v>67.33</v>
      </c>
      <c r="L183" s="183">
        <f t="shared" si="4"/>
        <v>64.241407156765874</v>
      </c>
      <c r="M183" s="184" t="str">
        <f t="shared" si="5"/>
        <v/>
      </c>
      <c r="N183" s="185">
        <f t="shared" si="84"/>
        <v>-0.69689887640449477</v>
      </c>
      <c r="O183" s="175">
        <f t="shared" si="41"/>
        <v>64.938306033170363</v>
      </c>
      <c r="P183" s="186"/>
      <c r="Q183" s="187"/>
      <c r="R183" s="176">
        <f>R181</f>
        <v>70.275000000000006</v>
      </c>
      <c r="S183" s="217" t="e">
        <f t="shared" ref="S183:S188" si="91">(((#REF!*50%)+(#REF!*50%))*C183/5400)+R183</f>
        <v>#REF!</v>
      </c>
      <c r="T183" s="218" t="s">
        <v>23</v>
      </c>
      <c r="U183" s="230">
        <f t="shared" si="37"/>
        <v>5.3366939668296425</v>
      </c>
      <c r="V183" s="220">
        <f t="shared" ref="V183:V184" si="92">O183-6.5</f>
        <v>58.438306033170363</v>
      </c>
      <c r="W183" s="221"/>
      <c r="X183" s="226"/>
      <c r="Y183" s="226"/>
      <c r="Z183" s="180"/>
      <c r="AA183" s="180"/>
      <c r="AB183" s="180"/>
      <c r="AC183" s="180"/>
    </row>
    <row r="184" spans="1:29" ht="36.75" hidden="1" customHeight="1" x14ac:dyDescent="0.4">
      <c r="A184" s="214">
        <f t="shared" si="88"/>
        <v>45962</v>
      </c>
      <c r="B184" s="215" t="s">
        <v>164</v>
      </c>
      <c r="C184" s="227">
        <v>5305</v>
      </c>
      <c r="D184" s="210">
        <v>25</v>
      </c>
      <c r="E184" s="171">
        <v>11</v>
      </c>
      <c r="F184" s="171">
        <v>0.8</v>
      </c>
      <c r="G184" s="171">
        <v>6</v>
      </c>
      <c r="H184" s="183">
        <f t="shared" si="1"/>
        <v>0.6741573033707865</v>
      </c>
      <c r="I184" s="183">
        <f t="shared" si="2"/>
        <v>5.0561797752808983</v>
      </c>
      <c r="J184" s="222" t="str">
        <f t="shared" si="83"/>
        <v>HBA I</v>
      </c>
      <c r="K184" s="172">
        <f t="shared" ref="K184:K185" si="93">IF(J184="", "", INDEX($B$24:$E$42, MATCH(DATE(2025,11,1), $A$24:$A$42, 0), MATCH(J184, $B$23:$E$23, 0)))</f>
        <v>67.22</v>
      </c>
      <c r="L184" s="183">
        <f t="shared" si="4"/>
        <v>64.136453127547924</v>
      </c>
      <c r="M184" s="184" t="str">
        <f t="shared" si="5"/>
        <v/>
      </c>
      <c r="N184" s="185">
        <f t="shared" si="84"/>
        <v>-0.69689887640449477</v>
      </c>
      <c r="O184" s="175">
        <f t="shared" si="41"/>
        <v>64.833352003952413</v>
      </c>
      <c r="P184" s="186"/>
      <c r="Q184" s="187"/>
      <c r="R184" s="176">
        <f t="shared" ref="R184:R185" si="94">R183*C184/C183</f>
        <v>70.275000000000006</v>
      </c>
      <c r="S184" s="217" t="e">
        <f t="shared" si="91"/>
        <v>#REF!</v>
      </c>
      <c r="T184" s="218" t="s">
        <v>151</v>
      </c>
      <c r="U184" s="230">
        <f t="shared" si="37"/>
        <v>5.4416479960475925</v>
      </c>
      <c r="V184" s="220">
        <f t="shared" si="92"/>
        <v>58.333352003952413</v>
      </c>
      <c r="W184" s="221"/>
      <c r="X184" s="226"/>
      <c r="Y184" s="226"/>
      <c r="Z184" s="180"/>
      <c r="AA184" s="180"/>
      <c r="AB184" s="180"/>
      <c r="AC184" s="180"/>
    </row>
    <row r="185" spans="1:29" ht="36.75" hidden="1" customHeight="1" x14ac:dyDescent="0.4">
      <c r="A185" s="214">
        <f t="shared" si="88"/>
        <v>45962</v>
      </c>
      <c r="B185" s="215" t="s">
        <v>169</v>
      </c>
      <c r="C185" s="227">
        <v>5305</v>
      </c>
      <c r="D185" s="210">
        <v>25</v>
      </c>
      <c r="E185" s="171">
        <v>11</v>
      </c>
      <c r="F185" s="171">
        <v>0.8</v>
      </c>
      <c r="G185" s="171">
        <v>6</v>
      </c>
      <c r="H185" s="183">
        <f t="shared" si="1"/>
        <v>0.6741573033707865</v>
      </c>
      <c r="I185" s="183">
        <f t="shared" si="2"/>
        <v>5.0561797752808983</v>
      </c>
      <c r="J185" s="222" t="str">
        <f t="shared" si="83"/>
        <v>HBA I</v>
      </c>
      <c r="K185" s="172">
        <f t="shared" si="93"/>
        <v>67.22</v>
      </c>
      <c r="L185" s="183">
        <f t="shared" si="4"/>
        <v>64.136453127547924</v>
      </c>
      <c r="M185" s="184" t="str">
        <f t="shared" si="5"/>
        <v/>
      </c>
      <c r="N185" s="185">
        <f t="shared" si="84"/>
        <v>-0.69689887640449477</v>
      </c>
      <c r="O185" s="175">
        <f t="shared" si="41"/>
        <v>64.833352003952413</v>
      </c>
      <c r="P185" s="186"/>
      <c r="Q185" s="187"/>
      <c r="R185" s="176">
        <f t="shared" si="94"/>
        <v>70.275000000000006</v>
      </c>
      <c r="S185" s="217" t="e">
        <f t="shared" si="91"/>
        <v>#REF!</v>
      </c>
      <c r="T185" s="218" t="s">
        <v>151</v>
      </c>
      <c r="U185" s="230">
        <f t="shared" si="37"/>
        <v>5.4416479960475925</v>
      </c>
      <c r="V185" s="220"/>
      <c r="W185" s="221"/>
      <c r="X185" s="226"/>
      <c r="Y185" s="226"/>
      <c r="Z185" s="180"/>
      <c r="AA185" s="180"/>
      <c r="AB185" s="180"/>
      <c r="AC185" s="180"/>
    </row>
    <row r="186" spans="1:29" ht="36.75" hidden="1" customHeight="1" x14ac:dyDescent="0.4">
      <c r="A186" s="214">
        <f t="shared" si="88"/>
        <v>45962</v>
      </c>
      <c r="B186" s="215" t="s">
        <v>155</v>
      </c>
      <c r="C186" s="227">
        <v>5275</v>
      </c>
      <c r="D186" s="210">
        <v>25</v>
      </c>
      <c r="E186" s="171">
        <v>11</v>
      </c>
      <c r="F186" s="171">
        <v>0.8</v>
      </c>
      <c r="G186" s="171">
        <v>6</v>
      </c>
      <c r="H186" s="183">
        <f t="shared" si="1"/>
        <v>0.6741573033707865</v>
      </c>
      <c r="I186" s="183">
        <f t="shared" si="2"/>
        <v>5.0561797752808983</v>
      </c>
      <c r="J186" s="216" t="str">
        <f t="shared" si="83"/>
        <v>HBA II</v>
      </c>
      <c r="K186" s="172">
        <f t="array" ref="K186">IF(J186="", "", INDEX($B$24:$E$42, MATCH(DATE(2025,8,1), $A$24:$A$42, 0), MATCH(J186, $B$23:$E$23, 0)))</f>
        <v>45.74</v>
      </c>
      <c r="L186" s="183">
        <f t="shared" si="4"/>
        <v>68.67327053930255</v>
      </c>
      <c r="M186" s="184" t="str">
        <f t="shared" si="5"/>
        <v/>
      </c>
      <c r="N186" s="185">
        <f t="shared" si="84"/>
        <v>2.2391011235955056</v>
      </c>
      <c r="O186" s="175">
        <f t="shared" si="41"/>
        <v>66.434169415707046</v>
      </c>
      <c r="P186" s="186"/>
      <c r="Q186" s="187"/>
      <c r="R186" s="176">
        <f>R183*C186/C183</f>
        <v>69.87759189443922</v>
      </c>
      <c r="S186" s="217" t="e">
        <f t="shared" si="91"/>
        <v>#REF!</v>
      </c>
      <c r="T186" s="218" t="s">
        <v>151</v>
      </c>
      <c r="U186" s="230">
        <f t="shared" si="37"/>
        <v>3.4434224787321739</v>
      </c>
      <c r="V186" s="220">
        <f>O186-6.5</f>
        <v>59.934169415707046</v>
      </c>
      <c r="W186" s="221"/>
      <c r="X186" s="226"/>
      <c r="Y186" s="226"/>
      <c r="Z186" s="180"/>
      <c r="AA186" s="180"/>
      <c r="AB186" s="180"/>
      <c r="AC186" s="180"/>
    </row>
    <row r="187" spans="1:29" ht="36.75" hidden="1" customHeight="1" x14ac:dyDescent="0.4">
      <c r="A187" s="214">
        <f t="shared" si="88"/>
        <v>45962</v>
      </c>
      <c r="B187" s="215" t="s">
        <v>155</v>
      </c>
      <c r="C187" s="227">
        <v>5275</v>
      </c>
      <c r="D187" s="210">
        <v>25</v>
      </c>
      <c r="E187" s="171">
        <v>11</v>
      </c>
      <c r="F187" s="171">
        <v>0.8</v>
      </c>
      <c r="G187" s="171">
        <v>6</v>
      </c>
      <c r="H187" s="183">
        <f t="shared" si="1"/>
        <v>0.6741573033707865</v>
      </c>
      <c r="I187" s="183">
        <f t="shared" si="2"/>
        <v>5.0561797752808983</v>
      </c>
      <c r="J187" s="216" t="str">
        <f t="shared" si="83"/>
        <v>HBA II</v>
      </c>
      <c r="K187" s="172">
        <f t="shared" ref="K187:K197" si="95">IF(J187="", "", INDEX($B$24:$E$42, MATCH(DATE(2025,11,1), $A$24:$A$42, 0), MATCH(J187, $B$23:$E$23, 0)))</f>
        <v>44.02</v>
      </c>
      <c r="L187" s="183">
        <f t="shared" si="4"/>
        <v>66.090891323570148</v>
      </c>
      <c r="M187" s="184" t="str">
        <f t="shared" si="5"/>
        <v/>
      </c>
      <c r="N187" s="185">
        <f t="shared" si="84"/>
        <v>2.2391011235955056</v>
      </c>
      <c r="O187" s="175">
        <f t="shared" si="41"/>
        <v>63.851790199974644</v>
      </c>
      <c r="P187" s="186"/>
      <c r="Q187" s="187"/>
      <c r="R187" s="176">
        <f t="shared" ref="R187:R188" si="96">R183*C187/C183</f>
        <v>69.87759189443922</v>
      </c>
      <c r="S187" s="217" t="e">
        <f t="shared" si="91"/>
        <v>#REF!</v>
      </c>
      <c r="T187" s="218" t="s">
        <v>151</v>
      </c>
      <c r="U187" s="230">
        <f t="shared" si="37"/>
        <v>6.025801694464576</v>
      </c>
      <c r="V187" s="220"/>
      <c r="W187" s="221"/>
      <c r="X187" s="226"/>
      <c r="Y187" s="226"/>
      <c r="Z187" s="180"/>
      <c r="AA187" s="180"/>
      <c r="AB187" s="180"/>
      <c r="AC187" s="180"/>
    </row>
    <row r="188" spans="1:29" ht="36" hidden="1" customHeight="1" x14ac:dyDescent="0.4">
      <c r="A188" s="214">
        <f t="shared" si="88"/>
        <v>45962</v>
      </c>
      <c r="B188" s="215" t="s">
        <v>170</v>
      </c>
      <c r="C188" s="227">
        <v>5275</v>
      </c>
      <c r="D188" s="210">
        <v>25</v>
      </c>
      <c r="E188" s="171">
        <v>11</v>
      </c>
      <c r="F188" s="171">
        <v>0.8</v>
      </c>
      <c r="G188" s="171">
        <v>6</v>
      </c>
      <c r="H188" s="183">
        <f t="shared" si="1"/>
        <v>0.6741573033707865</v>
      </c>
      <c r="I188" s="183">
        <f t="shared" si="2"/>
        <v>5.0561797752808983</v>
      </c>
      <c r="J188" s="216" t="str">
        <f t="shared" si="83"/>
        <v>HBA II</v>
      </c>
      <c r="K188" s="172">
        <f t="shared" si="95"/>
        <v>44.02</v>
      </c>
      <c r="L188" s="183">
        <f t="shared" si="4"/>
        <v>66.090891323570148</v>
      </c>
      <c r="M188" s="184" t="str">
        <f t="shared" si="5"/>
        <v/>
      </c>
      <c r="N188" s="185">
        <f t="shared" si="84"/>
        <v>2.2391011235955056</v>
      </c>
      <c r="O188" s="175">
        <f t="shared" si="41"/>
        <v>63.851790199974644</v>
      </c>
      <c r="P188" s="186"/>
      <c r="Q188" s="187"/>
      <c r="R188" s="176">
        <f t="shared" si="96"/>
        <v>69.87759189443922</v>
      </c>
      <c r="S188" s="217" t="e">
        <f t="shared" si="91"/>
        <v>#REF!</v>
      </c>
      <c r="T188" s="218" t="s">
        <v>151</v>
      </c>
      <c r="U188" s="230">
        <f t="shared" si="37"/>
        <v>6.025801694464576</v>
      </c>
      <c r="V188" s="220"/>
      <c r="W188" s="221"/>
      <c r="X188" s="226"/>
      <c r="Y188" s="226"/>
      <c r="Z188" s="180"/>
      <c r="AA188" s="180"/>
      <c r="AB188" s="180"/>
      <c r="AC188" s="180"/>
    </row>
    <row r="189" spans="1:29" ht="36.75" hidden="1" customHeight="1" x14ac:dyDescent="0.4">
      <c r="A189" s="214">
        <f t="shared" si="88"/>
        <v>45962</v>
      </c>
      <c r="B189" s="215" t="s">
        <v>157</v>
      </c>
      <c r="C189" s="181">
        <v>5400</v>
      </c>
      <c r="D189" s="182">
        <v>22</v>
      </c>
      <c r="E189" s="182">
        <v>14</v>
      </c>
      <c r="F189" s="208">
        <v>1</v>
      </c>
      <c r="G189" s="182">
        <v>6</v>
      </c>
      <c r="H189" s="183">
        <f t="shared" si="1"/>
        <v>0.90697674418604646</v>
      </c>
      <c r="I189" s="183">
        <f t="shared" si="2"/>
        <v>5.441860465116279</v>
      </c>
      <c r="J189" s="222" t="str">
        <f t="shared" si="83"/>
        <v>HBA I</v>
      </c>
      <c r="K189" s="172">
        <f t="shared" si="95"/>
        <v>67.22</v>
      </c>
      <c r="L189" s="183">
        <f t="shared" si="4"/>
        <v>67.896384686957433</v>
      </c>
      <c r="M189" s="184" t="str">
        <f t="shared" si="5"/>
        <v/>
      </c>
      <c r="N189" s="185">
        <f t="shared" si="84"/>
        <v>0.38865116279069739</v>
      </c>
      <c r="O189" s="175">
        <f t="shared" si="41"/>
        <v>67.507733524166738</v>
      </c>
      <c r="P189" s="186"/>
      <c r="Q189" s="187"/>
      <c r="R189" s="186">
        <f>R181</f>
        <v>70.275000000000006</v>
      </c>
      <c r="S189" s="217" t="e">
        <f>((#REF!*50%)+(#REF!*50%))+R189</f>
        <v>#REF!</v>
      </c>
      <c r="T189" s="218" t="s">
        <v>151</v>
      </c>
      <c r="U189" s="230">
        <f t="shared" si="37"/>
        <v>2.7672664758332672</v>
      </c>
      <c r="V189" s="220"/>
      <c r="W189" s="221"/>
      <c r="X189" s="226"/>
      <c r="Y189" s="226"/>
      <c r="Z189" s="180"/>
      <c r="AA189" s="180"/>
      <c r="AB189" s="180"/>
      <c r="AC189" s="180"/>
    </row>
    <row r="190" spans="1:29" ht="36.75" hidden="1" customHeight="1" x14ac:dyDescent="0.4">
      <c r="A190" s="214">
        <f t="shared" si="88"/>
        <v>45962</v>
      </c>
      <c r="B190" s="215" t="s">
        <v>158</v>
      </c>
      <c r="C190" s="181">
        <v>4200</v>
      </c>
      <c r="D190" s="182">
        <v>36</v>
      </c>
      <c r="E190" s="182">
        <v>16</v>
      </c>
      <c r="F190" s="182">
        <v>0.4</v>
      </c>
      <c r="G190" s="182">
        <v>8</v>
      </c>
      <c r="H190" s="183">
        <f t="shared" si="1"/>
        <v>0.30476190476190479</v>
      </c>
      <c r="I190" s="192">
        <f t="shared" si="2"/>
        <v>6.0952380952380949</v>
      </c>
      <c r="J190" s="216" t="str">
        <f t="shared" si="83"/>
        <v>HBA II</v>
      </c>
      <c r="K190" s="172">
        <f t="shared" si="95"/>
        <v>44.02</v>
      </c>
      <c r="L190" s="183">
        <f t="shared" si="4"/>
        <v>44.904218863255998</v>
      </c>
      <c r="M190" s="188" t="str">
        <f t="shared" si="5"/>
        <v/>
      </c>
      <c r="N190" s="185">
        <f t="shared" si="84"/>
        <v>1.177142857142857</v>
      </c>
      <c r="O190" s="175">
        <f t="shared" si="41"/>
        <v>43.727076006113144</v>
      </c>
      <c r="P190" s="193"/>
      <c r="Q190" s="191"/>
      <c r="R190" s="186">
        <f>'ICI, GNewc, Delta'!E726</f>
        <v>45.59</v>
      </c>
      <c r="S190" s="217" t="e">
        <f>#REF!+'HPB Calculation'!R190</f>
        <v>#REF!</v>
      </c>
      <c r="T190" s="218" t="s">
        <v>4</v>
      </c>
      <c r="U190" s="230">
        <f t="shared" si="37"/>
        <v>1.8629239938868594</v>
      </c>
      <c r="V190" s="220"/>
      <c r="W190" s="221"/>
      <c r="X190" s="226"/>
      <c r="Y190" s="226"/>
      <c r="Z190" s="180"/>
      <c r="AA190" s="180"/>
      <c r="AB190" s="180"/>
      <c r="AC190" s="180"/>
    </row>
    <row r="191" spans="1:29" ht="36.75" hidden="1" customHeight="1" x14ac:dyDescent="0.4">
      <c r="A191" s="214">
        <f t="shared" si="88"/>
        <v>45962</v>
      </c>
      <c r="B191" s="215" t="s">
        <v>159</v>
      </c>
      <c r="C191" s="181">
        <v>4050</v>
      </c>
      <c r="D191" s="182">
        <v>36</v>
      </c>
      <c r="E191" s="182">
        <v>16</v>
      </c>
      <c r="F191" s="182">
        <v>0.4</v>
      </c>
      <c r="G191" s="182">
        <v>8</v>
      </c>
      <c r="H191" s="183">
        <f t="shared" si="1"/>
        <v>0.30476190476190479</v>
      </c>
      <c r="I191" s="192">
        <f t="shared" si="2"/>
        <v>6.0952380952380949</v>
      </c>
      <c r="J191" s="229" t="str">
        <f t="shared" si="83"/>
        <v>HBA III</v>
      </c>
      <c r="K191" s="172">
        <f t="shared" si="95"/>
        <v>33.74</v>
      </c>
      <c r="L191" s="183">
        <f t="shared" si="4"/>
        <v>46.373971327489706</v>
      </c>
      <c r="M191" s="188">
        <f t="shared" si="5"/>
        <v>1.0042187500000002</v>
      </c>
      <c r="N191" s="185">
        <f t="shared" si="84"/>
        <v>1.1451428571428572</v>
      </c>
      <c r="O191" s="175">
        <f t="shared" si="41"/>
        <v>32.043379648900618</v>
      </c>
      <c r="P191" s="193"/>
      <c r="Q191" s="191"/>
      <c r="R191" s="186">
        <f>R190*C191/C190</f>
        <v>43.961785714285718</v>
      </c>
      <c r="S191" s="217" t="e">
        <f>#REF!+'HPB Calculation'!R191</f>
        <v>#REF!</v>
      </c>
      <c r="T191" s="218" t="s">
        <v>160</v>
      </c>
      <c r="U191" s="230">
        <f t="shared" si="37"/>
        <v>11.918406065385099</v>
      </c>
      <c r="V191" s="220"/>
      <c r="W191" s="221"/>
      <c r="X191" s="226"/>
      <c r="Y191" s="226"/>
      <c r="Z191" s="180"/>
      <c r="AA191" s="180"/>
      <c r="AB191" s="180"/>
      <c r="AC191" s="180"/>
    </row>
    <row r="192" spans="1:29" ht="36.75" hidden="1" customHeight="1" x14ac:dyDescent="0.4">
      <c r="A192" s="214">
        <f t="shared" si="88"/>
        <v>45962</v>
      </c>
      <c r="B192" s="215" t="s">
        <v>15</v>
      </c>
      <c r="C192" s="170">
        <v>3600</v>
      </c>
      <c r="D192" s="171">
        <v>40</v>
      </c>
      <c r="E192" s="171">
        <v>15</v>
      </c>
      <c r="F192" s="171">
        <v>0.6</v>
      </c>
      <c r="G192" s="171">
        <v>8</v>
      </c>
      <c r="H192" s="183">
        <f t="shared" si="1"/>
        <v>0.42352941176470588</v>
      </c>
      <c r="I192" s="192">
        <f t="shared" si="2"/>
        <v>5.6470588235294121</v>
      </c>
      <c r="J192" s="229" t="str">
        <f>IF(C192&gt;6000,"HBA 0",IF(C192&gt;5300,"HBA I",IF(C192&gt;3400,"HBA II","HBA III")))</f>
        <v>HBA II</v>
      </c>
      <c r="K192" s="172">
        <f t="shared" si="95"/>
        <v>44.02</v>
      </c>
      <c r="L192" s="183">
        <f t="shared" si="4"/>
        <v>36.083747300830709</v>
      </c>
      <c r="M192" s="200">
        <f t="shared" si="5"/>
        <v>1.0711666666666668</v>
      </c>
      <c r="N192" s="185">
        <f>IF(J192="HBA 0", (H192 - 0.66)*4 + (I192 - 7.94)*0.4, IF(J192="HBA I", (H192 - 0.75)*4 + (I192 - 6.04)*0.4, IF(J192="HBA II", ((H192 - 0.23)*4) + ((I192 - 3.9)*0.4), IF(J192="HBA III", (H192 - 0.24)*4 + (I192 - 3.88)*0.4, ""))))</f>
        <v>1.4729411764705884</v>
      </c>
      <c r="O192" s="175">
        <f t="shared" si="41"/>
        <v>52.307793008765444</v>
      </c>
      <c r="P192" s="193"/>
      <c r="Q192" s="191"/>
      <c r="R192" s="186">
        <f>'ICI, GNewc, Delta'!AF726</f>
        <v>38.785000000000004</v>
      </c>
      <c r="S192" s="217" t="e">
        <f>((#REF!*50%)+(#REF!*50%))</f>
        <v>#REF!</v>
      </c>
      <c r="T192" s="218" t="s">
        <v>25</v>
      </c>
      <c r="U192" s="230">
        <f t="shared" si="37"/>
        <v>-13.52279300876544</v>
      </c>
      <c r="V192" s="220"/>
      <c r="W192" s="221"/>
      <c r="X192" s="226"/>
      <c r="Y192" s="226"/>
      <c r="Z192" s="180"/>
      <c r="AA192" s="180"/>
      <c r="AB192" s="180"/>
      <c r="AC192" s="180"/>
    </row>
    <row r="193" spans="1:29" ht="36.75" hidden="1" customHeight="1" x14ac:dyDescent="0.4">
      <c r="A193" s="214">
        <f t="shared" si="88"/>
        <v>45962</v>
      </c>
      <c r="B193" s="257" t="s">
        <v>161</v>
      </c>
      <c r="C193" s="181">
        <v>4800</v>
      </c>
      <c r="D193" s="182">
        <v>30</v>
      </c>
      <c r="E193" s="182">
        <v>14</v>
      </c>
      <c r="F193" s="182">
        <v>0.8</v>
      </c>
      <c r="G193" s="182">
        <v>8</v>
      </c>
      <c r="H193" s="183">
        <f t="shared" si="1"/>
        <v>0.65116279069767447</v>
      </c>
      <c r="I193" s="192">
        <f t="shared" si="2"/>
        <v>6.5116279069767442</v>
      </c>
      <c r="J193" s="216" t="str">
        <f t="shared" ref="J193:J215" si="97">IF(C193&gt;6000,"HBA 0",IF(C193&gt;5300,"HBA I",IF(C193&gt;4100,"HBA II","HBA III")))</f>
        <v>HBA II</v>
      </c>
      <c r="K193" s="172">
        <f t="shared" si="95"/>
        <v>44.02</v>
      </c>
      <c r="L193" s="183">
        <f t="shared" si="4"/>
        <v>56.130273579070007</v>
      </c>
      <c r="M193" s="188" t="str">
        <f t="shared" si="5"/>
        <v/>
      </c>
      <c r="N193" s="185">
        <f t="shared" ref="N193:N215" si="98">IF(J193="HBA 0", (H193 - 0.66)*4 + (I193 - 7.94)*0.4, IF(J193="HBA I", (H193 - 0.75)*4 + (I193 - 6.04)*0.4, IF(J193="HBA II", (H193 - 0.23)*4 + (I193 - 3.9)*0.4, IF(J193="HBA III", (H193 - 0.24)*4 + (I193 - 3.88)*0.4, ""))))</f>
        <v>2.7293023255813957</v>
      </c>
      <c r="O193" s="175">
        <f t="shared" si="41"/>
        <v>53.400971253488613</v>
      </c>
      <c r="P193" s="193"/>
      <c r="Q193" s="191"/>
      <c r="R193" s="186">
        <f>'ICI, GNewc, Delta'!D726*C193/5000</f>
        <v>59.404800000000002</v>
      </c>
      <c r="S193" s="217" t="e">
        <f>(#REF!*C193/5000)+R193</f>
        <v>#REF!</v>
      </c>
      <c r="T193" s="218" t="s">
        <v>162</v>
      </c>
      <c r="U193" s="230">
        <f t="shared" si="37"/>
        <v>6.0038287465113882</v>
      </c>
      <c r="V193" s="220"/>
      <c r="W193" s="221"/>
      <c r="X193" s="221"/>
      <c r="Y193" s="221"/>
      <c r="Z193" s="180"/>
      <c r="AA193" s="180"/>
      <c r="AB193" s="180"/>
      <c r="AC193" s="180"/>
    </row>
    <row r="194" spans="1:29" ht="36.75" hidden="1" customHeight="1" x14ac:dyDescent="0.4">
      <c r="A194" s="214">
        <f t="shared" si="88"/>
        <v>45962</v>
      </c>
      <c r="B194" s="215" t="s">
        <v>166</v>
      </c>
      <c r="C194" s="181">
        <v>4200</v>
      </c>
      <c r="D194" s="182">
        <v>38</v>
      </c>
      <c r="E194" s="182">
        <v>16</v>
      </c>
      <c r="F194" s="182">
        <v>0.4</v>
      </c>
      <c r="G194" s="182">
        <v>8</v>
      </c>
      <c r="H194" s="183">
        <f t="shared" si="1"/>
        <v>0.29523809523809524</v>
      </c>
      <c r="I194" s="192">
        <f t="shared" si="2"/>
        <v>5.9047619047619051</v>
      </c>
      <c r="J194" s="216" t="str">
        <f t="shared" si="97"/>
        <v>HBA II</v>
      </c>
      <c r="K194" s="172">
        <f t="shared" si="95"/>
        <v>44.02</v>
      </c>
      <c r="L194" s="183">
        <f t="shared" si="4"/>
        <v>43.500962023779245</v>
      </c>
      <c r="M194" s="188" t="str">
        <f t="shared" si="5"/>
        <v/>
      </c>
      <c r="N194" s="185">
        <f t="shared" si="98"/>
        <v>1.0628571428571432</v>
      </c>
      <c r="O194" s="175">
        <f t="shared" si="41"/>
        <v>42.438104880922104</v>
      </c>
      <c r="P194" s="193"/>
      <c r="Q194" s="191"/>
      <c r="R194" s="258">
        <f t="shared" ref="R194:R195" si="99">O194*16200</f>
        <v>687497.29907093814</v>
      </c>
      <c r="S194" s="217" t="e">
        <f>#REF!+'HPB Calculation'!R194</f>
        <v>#REF!</v>
      </c>
      <c r="T194" s="218" t="s">
        <v>4</v>
      </c>
      <c r="U194" s="230">
        <f t="shared" si="37"/>
        <v>687454.86096605717</v>
      </c>
      <c r="V194" s="220"/>
      <c r="W194" s="221"/>
      <c r="X194" s="226"/>
      <c r="Y194" s="226"/>
      <c r="Z194" s="180"/>
      <c r="AA194" s="180"/>
      <c r="AB194" s="180"/>
      <c r="AC194" s="180"/>
    </row>
    <row r="195" spans="1:29" ht="36.75" hidden="1" customHeight="1" x14ac:dyDescent="0.4">
      <c r="A195" s="214">
        <f t="shared" si="88"/>
        <v>45962</v>
      </c>
      <c r="B195" s="215" t="s">
        <v>166</v>
      </c>
      <c r="C195" s="181">
        <v>4200</v>
      </c>
      <c r="D195" s="182">
        <v>38</v>
      </c>
      <c r="E195" s="182">
        <v>16</v>
      </c>
      <c r="F195" s="182">
        <v>0.4</v>
      </c>
      <c r="G195" s="182">
        <v>8</v>
      </c>
      <c r="H195" s="183">
        <f t="shared" si="1"/>
        <v>0.29523809523809524</v>
      </c>
      <c r="I195" s="192">
        <f t="shared" si="2"/>
        <v>5.9047619047619051</v>
      </c>
      <c r="J195" s="216" t="str">
        <f t="shared" si="97"/>
        <v>HBA II</v>
      </c>
      <c r="K195" s="172">
        <f t="shared" si="95"/>
        <v>44.02</v>
      </c>
      <c r="L195" s="183">
        <f t="shared" si="4"/>
        <v>43.500962023779245</v>
      </c>
      <c r="M195" s="188" t="str">
        <f t="shared" si="5"/>
        <v/>
      </c>
      <c r="N195" s="185">
        <f t="shared" si="98"/>
        <v>1.0628571428571432</v>
      </c>
      <c r="O195" s="175">
        <f t="shared" si="41"/>
        <v>42.438104880922104</v>
      </c>
      <c r="P195" s="193"/>
      <c r="Q195" s="191"/>
      <c r="R195" s="258">
        <f t="shared" si="99"/>
        <v>687497.29907093814</v>
      </c>
      <c r="S195" s="217" t="e">
        <f>#REF!+'HPB Calculation'!R195</f>
        <v>#REF!</v>
      </c>
      <c r="T195" s="218" t="s">
        <v>4</v>
      </c>
      <c r="U195" s="230">
        <f t="shared" si="37"/>
        <v>687454.86096605717</v>
      </c>
      <c r="V195" s="220"/>
      <c r="W195" s="221"/>
      <c r="X195" s="226"/>
      <c r="Y195" s="226"/>
      <c r="Z195" s="180"/>
      <c r="AA195" s="180"/>
      <c r="AB195" s="180"/>
      <c r="AC195" s="180"/>
    </row>
    <row r="196" spans="1:29" ht="36.75" hidden="1" customHeight="1" x14ac:dyDescent="0.4">
      <c r="A196" s="214">
        <f t="shared" si="88"/>
        <v>45962</v>
      </c>
      <c r="B196" s="288" t="s">
        <v>165</v>
      </c>
      <c r="C196" s="227">
        <v>5300</v>
      </c>
      <c r="D196" s="210">
        <v>22</v>
      </c>
      <c r="E196" s="210">
        <v>13</v>
      </c>
      <c r="F196" s="171">
        <v>0.8</v>
      </c>
      <c r="G196" s="210">
        <v>8</v>
      </c>
      <c r="H196" s="183">
        <f t="shared" si="1"/>
        <v>0.71724137931034493</v>
      </c>
      <c r="I196" s="183">
        <f t="shared" si="2"/>
        <v>7.1724137931034484</v>
      </c>
      <c r="J196" s="222" t="str">
        <f t="shared" si="97"/>
        <v>HBA II</v>
      </c>
      <c r="K196" s="172">
        <f t="shared" si="95"/>
        <v>44.02</v>
      </c>
      <c r="L196" s="183">
        <f t="shared" si="4"/>
        <v>69.060283028534343</v>
      </c>
      <c r="M196" s="184" t="str">
        <f t="shared" si="5"/>
        <v/>
      </c>
      <c r="N196" s="185">
        <f t="shared" si="98"/>
        <v>3.257931034482759</v>
      </c>
      <c r="O196" s="175">
        <f t="shared" si="41"/>
        <v>65.802351994051577</v>
      </c>
      <c r="P196" s="289">
        <v>6.5</v>
      </c>
      <c r="Q196" s="187">
        <f t="shared" ref="Q196:Q198" si="100">O196-P196</f>
        <v>59.302351994051577</v>
      </c>
      <c r="R196" s="176">
        <f>R194</f>
        <v>687497.29907093814</v>
      </c>
      <c r="S196" s="217" t="e">
        <f t="shared" ref="S196:S203" si="101">(((#REF!*50%)+(#REF!*50%))*C196/5400)+R196</f>
        <v>#REF!</v>
      </c>
      <c r="T196" s="218" t="s">
        <v>23</v>
      </c>
      <c r="U196" s="219">
        <f t="shared" si="37"/>
        <v>687431.49671894405</v>
      </c>
      <c r="V196" s="220"/>
      <c r="W196" s="221"/>
      <c r="X196" s="226"/>
      <c r="Y196" s="226"/>
      <c r="Z196" s="180"/>
      <c r="AA196" s="180"/>
      <c r="AB196" s="180"/>
      <c r="AC196" s="180"/>
    </row>
    <row r="197" spans="1:29" ht="36.75" hidden="1" customHeight="1" x14ac:dyDescent="0.4">
      <c r="A197" s="214">
        <f t="shared" si="88"/>
        <v>45962</v>
      </c>
      <c r="B197" s="288" t="s">
        <v>152</v>
      </c>
      <c r="C197" s="227">
        <v>5400</v>
      </c>
      <c r="D197" s="210">
        <v>25</v>
      </c>
      <c r="E197" s="210">
        <v>11</v>
      </c>
      <c r="F197" s="171">
        <v>0.8</v>
      </c>
      <c r="G197" s="210">
        <v>6</v>
      </c>
      <c r="H197" s="183">
        <f t="shared" si="1"/>
        <v>0.6741573033707865</v>
      </c>
      <c r="I197" s="183">
        <f t="shared" si="2"/>
        <v>5.0561797752808983</v>
      </c>
      <c r="J197" s="222" t="str">
        <f t="shared" si="97"/>
        <v>HBA I</v>
      </c>
      <c r="K197" s="172">
        <f t="shared" si="95"/>
        <v>67.22</v>
      </c>
      <c r="L197" s="183">
        <f t="shared" si="4"/>
        <v>65.284985275920604</v>
      </c>
      <c r="M197" s="184" t="str">
        <f t="shared" si="5"/>
        <v/>
      </c>
      <c r="N197" s="185">
        <f t="shared" si="98"/>
        <v>-0.69689887640449477</v>
      </c>
      <c r="O197" s="175">
        <f t="shared" si="41"/>
        <v>65.981884152325094</v>
      </c>
      <c r="P197" s="289">
        <v>6.5</v>
      </c>
      <c r="Q197" s="187">
        <f t="shared" si="100"/>
        <v>59.481884152325094</v>
      </c>
      <c r="R197" s="176">
        <f>'ICI, GNewc, Delta'!D805</f>
        <v>0</v>
      </c>
      <c r="S197" s="217" t="e">
        <f t="shared" si="101"/>
        <v>#REF!</v>
      </c>
      <c r="T197" s="218" t="s">
        <v>23</v>
      </c>
      <c r="U197" s="219">
        <f t="shared" si="37"/>
        <v>-65.981884152325094</v>
      </c>
      <c r="V197" s="220"/>
      <c r="W197" s="221"/>
      <c r="X197" s="226"/>
      <c r="Y197" s="226"/>
      <c r="Z197" s="180"/>
      <c r="AA197" s="180"/>
      <c r="AB197" s="180"/>
      <c r="AC197" s="180"/>
    </row>
    <row r="198" spans="1:29" ht="36.75" hidden="1" customHeight="1" x14ac:dyDescent="0.4">
      <c r="A198" s="214">
        <f t="shared" si="88"/>
        <v>45962</v>
      </c>
      <c r="B198" s="288" t="s">
        <v>168</v>
      </c>
      <c r="C198" s="321">
        <v>5295</v>
      </c>
      <c r="D198" s="210">
        <v>25</v>
      </c>
      <c r="E198" s="210">
        <v>11</v>
      </c>
      <c r="F198" s="171">
        <v>0.8</v>
      </c>
      <c r="G198" s="210">
        <v>6</v>
      </c>
      <c r="H198" s="183">
        <f t="shared" si="1"/>
        <v>0.6741573033707865</v>
      </c>
      <c r="I198" s="183">
        <f t="shared" si="2"/>
        <v>5.0561797752808983</v>
      </c>
      <c r="J198" s="222" t="str">
        <f t="shared" si="97"/>
        <v>HBA II</v>
      </c>
      <c r="K198" s="172">
        <f t="array" ref="K198">IF(J198="", "", INDEX($B$24:$E$41, MATCH(DATE(2025,10,15), $A$24:$A$41, 0), MATCH(J198, $B$23:$E$23, 0)))</f>
        <v>43.71</v>
      </c>
      <c r="L198" s="183">
        <f t="shared" si="4"/>
        <v>65.874279430906938</v>
      </c>
      <c r="M198" s="184" t="str">
        <f t="shared" si="5"/>
        <v/>
      </c>
      <c r="N198" s="185">
        <f t="shared" si="98"/>
        <v>2.2391011235955056</v>
      </c>
      <c r="O198" s="175">
        <f t="shared" si="41"/>
        <v>63.635178307311435</v>
      </c>
      <c r="P198" s="289">
        <v>6.5</v>
      </c>
      <c r="Q198" s="187">
        <f t="shared" si="100"/>
        <v>57.135178307311435</v>
      </c>
      <c r="R198" s="176">
        <f>'ICI, GNewc, Delta'!D806</f>
        <v>0</v>
      </c>
      <c r="S198" s="217" t="e">
        <f t="shared" si="101"/>
        <v>#REF!</v>
      </c>
      <c r="T198" s="218" t="s">
        <v>23</v>
      </c>
      <c r="U198" s="219">
        <f t="shared" si="37"/>
        <v>-63.635178307311435</v>
      </c>
      <c r="V198" s="220"/>
      <c r="W198" s="221"/>
      <c r="X198" s="226"/>
      <c r="Y198" s="226"/>
      <c r="Z198" s="180"/>
      <c r="AA198" s="180"/>
      <c r="AB198" s="180"/>
      <c r="AC198" s="180"/>
    </row>
    <row r="199" spans="1:29" ht="36.75" hidden="1" customHeight="1" x14ac:dyDescent="0.4">
      <c r="A199" s="214">
        <f t="shared" si="88"/>
        <v>45962</v>
      </c>
      <c r="B199" s="215" t="s">
        <v>171</v>
      </c>
      <c r="C199" s="227">
        <v>5400</v>
      </c>
      <c r="D199" s="210">
        <v>25</v>
      </c>
      <c r="E199" s="171">
        <v>11</v>
      </c>
      <c r="F199" s="171">
        <v>0.8</v>
      </c>
      <c r="G199" s="171">
        <v>6</v>
      </c>
      <c r="H199" s="183">
        <f t="shared" si="1"/>
        <v>0.6741573033707865</v>
      </c>
      <c r="I199" s="183">
        <f t="shared" si="2"/>
        <v>5.0561797752808983</v>
      </c>
      <c r="J199" s="216" t="str">
        <f t="shared" si="97"/>
        <v>HBA I</v>
      </c>
      <c r="K199" s="172">
        <f t="array" ref="K199">IF(J199="", "", INDEX($B$24:$E$42, MATCH(DATE(2025,11,1), $A$24:$A$42, 0), MATCH(J199, $B$23:$E$23, 0)))</f>
        <v>67.22</v>
      </c>
      <c r="L199" s="183">
        <f t="shared" si="4"/>
        <v>65.284985275920604</v>
      </c>
      <c r="M199" s="184" t="str">
        <f t="shared" si="5"/>
        <v/>
      </c>
      <c r="N199" s="185">
        <f t="shared" si="98"/>
        <v>-0.69689887640449477</v>
      </c>
      <c r="O199" s="175">
        <f t="shared" si="41"/>
        <v>65.981884152325094</v>
      </c>
      <c r="P199" s="186"/>
      <c r="Q199" s="187"/>
      <c r="R199" s="176">
        <f t="shared" ref="R199:R203" si="102">R185*C199/C185</f>
        <v>71.533459000942514</v>
      </c>
      <c r="S199" s="217" t="e">
        <f t="shared" si="101"/>
        <v>#REF!</v>
      </c>
      <c r="T199" s="218" t="s">
        <v>151</v>
      </c>
      <c r="U199" s="230">
        <f t="shared" si="37"/>
        <v>5.5515748486174203</v>
      </c>
      <c r="V199" s="220"/>
      <c r="W199" s="221"/>
      <c r="X199" s="226"/>
      <c r="Y199" s="226"/>
      <c r="Z199" s="180"/>
      <c r="AA199" s="180"/>
      <c r="AB199" s="180"/>
      <c r="AC199" s="180"/>
    </row>
    <row r="200" spans="1:29" ht="36.75" hidden="1" customHeight="1" x14ac:dyDescent="0.4">
      <c r="A200" s="214">
        <f t="shared" ref="A200:A203" si="103">A$41</f>
        <v>45945</v>
      </c>
      <c r="B200" s="288" t="s">
        <v>172</v>
      </c>
      <c r="C200" s="227">
        <v>5400</v>
      </c>
      <c r="D200" s="210">
        <v>25</v>
      </c>
      <c r="E200" s="171">
        <v>11</v>
      </c>
      <c r="F200" s="171">
        <v>0.8</v>
      </c>
      <c r="G200" s="171">
        <v>6</v>
      </c>
      <c r="H200" s="183">
        <f t="shared" si="1"/>
        <v>0.6741573033707865</v>
      </c>
      <c r="I200" s="183">
        <f t="shared" si="2"/>
        <v>5.0561797752808983</v>
      </c>
      <c r="J200" s="216" t="str">
        <f t="shared" si="97"/>
        <v>HBA I</v>
      </c>
      <c r="K200" s="172">
        <f t="shared" ref="K200:K203" si="104">IF(J200="", "", INDEX($B$24:$E$42, MATCH(DATE(2025,10,15), $A$24:$A$42, 0), MATCH(J200, $B$23:$E$23, 0)))</f>
        <v>67.760000000000005</v>
      </c>
      <c r="L200" s="183">
        <f t="shared" si="4"/>
        <v>65.809440676828032</v>
      </c>
      <c r="M200" s="184" t="str">
        <f t="shared" si="5"/>
        <v/>
      </c>
      <c r="N200" s="185">
        <f t="shared" si="98"/>
        <v>-0.69689887640449477</v>
      </c>
      <c r="O200" s="175">
        <f t="shared" si="41"/>
        <v>66.506339553232522</v>
      </c>
      <c r="P200" s="186">
        <v>6.5</v>
      </c>
      <c r="Q200" s="187">
        <f t="shared" ref="Q200:Q203" si="105">O200-P200</f>
        <v>60.006339553232522</v>
      </c>
      <c r="R200" s="176">
        <f t="shared" si="102"/>
        <v>71.533459000942528</v>
      </c>
      <c r="S200" s="217" t="e">
        <f t="shared" si="101"/>
        <v>#REF!</v>
      </c>
      <c r="T200" s="218" t="s">
        <v>151</v>
      </c>
      <c r="U200" s="230">
        <f t="shared" si="37"/>
        <v>5.0271194477100067</v>
      </c>
      <c r="V200" s="220"/>
      <c r="W200" s="221"/>
      <c r="X200" s="226"/>
      <c r="Y200" s="226"/>
      <c r="Z200" s="184">
        <f>(16662.9+16497.1)/2</f>
        <v>16580</v>
      </c>
      <c r="AA200" s="322">
        <f t="shared" ref="AA200:AA203" si="106">Q200*Z200</f>
        <v>994905.10979259526</v>
      </c>
      <c r="AB200" s="180"/>
      <c r="AC200" s="180"/>
    </row>
    <row r="201" spans="1:29" ht="36.75" hidden="1" customHeight="1" x14ac:dyDescent="0.4">
      <c r="A201" s="214">
        <f t="shared" si="103"/>
        <v>45945</v>
      </c>
      <c r="B201" s="215" t="s">
        <v>173</v>
      </c>
      <c r="C201" s="227">
        <v>5400</v>
      </c>
      <c r="D201" s="210">
        <v>25</v>
      </c>
      <c r="E201" s="171">
        <v>11</v>
      </c>
      <c r="F201" s="171">
        <v>0.8</v>
      </c>
      <c r="G201" s="171">
        <v>6</v>
      </c>
      <c r="H201" s="183">
        <f t="shared" si="1"/>
        <v>0.6741573033707865</v>
      </c>
      <c r="I201" s="183">
        <f t="shared" si="2"/>
        <v>5.0561797752808983</v>
      </c>
      <c r="J201" s="216" t="str">
        <f t="shared" si="97"/>
        <v>HBA I</v>
      </c>
      <c r="K201" s="172">
        <f t="shared" si="104"/>
        <v>67.760000000000005</v>
      </c>
      <c r="L201" s="183">
        <f t="shared" si="4"/>
        <v>65.809440676828032</v>
      </c>
      <c r="M201" s="184" t="str">
        <f t="shared" si="5"/>
        <v/>
      </c>
      <c r="N201" s="185">
        <f t="shared" si="98"/>
        <v>-0.69689887640449477</v>
      </c>
      <c r="O201" s="175">
        <f t="shared" si="41"/>
        <v>66.506339553232522</v>
      </c>
      <c r="P201" s="186">
        <v>6.5</v>
      </c>
      <c r="Q201" s="187">
        <f t="shared" si="105"/>
        <v>60.006339553232522</v>
      </c>
      <c r="R201" s="176">
        <f t="shared" si="102"/>
        <v>71.533459000942528</v>
      </c>
      <c r="S201" s="217" t="e">
        <f t="shared" si="101"/>
        <v>#REF!</v>
      </c>
      <c r="T201" s="218" t="s">
        <v>151</v>
      </c>
      <c r="U201" s="230">
        <f t="shared" si="37"/>
        <v>5.0271194477100067</v>
      </c>
      <c r="V201" s="220"/>
      <c r="W201" s="221"/>
      <c r="X201" s="226"/>
      <c r="Y201" s="226"/>
      <c r="Z201" s="184">
        <f>(16659.88+16494.12)/2</f>
        <v>16577</v>
      </c>
      <c r="AA201" s="322">
        <f t="shared" si="106"/>
        <v>994725.09077393555</v>
      </c>
      <c r="AB201" s="180"/>
      <c r="AC201" s="180"/>
    </row>
    <row r="202" spans="1:29" ht="36.75" hidden="1" customHeight="1" x14ac:dyDescent="0.4">
      <c r="A202" s="214">
        <f t="shared" si="103"/>
        <v>45945</v>
      </c>
      <c r="B202" s="215" t="s">
        <v>174</v>
      </c>
      <c r="C202" s="227">
        <v>5400</v>
      </c>
      <c r="D202" s="210">
        <v>25</v>
      </c>
      <c r="E202" s="171">
        <v>11</v>
      </c>
      <c r="F202" s="171">
        <v>0.8</v>
      </c>
      <c r="G202" s="171">
        <v>6</v>
      </c>
      <c r="H202" s="183">
        <f t="shared" si="1"/>
        <v>0.6741573033707865</v>
      </c>
      <c r="I202" s="183">
        <f t="shared" si="2"/>
        <v>5.0561797752808983</v>
      </c>
      <c r="J202" s="216" t="str">
        <f t="shared" si="97"/>
        <v>HBA I</v>
      </c>
      <c r="K202" s="172">
        <f t="shared" si="104"/>
        <v>67.760000000000005</v>
      </c>
      <c r="L202" s="183">
        <f t="shared" si="4"/>
        <v>65.809440676828032</v>
      </c>
      <c r="M202" s="184" t="str">
        <f t="shared" si="5"/>
        <v/>
      </c>
      <c r="N202" s="185">
        <f t="shared" si="98"/>
        <v>-0.69689887640449477</v>
      </c>
      <c r="O202" s="175">
        <f t="shared" si="41"/>
        <v>66.506339553232522</v>
      </c>
      <c r="P202" s="186">
        <v>6.5</v>
      </c>
      <c r="Q202" s="187">
        <f t="shared" si="105"/>
        <v>60.006339553232522</v>
      </c>
      <c r="R202" s="176">
        <f t="shared" si="102"/>
        <v>71.533459000942528</v>
      </c>
      <c r="S202" s="217" t="e">
        <f t="shared" si="101"/>
        <v>#REF!</v>
      </c>
      <c r="T202" s="218" t="s">
        <v>151</v>
      </c>
      <c r="U202" s="230">
        <f t="shared" si="37"/>
        <v>5.0271194477100067</v>
      </c>
      <c r="V202" s="220"/>
      <c r="W202" s="221"/>
      <c r="X202" s="226"/>
      <c r="Y202" s="226"/>
      <c r="Z202" s="184">
        <f>(16728.22+16561.78)/2</f>
        <v>16645</v>
      </c>
      <c r="AA202" s="322">
        <f t="shared" si="106"/>
        <v>998805.5218635553</v>
      </c>
      <c r="AB202" s="180"/>
      <c r="AC202" s="180"/>
    </row>
    <row r="203" spans="1:29" ht="36.75" hidden="1" customHeight="1" x14ac:dyDescent="0.4">
      <c r="A203" s="214">
        <f t="shared" si="103"/>
        <v>45945</v>
      </c>
      <c r="B203" s="215" t="s">
        <v>175</v>
      </c>
      <c r="C203" s="227">
        <v>5400</v>
      </c>
      <c r="D203" s="210">
        <v>25</v>
      </c>
      <c r="E203" s="171">
        <v>11</v>
      </c>
      <c r="F203" s="171">
        <v>0.8</v>
      </c>
      <c r="G203" s="171">
        <v>6</v>
      </c>
      <c r="H203" s="183">
        <f t="shared" si="1"/>
        <v>0.6741573033707865</v>
      </c>
      <c r="I203" s="183">
        <f t="shared" si="2"/>
        <v>5.0561797752808983</v>
      </c>
      <c r="J203" s="216" t="str">
        <f t="shared" si="97"/>
        <v>HBA I</v>
      </c>
      <c r="K203" s="172">
        <f t="shared" si="104"/>
        <v>67.760000000000005</v>
      </c>
      <c r="L203" s="183">
        <f t="shared" si="4"/>
        <v>65.809440676828032</v>
      </c>
      <c r="M203" s="184" t="str">
        <f t="shared" si="5"/>
        <v/>
      </c>
      <c r="N203" s="185">
        <f t="shared" si="98"/>
        <v>-0.69689887640449477</v>
      </c>
      <c r="O203" s="175">
        <f t="shared" si="41"/>
        <v>66.506339553232522</v>
      </c>
      <c r="P203" s="186">
        <v>6.5</v>
      </c>
      <c r="Q203" s="187">
        <f t="shared" si="105"/>
        <v>60.006339553232522</v>
      </c>
      <c r="R203" s="176">
        <f t="shared" si="102"/>
        <v>70.275000000000006</v>
      </c>
      <c r="S203" s="217" t="e">
        <f t="shared" si="101"/>
        <v>#REF!</v>
      </c>
      <c r="T203" s="218" t="s">
        <v>151</v>
      </c>
      <c r="U203" s="230">
        <f t="shared" si="37"/>
        <v>3.768660446767484</v>
      </c>
      <c r="V203" s="220"/>
      <c r="W203" s="221"/>
      <c r="X203" s="226"/>
      <c r="Y203" s="226"/>
      <c r="Z203" s="184">
        <f>(16662.9+16497.1)/2</f>
        <v>16580</v>
      </c>
      <c r="AA203" s="322">
        <f t="shared" si="106"/>
        <v>994905.10979259526</v>
      </c>
      <c r="AB203" s="180"/>
      <c r="AC203" s="180"/>
    </row>
    <row r="204" spans="1:29" ht="36.75" hidden="1" customHeight="1" x14ac:dyDescent="0.4">
      <c r="A204" s="307">
        <f t="shared" ref="A204:A223" si="107">A$43</f>
        <v>45976</v>
      </c>
      <c r="B204" s="308" t="s">
        <v>14</v>
      </c>
      <c r="C204" s="309">
        <v>5000</v>
      </c>
      <c r="D204" s="310">
        <v>28</v>
      </c>
      <c r="E204" s="310">
        <v>13</v>
      </c>
      <c r="F204" s="310">
        <v>0.8</v>
      </c>
      <c r="G204" s="310">
        <v>8</v>
      </c>
      <c r="H204" s="311">
        <f t="shared" si="1"/>
        <v>0.66206896551724137</v>
      </c>
      <c r="I204" s="311">
        <f t="shared" si="2"/>
        <v>6.6206896551724137</v>
      </c>
      <c r="J204" s="312" t="str">
        <f t="shared" si="97"/>
        <v>HBA II</v>
      </c>
      <c r="K204" s="311">
        <f t="shared" ref="K204:K223" si="108">IF(J204="", "", INDEX($B$24:$E$43, MATCH(DATE(2025,11,15), $A$24:$A$43, 0), MATCH(J204, $B$23:$E$23, 0)))</f>
        <v>44.29</v>
      </c>
      <c r="L204" s="311">
        <f t="shared" si="4"/>
        <v>60.508449490905363</v>
      </c>
      <c r="M204" s="313" t="str">
        <f t="shared" si="5"/>
        <v/>
      </c>
      <c r="N204" s="314">
        <f t="shared" si="98"/>
        <v>2.8165517241379314</v>
      </c>
      <c r="O204" s="315">
        <f t="shared" si="41"/>
        <v>57.691897766767433</v>
      </c>
      <c r="P204" s="310">
        <v>3.01</v>
      </c>
      <c r="Q204" s="316">
        <f t="shared" ref="Q204:Q206" si="109">O204+P204</f>
        <v>60.701897766767431</v>
      </c>
      <c r="R204" s="317">
        <f>'ICI, GNewc, Delta'!D728</f>
        <v>64.02</v>
      </c>
      <c r="S204" s="318" t="e">
        <f>AVERAGE(#REF!)+0.75</f>
        <v>#REF!</v>
      </c>
      <c r="T204" s="319" t="s">
        <v>3</v>
      </c>
      <c r="U204" s="320">
        <f t="shared" si="37"/>
        <v>6.3281022332325634</v>
      </c>
      <c r="V204" s="220"/>
      <c r="W204" s="221"/>
      <c r="X204" s="221"/>
      <c r="Y204" s="221"/>
      <c r="Z204" s="180"/>
      <c r="AA204" s="180"/>
      <c r="AB204" s="180"/>
      <c r="AC204" s="180"/>
    </row>
    <row r="205" spans="1:29" ht="36.75" hidden="1" customHeight="1" x14ac:dyDescent="0.4">
      <c r="A205" s="214">
        <f t="shared" si="107"/>
        <v>45976</v>
      </c>
      <c r="B205" s="215" t="s">
        <v>150</v>
      </c>
      <c r="C205" s="181">
        <v>5400</v>
      </c>
      <c r="D205" s="182">
        <v>19</v>
      </c>
      <c r="E205" s="182">
        <v>14</v>
      </c>
      <c r="F205" s="182">
        <v>0.2</v>
      </c>
      <c r="G205" s="182">
        <v>6</v>
      </c>
      <c r="H205" s="183">
        <f t="shared" si="1"/>
        <v>0.18837209302325583</v>
      </c>
      <c r="I205" s="192">
        <f t="shared" si="2"/>
        <v>5.6511627906976747</v>
      </c>
      <c r="J205" s="222" t="str">
        <f t="shared" si="97"/>
        <v>HBA I</v>
      </c>
      <c r="K205" s="172">
        <f t="shared" si="108"/>
        <v>67.290000000000006</v>
      </c>
      <c r="L205" s="183">
        <f t="shared" si="4"/>
        <v>70.581207854121303</v>
      </c>
      <c r="M205" s="188" t="str">
        <f t="shared" si="5"/>
        <v/>
      </c>
      <c r="N205" s="185">
        <f t="shared" si="98"/>
        <v>-2.4020465116279066</v>
      </c>
      <c r="O205" s="175">
        <f t="shared" si="41"/>
        <v>72.983254365749204</v>
      </c>
      <c r="P205" s="193">
        <v>-7.12</v>
      </c>
      <c r="Q205" s="191">
        <f t="shared" si="109"/>
        <v>65.863254365749199</v>
      </c>
      <c r="R205" s="186">
        <f>('ICI, GNewc, Delta'!C728+'ICI, GNewc, Delta'!D728)/2</f>
        <v>72.27</v>
      </c>
      <c r="S205" s="223"/>
      <c r="T205" s="218" t="s">
        <v>23</v>
      </c>
      <c r="U205" s="230">
        <f t="shared" si="37"/>
        <v>-0.71325436574920786</v>
      </c>
      <c r="V205" s="224"/>
      <c r="W205" s="225"/>
      <c r="X205" s="225"/>
      <c r="Y205" s="226"/>
      <c r="Z205" s="180"/>
      <c r="AA205" s="180"/>
      <c r="AB205" s="180"/>
      <c r="AC205" s="180"/>
    </row>
    <row r="206" spans="1:29" ht="36.75" hidden="1" customHeight="1" x14ac:dyDescent="0.4">
      <c r="A206" s="214">
        <f t="shared" si="107"/>
        <v>45976</v>
      </c>
      <c r="B206" s="215" t="s">
        <v>150</v>
      </c>
      <c r="C206" s="181">
        <v>5250</v>
      </c>
      <c r="D206" s="182">
        <v>19</v>
      </c>
      <c r="E206" s="182">
        <v>14</v>
      </c>
      <c r="F206" s="182">
        <v>0.2</v>
      </c>
      <c r="G206" s="182">
        <v>6</v>
      </c>
      <c r="H206" s="183">
        <f t="shared" si="1"/>
        <v>0.18837209302325583</v>
      </c>
      <c r="I206" s="192">
        <f t="shared" si="2"/>
        <v>5.6511627906976747</v>
      </c>
      <c r="J206" s="216" t="str">
        <f t="shared" si="97"/>
        <v>HBA II</v>
      </c>
      <c r="K206" s="172">
        <f t="shared" si="108"/>
        <v>44.29</v>
      </c>
      <c r="L206" s="183">
        <f t="shared" si="4"/>
        <v>71.475605961131947</v>
      </c>
      <c r="M206" s="188" t="str">
        <f t="shared" si="5"/>
        <v/>
      </c>
      <c r="N206" s="185">
        <f t="shared" si="98"/>
        <v>0.53395348837209322</v>
      </c>
      <c r="O206" s="175">
        <f t="shared" si="41"/>
        <v>70.941652472759856</v>
      </c>
      <c r="P206" s="193">
        <v>-7.12</v>
      </c>
      <c r="Q206" s="191">
        <f t="shared" si="109"/>
        <v>63.821652472759858</v>
      </c>
      <c r="R206" s="186">
        <f>R205*C206/C205</f>
        <v>70.262500000000003</v>
      </c>
      <c r="S206" s="223"/>
      <c r="T206" s="218" t="s">
        <v>151</v>
      </c>
      <c r="U206" s="230">
        <f t="shared" si="37"/>
        <v>-0.6791524727598528</v>
      </c>
      <c r="V206" s="224"/>
      <c r="W206" s="225"/>
      <c r="X206" s="225"/>
      <c r="Y206" s="226"/>
      <c r="Z206" s="180"/>
      <c r="AA206" s="180"/>
      <c r="AB206" s="180"/>
      <c r="AC206" s="180"/>
    </row>
    <row r="207" spans="1:29" ht="36.75" hidden="1" customHeight="1" x14ac:dyDescent="0.4">
      <c r="A207" s="214">
        <f t="shared" si="107"/>
        <v>45976</v>
      </c>
      <c r="B207" s="215" t="s">
        <v>164</v>
      </c>
      <c r="C207" s="227">
        <v>5305</v>
      </c>
      <c r="D207" s="210">
        <v>25</v>
      </c>
      <c r="E207" s="171">
        <v>11</v>
      </c>
      <c r="F207" s="171">
        <v>0.8</v>
      </c>
      <c r="G207" s="171">
        <v>6</v>
      </c>
      <c r="H207" s="183">
        <f t="shared" si="1"/>
        <v>0.6741573033707865</v>
      </c>
      <c r="I207" s="183">
        <f t="shared" si="2"/>
        <v>5.0561797752808983</v>
      </c>
      <c r="J207" s="222" t="str">
        <f t="shared" si="97"/>
        <v>HBA I</v>
      </c>
      <c r="K207" s="172">
        <f t="shared" si="108"/>
        <v>67.290000000000006</v>
      </c>
      <c r="L207" s="183">
        <f t="shared" si="4"/>
        <v>64.203242055232081</v>
      </c>
      <c r="M207" s="184" t="str">
        <f t="shared" si="5"/>
        <v/>
      </c>
      <c r="N207" s="185">
        <f t="shared" si="98"/>
        <v>-0.69689887640449477</v>
      </c>
      <c r="O207" s="175">
        <f t="shared" si="41"/>
        <v>64.900140931636571</v>
      </c>
      <c r="P207" s="186"/>
      <c r="Q207" s="187"/>
      <c r="R207" s="176">
        <f>R205</f>
        <v>72.27</v>
      </c>
      <c r="S207" s="217" t="e">
        <f t="shared" ref="S207:S212" si="110">(((#REF!*50%)+(#REF!*50%))*C207/5400)+R207</f>
        <v>#REF!</v>
      </c>
      <c r="T207" s="218" t="s">
        <v>23</v>
      </c>
      <c r="U207" s="230">
        <f t="shared" si="37"/>
        <v>7.3698590683634251</v>
      </c>
      <c r="V207" s="220">
        <f t="shared" ref="V207:V208" si="111">O207-6.5</f>
        <v>58.400140931636571</v>
      </c>
      <c r="W207" s="221"/>
      <c r="X207" s="226"/>
      <c r="Y207" s="226"/>
      <c r="Z207" s="180"/>
      <c r="AA207" s="180"/>
      <c r="AB207" s="180"/>
      <c r="AC207" s="180"/>
    </row>
    <row r="208" spans="1:29" ht="36.75" hidden="1" customHeight="1" x14ac:dyDescent="0.4">
      <c r="A208" s="214">
        <f t="shared" si="107"/>
        <v>45976</v>
      </c>
      <c r="B208" s="215" t="s">
        <v>164</v>
      </c>
      <c r="C208" s="227">
        <v>5305</v>
      </c>
      <c r="D208" s="210">
        <v>25</v>
      </c>
      <c r="E208" s="171">
        <v>11</v>
      </c>
      <c r="F208" s="171">
        <v>0.8</v>
      </c>
      <c r="G208" s="171">
        <v>6</v>
      </c>
      <c r="H208" s="183">
        <f t="shared" si="1"/>
        <v>0.6741573033707865</v>
      </c>
      <c r="I208" s="183">
        <f t="shared" si="2"/>
        <v>5.0561797752808983</v>
      </c>
      <c r="J208" s="222" t="str">
        <f t="shared" si="97"/>
        <v>HBA I</v>
      </c>
      <c r="K208" s="172">
        <f t="shared" si="108"/>
        <v>67.290000000000006</v>
      </c>
      <c r="L208" s="183">
        <f t="shared" si="4"/>
        <v>64.203242055232081</v>
      </c>
      <c r="M208" s="184" t="str">
        <f t="shared" si="5"/>
        <v/>
      </c>
      <c r="N208" s="185">
        <f t="shared" si="98"/>
        <v>-0.69689887640449477</v>
      </c>
      <c r="O208" s="175">
        <f t="shared" si="41"/>
        <v>64.900140931636571</v>
      </c>
      <c r="P208" s="186"/>
      <c r="Q208" s="187"/>
      <c r="R208" s="176">
        <f t="shared" ref="R208:R209" si="112">R207*C208/C207</f>
        <v>72.27</v>
      </c>
      <c r="S208" s="217" t="e">
        <f t="shared" si="110"/>
        <v>#REF!</v>
      </c>
      <c r="T208" s="218" t="s">
        <v>151</v>
      </c>
      <c r="U208" s="230">
        <f t="shared" si="37"/>
        <v>7.3698590683634251</v>
      </c>
      <c r="V208" s="220">
        <f t="shared" si="111"/>
        <v>58.400140931636571</v>
      </c>
      <c r="W208" s="221"/>
      <c r="X208" s="226"/>
      <c r="Y208" s="226"/>
      <c r="Z208" s="180"/>
      <c r="AA208" s="180"/>
      <c r="AB208" s="180"/>
      <c r="AC208" s="180"/>
    </row>
    <row r="209" spans="1:29" ht="36.75" hidden="1" customHeight="1" x14ac:dyDescent="0.4">
      <c r="A209" s="214">
        <f t="shared" si="107"/>
        <v>45976</v>
      </c>
      <c r="B209" s="215" t="s">
        <v>169</v>
      </c>
      <c r="C209" s="227">
        <v>5305</v>
      </c>
      <c r="D209" s="210">
        <v>25</v>
      </c>
      <c r="E209" s="171">
        <v>11</v>
      </c>
      <c r="F209" s="171">
        <v>0.8</v>
      </c>
      <c r="G209" s="171">
        <v>6</v>
      </c>
      <c r="H209" s="183">
        <f t="shared" si="1"/>
        <v>0.6741573033707865</v>
      </c>
      <c r="I209" s="183">
        <f t="shared" si="2"/>
        <v>5.0561797752808983</v>
      </c>
      <c r="J209" s="222" t="str">
        <f t="shared" si="97"/>
        <v>HBA I</v>
      </c>
      <c r="K209" s="172">
        <f t="shared" si="108"/>
        <v>67.290000000000006</v>
      </c>
      <c r="L209" s="183">
        <f t="shared" si="4"/>
        <v>64.203242055232081</v>
      </c>
      <c r="M209" s="184" t="str">
        <f t="shared" si="5"/>
        <v/>
      </c>
      <c r="N209" s="185">
        <f t="shared" si="98"/>
        <v>-0.69689887640449477</v>
      </c>
      <c r="O209" s="175">
        <f t="shared" si="41"/>
        <v>64.900140931636571</v>
      </c>
      <c r="P209" s="186"/>
      <c r="Q209" s="187"/>
      <c r="R209" s="176">
        <f t="shared" si="112"/>
        <v>72.27</v>
      </c>
      <c r="S209" s="217" t="e">
        <f t="shared" si="110"/>
        <v>#REF!</v>
      </c>
      <c r="T209" s="218" t="s">
        <v>151</v>
      </c>
      <c r="U209" s="230">
        <f t="shared" si="37"/>
        <v>7.3698590683634251</v>
      </c>
      <c r="V209" s="220"/>
      <c r="W209" s="221"/>
      <c r="X209" s="226"/>
      <c r="Y209" s="226"/>
      <c r="Z209" s="180"/>
      <c r="AA209" s="180"/>
      <c r="AB209" s="180"/>
      <c r="AC209" s="180"/>
    </row>
    <row r="210" spans="1:29" ht="36.75" hidden="1" customHeight="1" x14ac:dyDescent="0.4">
      <c r="A210" s="214">
        <f t="shared" si="107"/>
        <v>45976</v>
      </c>
      <c r="B210" s="215" t="s">
        <v>155</v>
      </c>
      <c r="C210" s="227">
        <v>5275</v>
      </c>
      <c r="D210" s="210">
        <v>25</v>
      </c>
      <c r="E210" s="171">
        <v>11</v>
      </c>
      <c r="F210" s="171">
        <v>0.8</v>
      </c>
      <c r="G210" s="171">
        <v>6</v>
      </c>
      <c r="H210" s="183">
        <f t="shared" si="1"/>
        <v>0.6741573033707865</v>
      </c>
      <c r="I210" s="183">
        <f t="shared" si="2"/>
        <v>5.0561797752808983</v>
      </c>
      <c r="J210" s="216" t="str">
        <f t="shared" si="97"/>
        <v>HBA II</v>
      </c>
      <c r="K210" s="172">
        <f t="shared" si="108"/>
        <v>44.29</v>
      </c>
      <c r="L210" s="183">
        <f t="shared" si="4"/>
        <v>66.496264805109533</v>
      </c>
      <c r="M210" s="184" t="str">
        <f t="shared" si="5"/>
        <v/>
      </c>
      <c r="N210" s="185">
        <f t="shared" si="98"/>
        <v>2.2391011235955056</v>
      </c>
      <c r="O210" s="175">
        <f t="shared" si="41"/>
        <v>64.257163681514029</v>
      </c>
      <c r="P210" s="186"/>
      <c r="Q210" s="187"/>
      <c r="R210" s="176">
        <f>R207*C210/C207</f>
        <v>71.861310084825632</v>
      </c>
      <c r="S210" s="217" t="e">
        <f t="shared" si="110"/>
        <v>#REF!</v>
      </c>
      <c r="T210" s="218" t="s">
        <v>151</v>
      </c>
      <c r="U210" s="230">
        <f t="shared" si="37"/>
        <v>7.6041464033116029</v>
      </c>
      <c r="V210" s="220">
        <f>O210-6.5</f>
        <v>57.757163681514029</v>
      </c>
      <c r="W210" s="221"/>
      <c r="X210" s="226"/>
      <c r="Y210" s="226"/>
      <c r="Z210" s="180"/>
      <c r="AA210" s="180"/>
      <c r="AB210" s="180"/>
      <c r="AC210" s="180"/>
    </row>
    <row r="211" spans="1:29" ht="36.75" hidden="1" customHeight="1" x14ac:dyDescent="0.4">
      <c r="A211" s="214">
        <f t="shared" si="107"/>
        <v>45976</v>
      </c>
      <c r="B211" s="215" t="s">
        <v>155</v>
      </c>
      <c r="C211" s="227">
        <v>5275</v>
      </c>
      <c r="D211" s="210">
        <v>25</v>
      </c>
      <c r="E211" s="171">
        <v>11</v>
      </c>
      <c r="F211" s="171">
        <v>0.8</v>
      </c>
      <c r="G211" s="171">
        <v>6</v>
      </c>
      <c r="H211" s="183">
        <f t="shared" si="1"/>
        <v>0.6741573033707865</v>
      </c>
      <c r="I211" s="183">
        <f t="shared" si="2"/>
        <v>5.0561797752808983</v>
      </c>
      <c r="J211" s="216" t="str">
        <f t="shared" si="97"/>
        <v>HBA II</v>
      </c>
      <c r="K211" s="172">
        <f t="shared" si="108"/>
        <v>44.29</v>
      </c>
      <c r="L211" s="183">
        <f t="shared" si="4"/>
        <v>66.496264805109533</v>
      </c>
      <c r="M211" s="184" t="str">
        <f t="shared" si="5"/>
        <v/>
      </c>
      <c r="N211" s="185">
        <f t="shared" si="98"/>
        <v>2.2391011235955056</v>
      </c>
      <c r="O211" s="175">
        <f t="shared" si="41"/>
        <v>64.257163681514029</v>
      </c>
      <c r="P211" s="186"/>
      <c r="Q211" s="187"/>
      <c r="R211" s="176">
        <f t="shared" ref="R211:R212" si="113">R207*C211/C207</f>
        <v>71.861310084825632</v>
      </c>
      <c r="S211" s="217" t="e">
        <f t="shared" si="110"/>
        <v>#REF!</v>
      </c>
      <c r="T211" s="218" t="s">
        <v>151</v>
      </c>
      <c r="U211" s="230">
        <f t="shared" si="37"/>
        <v>7.6041464033116029</v>
      </c>
      <c r="V211" s="220"/>
      <c r="W211" s="221"/>
      <c r="X211" s="226"/>
      <c r="Y211" s="226"/>
      <c r="Z211" s="180"/>
      <c r="AA211" s="180"/>
      <c r="AB211" s="180"/>
      <c r="AC211" s="180"/>
    </row>
    <row r="212" spans="1:29" ht="36" hidden="1" customHeight="1" x14ac:dyDescent="0.4">
      <c r="A212" s="214">
        <f t="shared" si="107"/>
        <v>45976</v>
      </c>
      <c r="B212" s="215" t="s">
        <v>170</v>
      </c>
      <c r="C212" s="227">
        <v>5275</v>
      </c>
      <c r="D212" s="210">
        <v>25</v>
      </c>
      <c r="E212" s="171">
        <v>11</v>
      </c>
      <c r="F212" s="171">
        <v>0.8</v>
      </c>
      <c r="G212" s="171">
        <v>6</v>
      </c>
      <c r="H212" s="183">
        <f t="shared" si="1"/>
        <v>0.6741573033707865</v>
      </c>
      <c r="I212" s="183">
        <f t="shared" si="2"/>
        <v>5.0561797752808983</v>
      </c>
      <c r="J212" s="216" t="str">
        <f t="shared" si="97"/>
        <v>HBA II</v>
      </c>
      <c r="K212" s="172">
        <f t="shared" si="108"/>
        <v>44.29</v>
      </c>
      <c r="L212" s="183">
        <f t="shared" si="4"/>
        <v>66.496264805109533</v>
      </c>
      <c r="M212" s="184" t="str">
        <f t="shared" si="5"/>
        <v/>
      </c>
      <c r="N212" s="185">
        <f t="shared" si="98"/>
        <v>2.2391011235955056</v>
      </c>
      <c r="O212" s="175">
        <f t="shared" si="41"/>
        <v>64.257163681514029</v>
      </c>
      <c r="P212" s="186"/>
      <c r="Q212" s="187"/>
      <c r="R212" s="176">
        <f t="shared" si="113"/>
        <v>71.861310084825632</v>
      </c>
      <c r="S212" s="217" t="e">
        <f t="shared" si="110"/>
        <v>#REF!</v>
      </c>
      <c r="T212" s="218" t="s">
        <v>151</v>
      </c>
      <c r="U212" s="230">
        <f t="shared" si="37"/>
        <v>7.6041464033116029</v>
      </c>
      <c r="V212" s="220"/>
      <c r="W212" s="221"/>
      <c r="X212" s="226"/>
      <c r="Y212" s="226"/>
      <c r="Z212" s="180"/>
      <c r="AA212" s="180"/>
      <c r="AB212" s="180"/>
      <c r="AC212" s="180"/>
    </row>
    <row r="213" spans="1:29" ht="36.75" hidden="1" customHeight="1" x14ac:dyDescent="0.4">
      <c r="A213" s="214">
        <f t="shared" si="107"/>
        <v>45976</v>
      </c>
      <c r="B213" s="215" t="s">
        <v>157</v>
      </c>
      <c r="C213" s="181">
        <v>5400</v>
      </c>
      <c r="D213" s="182">
        <v>22</v>
      </c>
      <c r="E213" s="182">
        <v>14</v>
      </c>
      <c r="F213" s="208">
        <v>1</v>
      </c>
      <c r="G213" s="182">
        <v>6</v>
      </c>
      <c r="H213" s="183">
        <f t="shared" si="1"/>
        <v>0.90697674418604646</v>
      </c>
      <c r="I213" s="183">
        <f t="shared" si="2"/>
        <v>5.441860465116279</v>
      </c>
      <c r="J213" s="222" t="str">
        <f t="shared" si="97"/>
        <v>HBA I</v>
      </c>
      <c r="K213" s="172">
        <f t="shared" si="108"/>
        <v>67.290000000000006</v>
      </c>
      <c r="L213" s="183">
        <f t="shared" si="4"/>
        <v>67.967089044709411</v>
      </c>
      <c r="M213" s="184" t="str">
        <f t="shared" si="5"/>
        <v/>
      </c>
      <c r="N213" s="185">
        <f t="shared" si="98"/>
        <v>0.38865116279069739</v>
      </c>
      <c r="O213" s="175">
        <f t="shared" si="41"/>
        <v>67.578437881918717</v>
      </c>
      <c r="P213" s="186"/>
      <c r="Q213" s="187"/>
      <c r="R213" s="186">
        <f>R205</f>
        <v>72.27</v>
      </c>
      <c r="S213" s="217" t="e">
        <f>((#REF!*50%)+(#REF!*50%))+R213</f>
        <v>#REF!</v>
      </c>
      <c r="T213" s="218" t="s">
        <v>151</v>
      </c>
      <c r="U213" s="230">
        <f t="shared" si="37"/>
        <v>4.6915621180812792</v>
      </c>
      <c r="V213" s="220"/>
      <c r="W213" s="221"/>
      <c r="X213" s="226"/>
      <c r="Y213" s="226"/>
      <c r="Z213" s="180"/>
      <c r="AA213" s="180"/>
      <c r="AB213" s="180"/>
      <c r="AC213" s="180"/>
    </row>
    <row r="214" spans="1:29" ht="36.75" hidden="1" customHeight="1" x14ac:dyDescent="0.4">
      <c r="A214" s="214">
        <f t="shared" si="107"/>
        <v>45976</v>
      </c>
      <c r="B214" s="215" t="s">
        <v>158</v>
      </c>
      <c r="C214" s="181">
        <v>4200</v>
      </c>
      <c r="D214" s="182">
        <v>36</v>
      </c>
      <c r="E214" s="182">
        <v>16</v>
      </c>
      <c r="F214" s="182">
        <v>0.4</v>
      </c>
      <c r="G214" s="182">
        <v>8</v>
      </c>
      <c r="H214" s="183">
        <f t="shared" si="1"/>
        <v>0.30476190476190479</v>
      </c>
      <c r="I214" s="192">
        <f t="shared" si="2"/>
        <v>6.0952380952380949</v>
      </c>
      <c r="J214" s="216" t="str">
        <f t="shared" si="97"/>
        <v>HBA II</v>
      </c>
      <c r="K214" s="172">
        <f t="shared" si="108"/>
        <v>44.29</v>
      </c>
      <c r="L214" s="183">
        <f t="shared" si="4"/>
        <v>45.179642286542659</v>
      </c>
      <c r="M214" s="188" t="str">
        <f t="shared" si="5"/>
        <v/>
      </c>
      <c r="N214" s="185">
        <f t="shared" si="98"/>
        <v>1.177142857142857</v>
      </c>
      <c r="O214" s="175">
        <f t="shared" si="41"/>
        <v>44.002499429399805</v>
      </c>
      <c r="P214" s="193"/>
      <c r="Q214" s="191"/>
      <c r="R214" s="186">
        <f>'ICI, GNewc, Delta'!E728</f>
        <v>48.52</v>
      </c>
      <c r="S214" s="217" t="e">
        <f>#REF!+'HPB Calculation'!R214</f>
        <v>#REF!</v>
      </c>
      <c r="T214" s="218" t="s">
        <v>4</v>
      </c>
      <c r="U214" s="230">
        <f t="shared" si="37"/>
        <v>4.5175005706001983</v>
      </c>
      <c r="V214" s="220"/>
      <c r="W214" s="221"/>
      <c r="X214" s="226"/>
      <c r="Y214" s="226"/>
      <c r="Z214" s="180"/>
      <c r="AA214" s="180"/>
      <c r="AB214" s="180"/>
      <c r="AC214" s="180"/>
    </row>
    <row r="215" spans="1:29" ht="36.75" hidden="1" customHeight="1" x14ac:dyDescent="0.4">
      <c r="A215" s="214">
        <f t="shared" si="107"/>
        <v>45976</v>
      </c>
      <c r="B215" s="215" t="s">
        <v>159</v>
      </c>
      <c r="C215" s="181">
        <v>4050</v>
      </c>
      <c r="D215" s="182">
        <v>36</v>
      </c>
      <c r="E215" s="182">
        <v>16</v>
      </c>
      <c r="F215" s="182">
        <v>0.4</v>
      </c>
      <c r="G215" s="182">
        <v>8</v>
      </c>
      <c r="H215" s="183">
        <f t="shared" si="1"/>
        <v>0.30476190476190479</v>
      </c>
      <c r="I215" s="192">
        <f t="shared" si="2"/>
        <v>6.0952380952380949</v>
      </c>
      <c r="J215" s="229" t="str">
        <f t="shared" si="97"/>
        <v>HBA III</v>
      </c>
      <c r="K215" s="172">
        <f t="shared" si="108"/>
        <v>33.880000000000003</v>
      </c>
      <c r="L215" s="183">
        <f t="shared" si="4"/>
        <v>46.566394445031158</v>
      </c>
      <c r="M215" s="188">
        <f t="shared" si="5"/>
        <v>1.0042187500000002</v>
      </c>
      <c r="N215" s="185">
        <f t="shared" si="98"/>
        <v>1.1451428571428572</v>
      </c>
      <c r="O215" s="175">
        <f t="shared" si="41"/>
        <v>32.181091360543952</v>
      </c>
      <c r="P215" s="193"/>
      <c r="Q215" s="191"/>
      <c r="R215" s="186">
        <f>R214*C215/C214</f>
        <v>46.787142857142854</v>
      </c>
      <c r="S215" s="217" t="e">
        <f>#REF!+'HPB Calculation'!R215</f>
        <v>#REF!</v>
      </c>
      <c r="T215" s="218" t="s">
        <v>160</v>
      </c>
      <c r="U215" s="230">
        <f t="shared" si="37"/>
        <v>14.606051496598901</v>
      </c>
      <c r="V215" s="220"/>
      <c r="W215" s="221"/>
      <c r="X215" s="226"/>
      <c r="Y215" s="226"/>
      <c r="Z215" s="180"/>
      <c r="AA215" s="180"/>
      <c r="AB215" s="180"/>
      <c r="AC215" s="180"/>
    </row>
    <row r="216" spans="1:29" ht="36.75" hidden="1" customHeight="1" x14ac:dyDescent="0.4">
      <c r="A216" s="214">
        <f t="shared" si="107"/>
        <v>45976</v>
      </c>
      <c r="B216" s="215" t="s">
        <v>15</v>
      </c>
      <c r="C216" s="170">
        <v>3600</v>
      </c>
      <c r="D216" s="171">
        <v>40</v>
      </c>
      <c r="E216" s="171">
        <v>15</v>
      </c>
      <c r="F216" s="171">
        <v>0.6</v>
      </c>
      <c r="G216" s="171">
        <v>8</v>
      </c>
      <c r="H216" s="183">
        <f t="shared" si="1"/>
        <v>0.42352941176470588</v>
      </c>
      <c r="I216" s="192">
        <f t="shared" si="2"/>
        <v>5.6470588235294121</v>
      </c>
      <c r="J216" s="229" t="str">
        <f>IF(C216&gt;6000,"HBA 0",IF(C216&gt;5300,"HBA I",IF(C216&gt;3400,"HBA II","HBA III")))</f>
        <v>HBA II</v>
      </c>
      <c r="K216" s="172">
        <f t="shared" si="108"/>
        <v>44.29</v>
      </c>
      <c r="L216" s="183">
        <f t="shared" si="4"/>
        <v>36.305069694543214</v>
      </c>
      <c r="M216" s="200">
        <f t="shared" si="5"/>
        <v>1.0711666666666668</v>
      </c>
      <c r="N216" s="185">
        <f>IF(J216="HBA 0", (H216 - 0.66)*4 + (I216 - 7.94)*0.4, IF(J216="HBA I", (H216 - 0.75)*4 + (I216 - 6.04)*0.4, IF(J216="HBA II", ((H216 - 0.23)*4) + ((I216 - 3.9)*0.4), IF(J216="HBA III", (H216 - 0.24)*4 + (I216 - 3.88)*0.4, ""))))</f>
        <v>1.4729411764705884</v>
      </c>
      <c r="O216" s="175">
        <f t="shared" si="41"/>
        <v>52.63766121026508</v>
      </c>
      <c r="P216" s="193"/>
      <c r="Q216" s="191"/>
      <c r="R216" s="186">
        <f>'ICI, GNewc, Delta'!AF728</f>
        <v>40.549999999999997</v>
      </c>
      <c r="S216" s="217" t="e">
        <f>((#REF!*50%)+(#REF!*50%))</f>
        <v>#REF!</v>
      </c>
      <c r="T216" s="218" t="s">
        <v>25</v>
      </c>
      <c r="U216" s="230">
        <f t="shared" si="37"/>
        <v>-12.087661210265082</v>
      </c>
      <c r="V216" s="220"/>
      <c r="W216" s="221"/>
      <c r="X216" s="226"/>
      <c r="Y216" s="226"/>
      <c r="Z216" s="180"/>
      <c r="AA216" s="180"/>
      <c r="AB216" s="180"/>
      <c r="AC216" s="180"/>
    </row>
    <row r="217" spans="1:29" ht="36.75" hidden="1" customHeight="1" x14ac:dyDescent="0.4">
      <c r="A217" s="214">
        <f t="shared" si="107"/>
        <v>45976</v>
      </c>
      <c r="B217" s="257" t="s">
        <v>161</v>
      </c>
      <c r="C217" s="181">
        <v>4800</v>
      </c>
      <c r="D217" s="182">
        <v>30</v>
      </c>
      <c r="E217" s="182">
        <v>14</v>
      </c>
      <c r="F217" s="182">
        <v>0.8</v>
      </c>
      <c r="G217" s="182">
        <v>8</v>
      </c>
      <c r="H217" s="183">
        <f t="shared" si="1"/>
        <v>0.65116279069767447</v>
      </c>
      <c r="I217" s="192">
        <f t="shared" si="2"/>
        <v>6.5116279069767442</v>
      </c>
      <c r="J217" s="216" t="str">
        <f t="shared" ref="J217:J326" si="114">IF(C217&gt;6000,"HBA 0",IF(C217&gt;5300,"HBA I",IF(C217&gt;4100,"HBA II","HBA III")))</f>
        <v>HBA II</v>
      </c>
      <c r="K217" s="172">
        <f t="shared" si="108"/>
        <v>44.29</v>
      </c>
      <c r="L217" s="183">
        <f t="shared" si="4"/>
        <v>56.474552858178335</v>
      </c>
      <c r="M217" s="188" t="str">
        <f t="shared" si="5"/>
        <v/>
      </c>
      <c r="N217" s="185">
        <f t="shared" ref="N217:N326" si="115">IF(J217="HBA 0", (H217 - 0.66)*4 + (I217 - 7.94)*0.4, IF(J217="HBA I", (H217 - 0.75)*4 + (I217 - 6.04)*0.4, IF(J217="HBA II", (H217 - 0.23)*4 + (I217 - 3.9)*0.4, IF(J217="HBA III", (H217 - 0.24)*4 + (I217 - 3.88)*0.4, ""))))</f>
        <v>2.7293023255813957</v>
      </c>
      <c r="O217" s="175">
        <f t="shared" si="41"/>
        <v>53.745250532596941</v>
      </c>
      <c r="P217" s="193"/>
      <c r="Q217" s="191"/>
      <c r="R217" s="186">
        <f>'ICI, GNewc, Delta'!D728*C217/5000</f>
        <v>61.459200000000003</v>
      </c>
      <c r="S217" s="217" t="e">
        <f>(#REF!*C217/5000)+R217</f>
        <v>#REF!</v>
      </c>
      <c r="T217" s="218" t="s">
        <v>162</v>
      </c>
      <c r="U217" s="230">
        <f t="shared" si="37"/>
        <v>7.7139494674030615</v>
      </c>
      <c r="V217" s="220"/>
      <c r="W217" s="221"/>
      <c r="X217" s="221"/>
      <c r="Y217" s="221"/>
      <c r="Z217" s="180"/>
      <c r="AA217" s="180"/>
      <c r="AB217" s="180"/>
      <c r="AC217" s="180"/>
    </row>
    <row r="218" spans="1:29" ht="36.75" hidden="1" customHeight="1" x14ac:dyDescent="0.4">
      <c r="A218" s="214">
        <f t="shared" si="107"/>
        <v>45976</v>
      </c>
      <c r="B218" s="215" t="s">
        <v>166</v>
      </c>
      <c r="C218" s="181">
        <v>4200</v>
      </c>
      <c r="D218" s="182">
        <v>38</v>
      </c>
      <c r="E218" s="182">
        <v>16</v>
      </c>
      <c r="F218" s="182">
        <v>0.4</v>
      </c>
      <c r="G218" s="182">
        <v>8</v>
      </c>
      <c r="H218" s="183">
        <f t="shared" si="1"/>
        <v>0.29523809523809524</v>
      </c>
      <c r="I218" s="192">
        <f t="shared" si="2"/>
        <v>5.9047619047619051</v>
      </c>
      <c r="J218" s="216" t="str">
        <f t="shared" si="114"/>
        <v>HBA II</v>
      </c>
      <c r="K218" s="172">
        <f t="shared" si="108"/>
        <v>44.29</v>
      </c>
      <c r="L218" s="183">
        <f t="shared" si="4"/>
        <v>43.767778465088199</v>
      </c>
      <c r="M218" s="188" t="str">
        <f t="shared" si="5"/>
        <v/>
      </c>
      <c r="N218" s="185">
        <f t="shared" si="115"/>
        <v>1.0628571428571432</v>
      </c>
      <c r="O218" s="175">
        <f t="shared" si="41"/>
        <v>42.704921322231058</v>
      </c>
      <c r="P218" s="193"/>
      <c r="Q218" s="191"/>
      <c r="R218" s="258">
        <f t="shared" ref="R218:R219" si="116">O218*16200</f>
        <v>691819.72542014311</v>
      </c>
      <c r="S218" s="217" t="e">
        <f>#REF!+'HPB Calculation'!R218</f>
        <v>#REF!</v>
      </c>
      <c r="T218" s="218" t="s">
        <v>4</v>
      </c>
      <c r="U218" s="230">
        <f t="shared" si="37"/>
        <v>691777.02049882093</v>
      </c>
      <c r="V218" s="220"/>
      <c r="W218" s="221"/>
      <c r="X218" s="226"/>
      <c r="Y218" s="226"/>
      <c r="Z218" s="180"/>
      <c r="AA218" s="180"/>
      <c r="AB218" s="180"/>
      <c r="AC218" s="180"/>
    </row>
    <row r="219" spans="1:29" ht="36.75" hidden="1" customHeight="1" x14ac:dyDescent="0.4">
      <c r="A219" s="214">
        <f t="shared" si="107"/>
        <v>45976</v>
      </c>
      <c r="B219" s="215" t="s">
        <v>166</v>
      </c>
      <c r="C219" s="181">
        <v>4200</v>
      </c>
      <c r="D219" s="182">
        <v>38</v>
      </c>
      <c r="E219" s="182">
        <v>16</v>
      </c>
      <c r="F219" s="182">
        <v>0.4</v>
      </c>
      <c r="G219" s="182">
        <v>8</v>
      </c>
      <c r="H219" s="183">
        <f t="shared" si="1"/>
        <v>0.29523809523809524</v>
      </c>
      <c r="I219" s="192">
        <f t="shared" si="2"/>
        <v>5.9047619047619051</v>
      </c>
      <c r="J219" s="216" t="str">
        <f t="shared" si="114"/>
        <v>HBA II</v>
      </c>
      <c r="K219" s="172">
        <f t="shared" si="108"/>
        <v>44.29</v>
      </c>
      <c r="L219" s="183">
        <f t="shared" si="4"/>
        <v>43.767778465088199</v>
      </c>
      <c r="M219" s="188" t="str">
        <f t="shared" si="5"/>
        <v/>
      </c>
      <c r="N219" s="185">
        <f t="shared" si="115"/>
        <v>1.0628571428571432</v>
      </c>
      <c r="O219" s="175">
        <f t="shared" si="41"/>
        <v>42.704921322231058</v>
      </c>
      <c r="P219" s="193"/>
      <c r="Q219" s="191"/>
      <c r="R219" s="258">
        <f t="shared" si="116"/>
        <v>691819.72542014311</v>
      </c>
      <c r="S219" s="217" t="e">
        <f>#REF!+'HPB Calculation'!R219</f>
        <v>#REF!</v>
      </c>
      <c r="T219" s="218" t="s">
        <v>4</v>
      </c>
      <c r="U219" s="230">
        <f t="shared" si="37"/>
        <v>691777.02049882093</v>
      </c>
      <c r="V219" s="220"/>
      <c r="W219" s="221"/>
      <c r="X219" s="226"/>
      <c r="Y219" s="226"/>
      <c r="Z219" s="180"/>
      <c r="AA219" s="180"/>
      <c r="AB219" s="180"/>
      <c r="AC219" s="180"/>
    </row>
    <row r="220" spans="1:29" ht="36.75" hidden="1" customHeight="1" x14ac:dyDescent="0.4">
      <c r="A220" s="214">
        <f t="shared" si="107"/>
        <v>45976</v>
      </c>
      <c r="B220" s="288" t="s">
        <v>165</v>
      </c>
      <c r="C220" s="227">
        <v>5300</v>
      </c>
      <c r="D220" s="210">
        <v>22</v>
      </c>
      <c r="E220" s="210">
        <v>13</v>
      </c>
      <c r="F220" s="171">
        <v>0.8</v>
      </c>
      <c r="G220" s="210">
        <v>8</v>
      </c>
      <c r="H220" s="183">
        <f t="shared" si="1"/>
        <v>0.71724137931034493</v>
      </c>
      <c r="I220" s="183">
        <f t="shared" si="2"/>
        <v>7.1724137931034484</v>
      </c>
      <c r="J220" s="222" t="str">
        <f t="shared" si="114"/>
        <v>HBA II</v>
      </c>
      <c r="K220" s="172">
        <f t="shared" si="108"/>
        <v>44.29</v>
      </c>
      <c r="L220" s="183">
        <f t="shared" si="4"/>
        <v>69.483869498722981</v>
      </c>
      <c r="M220" s="184" t="str">
        <f t="shared" si="5"/>
        <v/>
      </c>
      <c r="N220" s="185">
        <f t="shared" si="115"/>
        <v>3.257931034482759</v>
      </c>
      <c r="O220" s="175">
        <f t="shared" si="41"/>
        <v>66.225938464240215</v>
      </c>
      <c r="P220" s="289">
        <v>6.5</v>
      </c>
      <c r="Q220" s="187">
        <f t="shared" ref="Q220:Q222" si="117">O220-P220</f>
        <v>59.725938464240215</v>
      </c>
      <c r="R220" s="176">
        <f>R218</f>
        <v>691819.72542014311</v>
      </c>
      <c r="S220" s="217" t="e">
        <f t="shared" ref="S220:S223" si="118">(((#REF!*50%)+(#REF!*50%))*C220/5400)+R220</f>
        <v>#REF!</v>
      </c>
      <c r="T220" s="218" t="s">
        <v>23</v>
      </c>
      <c r="U220" s="219">
        <f t="shared" si="37"/>
        <v>691753.49948167882</v>
      </c>
      <c r="V220" s="220"/>
      <c r="W220" s="221"/>
      <c r="X220" s="226"/>
      <c r="Y220" s="226"/>
      <c r="Z220" s="180"/>
      <c r="AA220" s="180"/>
      <c r="AB220" s="180"/>
      <c r="AC220" s="180"/>
    </row>
    <row r="221" spans="1:29" ht="36.75" hidden="1" customHeight="1" x14ac:dyDescent="0.4">
      <c r="A221" s="214">
        <f t="shared" si="107"/>
        <v>45976</v>
      </c>
      <c r="B221" s="288" t="s">
        <v>152</v>
      </c>
      <c r="C221" s="227">
        <v>5400</v>
      </c>
      <c r="D221" s="210">
        <v>25</v>
      </c>
      <c r="E221" s="210">
        <v>11</v>
      </c>
      <c r="F221" s="171">
        <v>0.8</v>
      </c>
      <c r="G221" s="210">
        <v>6</v>
      </c>
      <c r="H221" s="183">
        <f t="shared" si="1"/>
        <v>0.6741573033707865</v>
      </c>
      <c r="I221" s="183">
        <f t="shared" si="2"/>
        <v>5.0561797752808983</v>
      </c>
      <c r="J221" s="222" t="str">
        <f t="shared" si="114"/>
        <v>HBA I</v>
      </c>
      <c r="K221" s="172">
        <f t="shared" si="108"/>
        <v>67.290000000000006</v>
      </c>
      <c r="L221" s="183">
        <f t="shared" si="4"/>
        <v>65.352970235297505</v>
      </c>
      <c r="M221" s="184" t="str">
        <f t="shared" si="5"/>
        <v/>
      </c>
      <c r="N221" s="185">
        <f t="shared" si="115"/>
        <v>-0.69689887640449477</v>
      </c>
      <c r="O221" s="175">
        <f t="shared" si="41"/>
        <v>66.049869111701994</v>
      </c>
      <c r="P221" s="289">
        <v>6.5</v>
      </c>
      <c r="Q221" s="187">
        <f t="shared" si="117"/>
        <v>59.549869111701994</v>
      </c>
      <c r="R221" s="176">
        <f>'ICI, GNewc, Delta'!D829</f>
        <v>0</v>
      </c>
      <c r="S221" s="217" t="e">
        <f t="shared" si="118"/>
        <v>#REF!</v>
      </c>
      <c r="T221" s="218" t="s">
        <v>23</v>
      </c>
      <c r="U221" s="219">
        <f t="shared" si="37"/>
        <v>-66.049869111701994</v>
      </c>
      <c r="V221" s="220"/>
      <c r="W221" s="221"/>
      <c r="X221" s="226"/>
      <c r="Y221" s="226"/>
      <c r="Z221" s="180"/>
      <c r="AA221" s="180"/>
      <c r="AB221" s="180"/>
      <c r="AC221" s="180"/>
    </row>
    <row r="222" spans="1:29" ht="36.75" hidden="1" customHeight="1" x14ac:dyDescent="0.4">
      <c r="A222" s="214">
        <f t="shared" si="107"/>
        <v>45976</v>
      </c>
      <c r="B222" s="288" t="s">
        <v>168</v>
      </c>
      <c r="C222" s="321">
        <v>5295</v>
      </c>
      <c r="D222" s="210">
        <v>25</v>
      </c>
      <c r="E222" s="210">
        <v>11</v>
      </c>
      <c r="F222" s="171">
        <v>0.8</v>
      </c>
      <c r="G222" s="210">
        <v>6</v>
      </c>
      <c r="H222" s="183">
        <f t="shared" si="1"/>
        <v>0.6741573033707865</v>
      </c>
      <c r="I222" s="183">
        <f t="shared" si="2"/>
        <v>5.0561797752808983</v>
      </c>
      <c r="J222" s="222" t="str">
        <f t="shared" si="114"/>
        <v>HBA II</v>
      </c>
      <c r="K222" s="172">
        <f t="shared" si="108"/>
        <v>44.29</v>
      </c>
      <c r="L222" s="183">
        <f t="shared" si="4"/>
        <v>66.748383344654968</v>
      </c>
      <c r="M222" s="184" t="str">
        <f t="shared" si="5"/>
        <v/>
      </c>
      <c r="N222" s="185">
        <f t="shared" si="115"/>
        <v>2.2391011235955056</v>
      </c>
      <c r="O222" s="175">
        <f t="shared" si="41"/>
        <v>64.509282221059465</v>
      </c>
      <c r="P222" s="289">
        <v>6.5</v>
      </c>
      <c r="Q222" s="187">
        <f t="shared" si="117"/>
        <v>58.009282221059465</v>
      </c>
      <c r="R222" s="176">
        <f>'ICI, GNewc, Delta'!D830</f>
        <v>0</v>
      </c>
      <c r="S222" s="217" t="e">
        <f t="shared" si="118"/>
        <v>#REF!</v>
      </c>
      <c r="T222" s="218" t="s">
        <v>23</v>
      </c>
      <c r="U222" s="219">
        <f t="shared" si="37"/>
        <v>-64.509282221059465</v>
      </c>
      <c r="V222" s="220"/>
      <c r="W222" s="221"/>
      <c r="X222" s="226"/>
      <c r="Y222" s="226"/>
      <c r="Z222" s="180"/>
      <c r="AA222" s="180"/>
      <c r="AB222" s="180"/>
      <c r="AC222" s="180"/>
    </row>
    <row r="223" spans="1:29" ht="36.75" hidden="1" customHeight="1" x14ac:dyDescent="0.4">
      <c r="A223" s="214">
        <f t="shared" si="107"/>
        <v>45976</v>
      </c>
      <c r="B223" s="215" t="s">
        <v>171</v>
      </c>
      <c r="C223" s="227">
        <v>5400</v>
      </c>
      <c r="D223" s="210">
        <v>25</v>
      </c>
      <c r="E223" s="171">
        <v>11</v>
      </c>
      <c r="F223" s="171">
        <v>0.8</v>
      </c>
      <c r="G223" s="171">
        <v>6</v>
      </c>
      <c r="H223" s="183">
        <f t="shared" si="1"/>
        <v>0.6741573033707865</v>
      </c>
      <c r="I223" s="183">
        <f t="shared" si="2"/>
        <v>5.0561797752808983</v>
      </c>
      <c r="J223" s="216" t="str">
        <f t="shared" si="114"/>
        <v>HBA I</v>
      </c>
      <c r="K223" s="172">
        <f t="shared" si="108"/>
        <v>67.290000000000006</v>
      </c>
      <c r="L223" s="183">
        <f t="shared" si="4"/>
        <v>65.352970235297505</v>
      </c>
      <c r="M223" s="184" t="str">
        <f t="shared" si="5"/>
        <v/>
      </c>
      <c r="N223" s="185">
        <f t="shared" si="115"/>
        <v>-0.69689887640449477</v>
      </c>
      <c r="O223" s="175">
        <f t="shared" si="41"/>
        <v>66.049869111701994</v>
      </c>
      <c r="P223" s="186"/>
      <c r="Q223" s="187"/>
      <c r="R223" s="176">
        <f>R209*C223/C209</f>
        <v>73.564184731385481</v>
      </c>
      <c r="S223" s="217" t="e">
        <f t="shared" si="118"/>
        <v>#REF!</v>
      </c>
      <c r="T223" s="218" t="s">
        <v>151</v>
      </c>
      <c r="U223" s="230">
        <f t="shared" si="37"/>
        <v>7.5143156196834866</v>
      </c>
      <c r="V223" s="220"/>
      <c r="W223" s="221"/>
      <c r="X223" s="226"/>
      <c r="Y223" s="226"/>
      <c r="Z223" s="180"/>
      <c r="AA223" s="180"/>
      <c r="AB223" s="180"/>
      <c r="AC223" s="180"/>
    </row>
    <row r="224" spans="1:29" ht="36.75" hidden="1" customHeight="1" x14ac:dyDescent="0.4">
      <c r="A224" s="307">
        <f t="shared" ref="A224:A241" si="119">A$44</f>
        <v>45992</v>
      </c>
      <c r="B224" s="308" t="s">
        <v>14</v>
      </c>
      <c r="C224" s="309">
        <v>5000</v>
      </c>
      <c r="D224" s="310">
        <v>28</v>
      </c>
      <c r="E224" s="310">
        <v>13</v>
      </c>
      <c r="F224" s="310">
        <v>0.8</v>
      </c>
      <c r="G224" s="310">
        <v>8</v>
      </c>
      <c r="H224" s="311">
        <f t="shared" si="1"/>
        <v>0.66206896551724137</v>
      </c>
      <c r="I224" s="311">
        <f t="shared" si="2"/>
        <v>6.6206896551724137</v>
      </c>
      <c r="J224" s="312" t="str">
        <f t="shared" si="114"/>
        <v>HBA II</v>
      </c>
      <c r="K224" s="311">
        <f t="shared" ref="K224:K235" si="120">IF(J224="", "", INDEX($B$24:$E$44, MATCH(DATE(2025,12,1), $A$24:$A$44, 0), MATCH(J224, $B$23:$E$23, 0)))</f>
        <v>44.37</v>
      </c>
      <c r="L224" s="311">
        <f t="shared" si="4"/>
        <v>60.617744500146095</v>
      </c>
      <c r="M224" s="313" t="str">
        <f t="shared" si="5"/>
        <v/>
      </c>
      <c r="N224" s="314">
        <f t="shared" si="115"/>
        <v>2.8165517241379314</v>
      </c>
      <c r="O224" s="315">
        <f t="shared" si="41"/>
        <v>57.801192776008165</v>
      </c>
      <c r="P224" s="310">
        <v>3.01</v>
      </c>
      <c r="Q224" s="316">
        <f t="shared" ref="Q224:Q226" si="121">O224+P224</f>
        <v>60.811192776008163</v>
      </c>
      <c r="R224" s="317">
        <f>'ICI, GNewc, Delta'!D730</f>
        <v>65.42</v>
      </c>
      <c r="S224" s="318" t="e">
        <f>AVERAGE(#REF!)+0.75</f>
        <v>#REF!</v>
      </c>
      <c r="T224" s="319" t="s">
        <v>3</v>
      </c>
      <c r="U224" s="320">
        <f t="shared" si="37"/>
        <v>7.618807223991837</v>
      </c>
      <c r="V224" s="220"/>
      <c r="W224" s="221"/>
      <c r="X224" s="221"/>
      <c r="Y224" s="221"/>
      <c r="Z224" s="180"/>
      <c r="AA224" s="180"/>
      <c r="AB224" s="180"/>
      <c r="AC224" s="180"/>
    </row>
    <row r="225" spans="1:29" ht="36.75" hidden="1" customHeight="1" x14ac:dyDescent="0.4">
      <c r="A225" s="214">
        <f t="shared" si="119"/>
        <v>45992</v>
      </c>
      <c r="B225" s="215" t="s">
        <v>150</v>
      </c>
      <c r="C225" s="181">
        <v>5400</v>
      </c>
      <c r="D225" s="182">
        <v>19</v>
      </c>
      <c r="E225" s="182">
        <v>14</v>
      </c>
      <c r="F225" s="182">
        <v>0.2</v>
      </c>
      <c r="G225" s="182">
        <v>6</v>
      </c>
      <c r="H225" s="183">
        <f t="shared" si="1"/>
        <v>0.18837209302325583</v>
      </c>
      <c r="I225" s="192">
        <f t="shared" si="2"/>
        <v>5.6511627906976747</v>
      </c>
      <c r="J225" s="222" t="str">
        <f t="shared" si="114"/>
        <v>HBA I</v>
      </c>
      <c r="K225" s="172">
        <f t="shared" si="120"/>
        <v>67.989999999999995</v>
      </c>
      <c r="L225" s="183">
        <f t="shared" si="4"/>
        <v>71.315445415391693</v>
      </c>
      <c r="M225" s="188" t="str">
        <f t="shared" si="5"/>
        <v/>
      </c>
      <c r="N225" s="185">
        <f t="shared" si="115"/>
        <v>-2.4020465116279066</v>
      </c>
      <c r="O225" s="175">
        <f t="shared" si="41"/>
        <v>73.717491927019594</v>
      </c>
      <c r="P225" s="193">
        <v>-7.12</v>
      </c>
      <c r="Q225" s="191">
        <f t="shared" si="121"/>
        <v>66.59749192701959</v>
      </c>
      <c r="R225" s="186">
        <f>('ICI, GNewc, Delta'!C730+'ICI, GNewc, Delta'!D730)/2</f>
        <v>73.534999999999997</v>
      </c>
      <c r="S225" s="223"/>
      <c r="T225" s="218" t="s">
        <v>23</v>
      </c>
      <c r="U225" s="230">
        <f t="shared" si="37"/>
        <v>-0.18249192701959771</v>
      </c>
      <c r="V225" s="224"/>
      <c r="W225" s="225"/>
      <c r="X225" s="225"/>
      <c r="Y225" s="226"/>
      <c r="Z225" s="180"/>
      <c r="AA225" s="180"/>
      <c r="AB225" s="180"/>
      <c r="AC225" s="180"/>
    </row>
    <row r="226" spans="1:29" ht="36.75" hidden="1" customHeight="1" x14ac:dyDescent="0.4">
      <c r="A226" s="214">
        <f t="shared" si="119"/>
        <v>45992</v>
      </c>
      <c r="B226" s="215" t="s">
        <v>150</v>
      </c>
      <c r="C226" s="181">
        <v>5250</v>
      </c>
      <c r="D226" s="182">
        <v>19</v>
      </c>
      <c r="E226" s="182">
        <v>14</v>
      </c>
      <c r="F226" s="182">
        <v>0.2</v>
      </c>
      <c r="G226" s="182">
        <v>6</v>
      </c>
      <c r="H226" s="183">
        <f t="shared" si="1"/>
        <v>0.18837209302325583</v>
      </c>
      <c r="I226" s="192">
        <f t="shared" si="2"/>
        <v>5.6511627906976747</v>
      </c>
      <c r="J226" s="216" t="str">
        <f t="shared" si="114"/>
        <v>HBA II</v>
      </c>
      <c r="K226" s="172">
        <f t="shared" si="120"/>
        <v>44.37</v>
      </c>
      <c r="L226" s="183">
        <f t="shared" si="4"/>
        <v>71.604710690797575</v>
      </c>
      <c r="M226" s="188" t="str">
        <f t="shared" si="5"/>
        <v/>
      </c>
      <c r="N226" s="185">
        <f t="shared" si="115"/>
        <v>0.53395348837209322</v>
      </c>
      <c r="O226" s="175">
        <f t="shared" si="41"/>
        <v>71.070757202425483</v>
      </c>
      <c r="P226" s="193">
        <v>-7.12</v>
      </c>
      <c r="Q226" s="191">
        <f t="shared" si="121"/>
        <v>63.950757202425486</v>
      </c>
      <c r="R226" s="186">
        <f>R225*C226/C225</f>
        <v>71.492361111111109</v>
      </c>
      <c r="S226" s="223"/>
      <c r="T226" s="218" t="s">
        <v>151</v>
      </c>
      <c r="U226" s="230">
        <f t="shared" si="37"/>
        <v>0.42160390868562558</v>
      </c>
      <c r="V226" s="224"/>
      <c r="W226" s="225"/>
      <c r="X226" s="225"/>
      <c r="Y226" s="226"/>
      <c r="Z226" s="180"/>
      <c r="AA226" s="180"/>
      <c r="AB226" s="180"/>
      <c r="AC226" s="180"/>
    </row>
    <row r="227" spans="1:29" ht="36.75" hidden="1" customHeight="1" x14ac:dyDescent="0.4">
      <c r="A227" s="214">
        <f t="shared" si="119"/>
        <v>45992</v>
      </c>
      <c r="B227" s="215" t="s">
        <v>152</v>
      </c>
      <c r="C227" s="227">
        <v>5400</v>
      </c>
      <c r="D227" s="210">
        <v>25</v>
      </c>
      <c r="E227" s="171">
        <v>11</v>
      </c>
      <c r="F227" s="171">
        <v>0.8</v>
      </c>
      <c r="G227" s="171">
        <v>6</v>
      </c>
      <c r="H227" s="183">
        <f t="shared" si="1"/>
        <v>0.6741573033707865</v>
      </c>
      <c r="I227" s="183">
        <f t="shared" si="2"/>
        <v>5.0561797752808983</v>
      </c>
      <c r="J227" s="222" t="str">
        <f t="shared" si="114"/>
        <v>HBA I</v>
      </c>
      <c r="K227" s="172">
        <f t="shared" si="120"/>
        <v>67.989999999999995</v>
      </c>
      <c r="L227" s="183">
        <f t="shared" si="4"/>
        <v>66.032819829066383</v>
      </c>
      <c r="M227" s="184" t="str">
        <f t="shared" si="5"/>
        <v/>
      </c>
      <c r="N227" s="185">
        <f t="shared" si="115"/>
        <v>-0.69689887640449477</v>
      </c>
      <c r="O227" s="175">
        <f t="shared" si="41"/>
        <v>66.729718705470873</v>
      </c>
      <c r="P227" s="186"/>
      <c r="Q227" s="187"/>
      <c r="R227" s="176">
        <f>R225</f>
        <v>73.534999999999997</v>
      </c>
      <c r="S227" s="217" t="e">
        <f t="shared" ref="S227:S230" si="122">(((#REF!*50%)+(#REF!*50%))*C227/5400)+R227</f>
        <v>#REF!</v>
      </c>
      <c r="T227" s="218" t="s">
        <v>23</v>
      </c>
      <c r="U227" s="230">
        <f t="shared" si="37"/>
        <v>6.8052812945291237</v>
      </c>
      <c r="V227" s="220">
        <f t="shared" ref="V227:V228" si="123">O227-6.5</f>
        <v>60.229718705470873</v>
      </c>
      <c r="W227" s="221"/>
      <c r="X227" s="226"/>
      <c r="Y227" s="226"/>
      <c r="Z227" s="180"/>
      <c r="AA227" s="180"/>
      <c r="AB227" s="180"/>
      <c r="AC227" s="180"/>
    </row>
    <row r="228" spans="1:29" ht="36.75" hidden="1" customHeight="1" x14ac:dyDescent="0.4">
      <c r="A228" s="214">
        <f t="shared" si="119"/>
        <v>45992</v>
      </c>
      <c r="B228" s="215" t="s">
        <v>164</v>
      </c>
      <c r="C228" s="227">
        <v>5305</v>
      </c>
      <c r="D228" s="210">
        <v>25</v>
      </c>
      <c r="E228" s="171">
        <v>11</v>
      </c>
      <c r="F228" s="171">
        <v>0.8</v>
      </c>
      <c r="G228" s="171">
        <v>6</v>
      </c>
      <c r="H228" s="183">
        <f t="shared" si="1"/>
        <v>0.6741573033707865</v>
      </c>
      <c r="I228" s="183">
        <f t="shared" si="2"/>
        <v>5.0561797752808983</v>
      </c>
      <c r="J228" s="222" t="str">
        <f t="shared" si="114"/>
        <v>HBA I</v>
      </c>
      <c r="K228" s="172">
        <f t="shared" si="120"/>
        <v>67.989999999999995</v>
      </c>
      <c r="L228" s="183">
        <f t="shared" si="4"/>
        <v>64.871131332073531</v>
      </c>
      <c r="M228" s="184" t="str">
        <f t="shared" si="5"/>
        <v/>
      </c>
      <c r="N228" s="185">
        <f t="shared" si="115"/>
        <v>-0.69689887640449477</v>
      </c>
      <c r="O228" s="175">
        <f t="shared" si="41"/>
        <v>65.568030208478021</v>
      </c>
      <c r="P228" s="186"/>
      <c r="Q228" s="187"/>
      <c r="R228" s="176">
        <f t="shared" ref="R228:R229" si="124">R227*C228/C227</f>
        <v>72.241328703703701</v>
      </c>
      <c r="S228" s="217" t="e">
        <f t="shared" si="122"/>
        <v>#REF!</v>
      </c>
      <c r="T228" s="218" t="s">
        <v>151</v>
      </c>
      <c r="U228" s="230">
        <f t="shared" si="37"/>
        <v>6.67329849522568</v>
      </c>
      <c r="V228" s="220">
        <f t="shared" si="123"/>
        <v>59.068030208478021</v>
      </c>
      <c r="W228" s="221"/>
      <c r="X228" s="226"/>
      <c r="Y228" s="226"/>
      <c r="Z228" s="180"/>
      <c r="AA228" s="180"/>
      <c r="AB228" s="180"/>
      <c r="AC228" s="180"/>
    </row>
    <row r="229" spans="1:29" ht="36.75" hidden="1" customHeight="1" x14ac:dyDescent="0.4">
      <c r="A229" s="214">
        <f t="shared" si="119"/>
        <v>45992</v>
      </c>
      <c r="B229" s="215" t="s">
        <v>165</v>
      </c>
      <c r="C229" s="227">
        <v>5300</v>
      </c>
      <c r="D229" s="210">
        <v>25</v>
      </c>
      <c r="E229" s="171">
        <v>11</v>
      </c>
      <c r="F229" s="171">
        <v>0.8</v>
      </c>
      <c r="G229" s="171">
        <v>6</v>
      </c>
      <c r="H229" s="183">
        <f t="shared" si="1"/>
        <v>0.6741573033707865</v>
      </c>
      <c r="I229" s="183">
        <f t="shared" si="2"/>
        <v>5.0561797752808983</v>
      </c>
      <c r="J229" s="222" t="str">
        <f t="shared" si="114"/>
        <v>HBA II</v>
      </c>
      <c r="K229" s="172">
        <f t="shared" si="120"/>
        <v>44.37</v>
      </c>
      <c r="L229" s="183">
        <f t="shared" si="4"/>
        <v>66.932092885577987</v>
      </c>
      <c r="M229" s="184" t="str">
        <f t="shared" si="5"/>
        <v/>
      </c>
      <c r="N229" s="185">
        <f t="shared" si="115"/>
        <v>2.2391011235955056</v>
      </c>
      <c r="O229" s="175">
        <f t="shared" si="41"/>
        <v>64.692991761982483</v>
      </c>
      <c r="P229" s="186"/>
      <c r="Q229" s="187"/>
      <c r="R229" s="176">
        <f t="shared" si="124"/>
        <v>72.173240740740738</v>
      </c>
      <c r="S229" s="217" t="e">
        <f t="shared" si="122"/>
        <v>#REF!</v>
      </c>
      <c r="T229" s="218" t="s">
        <v>151</v>
      </c>
      <c r="U229" s="230">
        <f t="shared" si="37"/>
        <v>7.4802489787582545</v>
      </c>
      <c r="V229" s="220"/>
      <c r="W229" s="221"/>
      <c r="X229" s="226"/>
      <c r="Y229" s="226"/>
      <c r="Z229" s="180"/>
      <c r="AA229" s="180"/>
      <c r="AB229" s="180"/>
      <c r="AC229" s="180"/>
    </row>
    <row r="230" spans="1:29" ht="36.75" hidden="1" customHeight="1" x14ac:dyDescent="0.4">
      <c r="A230" s="214">
        <f t="shared" si="119"/>
        <v>45992</v>
      </c>
      <c r="B230" s="215" t="s">
        <v>155</v>
      </c>
      <c r="C230" s="227">
        <v>5275</v>
      </c>
      <c r="D230" s="210">
        <v>25</v>
      </c>
      <c r="E230" s="171">
        <v>11</v>
      </c>
      <c r="F230" s="171">
        <v>0.8</v>
      </c>
      <c r="G230" s="171">
        <v>6</v>
      </c>
      <c r="H230" s="183">
        <f t="shared" si="1"/>
        <v>0.6741573033707865</v>
      </c>
      <c r="I230" s="183">
        <f t="shared" si="2"/>
        <v>5.0561797752808983</v>
      </c>
      <c r="J230" s="216" t="str">
        <f t="shared" si="114"/>
        <v>HBA II</v>
      </c>
      <c r="K230" s="172">
        <f t="shared" si="120"/>
        <v>44.37</v>
      </c>
      <c r="L230" s="183">
        <f t="shared" si="4"/>
        <v>66.61637546630638</v>
      </c>
      <c r="M230" s="184" t="str">
        <f t="shared" si="5"/>
        <v/>
      </c>
      <c r="N230" s="185">
        <f t="shared" si="115"/>
        <v>2.2391011235955056</v>
      </c>
      <c r="O230" s="175">
        <f t="shared" si="41"/>
        <v>64.377274342710876</v>
      </c>
      <c r="P230" s="186"/>
      <c r="Q230" s="187"/>
      <c r="R230" s="176">
        <f>R227*C230/C227</f>
        <v>71.832800925925923</v>
      </c>
      <c r="S230" s="217" t="e">
        <f t="shared" si="122"/>
        <v>#REF!</v>
      </c>
      <c r="T230" s="218" t="s">
        <v>151</v>
      </c>
      <c r="U230" s="230">
        <f t="shared" si="37"/>
        <v>7.4555265832150468</v>
      </c>
      <c r="V230" s="220">
        <f>O230-6.5</f>
        <v>57.877274342710876</v>
      </c>
      <c r="W230" s="221"/>
      <c r="X230" s="226"/>
      <c r="Y230" s="226"/>
      <c r="Z230" s="180"/>
      <c r="AA230" s="180"/>
      <c r="AB230" s="180"/>
      <c r="AC230" s="180"/>
    </row>
    <row r="231" spans="1:29" ht="36.75" hidden="1" customHeight="1" x14ac:dyDescent="0.4">
      <c r="A231" s="214">
        <f t="shared" si="119"/>
        <v>45992</v>
      </c>
      <c r="B231" s="215" t="s">
        <v>157</v>
      </c>
      <c r="C231" s="181">
        <v>5400</v>
      </c>
      <c r="D231" s="182">
        <v>22</v>
      </c>
      <c r="E231" s="182">
        <v>14</v>
      </c>
      <c r="F231" s="208">
        <v>1</v>
      </c>
      <c r="G231" s="182">
        <v>6</v>
      </c>
      <c r="H231" s="183">
        <f t="shared" si="1"/>
        <v>0.90697674418604646</v>
      </c>
      <c r="I231" s="183">
        <f t="shared" si="2"/>
        <v>5.441860465116279</v>
      </c>
      <c r="J231" s="222" t="str">
        <f t="shared" si="114"/>
        <v>HBA I</v>
      </c>
      <c r="K231" s="172">
        <f t="shared" si="120"/>
        <v>67.989999999999995</v>
      </c>
      <c r="L231" s="183">
        <f t="shared" si="4"/>
        <v>68.674132622229038</v>
      </c>
      <c r="M231" s="184" t="str">
        <f t="shared" si="5"/>
        <v/>
      </c>
      <c r="N231" s="185">
        <f t="shared" si="115"/>
        <v>0.38865116279069739</v>
      </c>
      <c r="O231" s="175">
        <f t="shared" si="41"/>
        <v>68.285481459438344</v>
      </c>
      <c r="P231" s="186"/>
      <c r="Q231" s="187"/>
      <c r="R231" s="186">
        <f>R225</f>
        <v>73.534999999999997</v>
      </c>
      <c r="S231" s="217" t="e">
        <f>((#REF!*50%)+(#REF!*50%))+R231</f>
        <v>#REF!</v>
      </c>
      <c r="T231" s="218" t="s">
        <v>151</v>
      </c>
      <c r="U231" s="230">
        <f t="shared" si="37"/>
        <v>5.2495185405616525</v>
      </c>
      <c r="V231" s="220"/>
      <c r="W231" s="221"/>
      <c r="X231" s="226"/>
      <c r="Y231" s="226"/>
      <c r="Z231" s="180"/>
      <c r="AA231" s="180"/>
      <c r="AB231" s="180"/>
      <c r="AC231" s="180"/>
    </row>
    <row r="232" spans="1:29" ht="36.75" hidden="1" customHeight="1" x14ac:dyDescent="0.4">
      <c r="A232" s="214">
        <f t="shared" si="119"/>
        <v>45992</v>
      </c>
      <c r="B232" s="215" t="s">
        <v>158</v>
      </c>
      <c r="C232" s="181">
        <v>4200</v>
      </c>
      <c r="D232" s="182">
        <v>36</v>
      </c>
      <c r="E232" s="182">
        <v>16</v>
      </c>
      <c r="F232" s="182">
        <v>0.4</v>
      </c>
      <c r="G232" s="182">
        <v>8</v>
      </c>
      <c r="H232" s="183">
        <f t="shared" si="1"/>
        <v>0.30476190476190479</v>
      </c>
      <c r="I232" s="192">
        <f t="shared" si="2"/>
        <v>6.0952380952380949</v>
      </c>
      <c r="J232" s="216" t="str">
        <f t="shared" si="114"/>
        <v>HBA II</v>
      </c>
      <c r="K232" s="172">
        <f t="shared" si="120"/>
        <v>44.37</v>
      </c>
      <c r="L232" s="183">
        <f t="shared" si="4"/>
        <v>45.261249226775753</v>
      </c>
      <c r="M232" s="188" t="str">
        <f t="shared" si="5"/>
        <v/>
      </c>
      <c r="N232" s="185">
        <f t="shared" si="115"/>
        <v>1.177142857142857</v>
      </c>
      <c r="O232" s="175">
        <f t="shared" si="41"/>
        <v>44.084106369632899</v>
      </c>
      <c r="P232" s="193"/>
      <c r="Q232" s="191"/>
      <c r="R232" s="186">
        <f>'ICI, GNewc, Delta'!E730</f>
        <v>48.75</v>
      </c>
      <c r="S232" s="217" t="e">
        <f>#REF!+'HPB Calculation'!R232</f>
        <v>#REF!</v>
      </c>
      <c r="T232" s="218" t="s">
        <v>4</v>
      </c>
      <c r="U232" s="230">
        <f t="shared" si="37"/>
        <v>4.6658936303671013</v>
      </c>
      <c r="V232" s="220"/>
      <c r="W232" s="221"/>
      <c r="X232" s="226"/>
      <c r="Y232" s="226"/>
      <c r="Z232" s="180"/>
      <c r="AA232" s="180"/>
      <c r="AB232" s="180"/>
      <c r="AC232" s="180"/>
    </row>
    <row r="233" spans="1:29" ht="36.75" hidden="1" customHeight="1" x14ac:dyDescent="0.4">
      <c r="A233" s="214">
        <f t="shared" si="119"/>
        <v>45992</v>
      </c>
      <c r="B233" s="215" t="s">
        <v>159</v>
      </c>
      <c r="C233" s="181">
        <v>4050</v>
      </c>
      <c r="D233" s="182">
        <v>36</v>
      </c>
      <c r="E233" s="182">
        <v>16</v>
      </c>
      <c r="F233" s="182">
        <v>0.4</v>
      </c>
      <c r="G233" s="182">
        <v>8</v>
      </c>
      <c r="H233" s="183">
        <f t="shared" si="1"/>
        <v>0.30476190476190479</v>
      </c>
      <c r="I233" s="192">
        <f t="shared" si="2"/>
        <v>6.0952380952380949</v>
      </c>
      <c r="J233" s="229" t="str">
        <f t="shared" si="114"/>
        <v>HBA III</v>
      </c>
      <c r="K233" s="172">
        <f t="shared" si="120"/>
        <v>34.15</v>
      </c>
      <c r="L233" s="183">
        <f t="shared" si="4"/>
        <v>46.937496171718244</v>
      </c>
      <c r="M233" s="188">
        <f t="shared" si="5"/>
        <v>1.0042187500000002</v>
      </c>
      <c r="N233" s="185">
        <f t="shared" si="115"/>
        <v>1.1451428571428572</v>
      </c>
      <c r="O233" s="175">
        <f t="shared" si="41"/>
        <v>32.446678232998956</v>
      </c>
      <c r="P233" s="193"/>
      <c r="Q233" s="191"/>
      <c r="R233" s="186">
        <f>R232*C233/C232</f>
        <v>47.008928571428569</v>
      </c>
      <c r="S233" s="217" t="e">
        <f>#REF!+'HPB Calculation'!R233</f>
        <v>#REF!</v>
      </c>
      <c r="T233" s="218" t="s">
        <v>160</v>
      </c>
      <c r="U233" s="230">
        <f t="shared" si="37"/>
        <v>14.562250338429614</v>
      </c>
      <c r="V233" s="220"/>
      <c r="W233" s="221"/>
      <c r="X233" s="226"/>
      <c r="Y233" s="226"/>
      <c r="Z233" s="180"/>
      <c r="AA233" s="180"/>
      <c r="AB233" s="180"/>
      <c r="AC233" s="180"/>
    </row>
    <row r="234" spans="1:29" ht="36.75" hidden="1" customHeight="1" x14ac:dyDescent="0.4">
      <c r="A234" s="214">
        <f t="shared" si="119"/>
        <v>45992</v>
      </c>
      <c r="B234" s="215" t="s">
        <v>15</v>
      </c>
      <c r="C234" s="170">
        <v>3600</v>
      </c>
      <c r="D234" s="171">
        <v>40</v>
      </c>
      <c r="E234" s="171">
        <v>15</v>
      </c>
      <c r="F234" s="171">
        <v>0.6</v>
      </c>
      <c r="G234" s="171">
        <v>8</v>
      </c>
      <c r="H234" s="183">
        <f t="shared" si="1"/>
        <v>0.42352941176470588</v>
      </c>
      <c r="I234" s="192">
        <f t="shared" si="2"/>
        <v>5.6470588235294121</v>
      </c>
      <c r="J234" s="229" t="str">
        <f t="shared" si="114"/>
        <v>HBA III</v>
      </c>
      <c r="K234" s="172">
        <f t="shared" si="120"/>
        <v>34.15</v>
      </c>
      <c r="L234" s="183">
        <f t="shared" si="4"/>
        <v>41.722218819305098</v>
      </c>
      <c r="M234" s="200">
        <f t="shared" si="5"/>
        <v>1.0711666666666668</v>
      </c>
      <c r="N234" s="185">
        <f t="shared" si="115"/>
        <v>1.4409411764705884</v>
      </c>
      <c r="O234" s="175">
        <f t="shared" si="41"/>
        <v>40.28127764283451</v>
      </c>
      <c r="P234" s="193"/>
      <c r="Q234" s="191"/>
      <c r="R234" s="186">
        <f>'ICI, GNewc, Delta'!AF730</f>
        <v>40.61</v>
      </c>
      <c r="S234" s="217" t="e">
        <f>((#REF!*50%)+(#REF!*50%))</f>
        <v>#REF!</v>
      </c>
      <c r="T234" s="218" t="s">
        <v>25</v>
      </c>
      <c r="U234" s="230">
        <f t="shared" si="37"/>
        <v>0.32872235716548914</v>
      </c>
      <c r="V234" s="220"/>
      <c r="W234" s="221"/>
      <c r="X234" s="226"/>
      <c r="Y234" s="226"/>
      <c r="Z234" s="180"/>
      <c r="AA234" s="180"/>
      <c r="AB234" s="180"/>
      <c r="AC234" s="180"/>
    </row>
    <row r="235" spans="1:29" ht="36.75" hidden="1" customHeight="1" x14ac:dyDescent="0.4">
      <c r="A235" s="214">
        <f t="shared" si="119"/>
        <v>45992</v>
      </c>
      <c r="B235" s="257" t="s">
        <v>161</v>
      </c>
      <c r="C235" s="181">
        <v>4800</v>
      </c>
      <c r="D235" s="182">
        <v>30</v>
      </c>
      <c r="E235" s="182">
        <v>14</v>
      </c>
      <c r="F235" s="182">
        <v>0.8</v>
      </c>
      <c r="G235" s="182">
        <v>8</v>
      </c>
      <c r="H235" s="183">
        <f t="shared" si="1"/>
        <v>0.65116279069767447</v>
      </c>
      <c r="I235" s="192">
        <f t="shared" si="2"/>
        <v>6.5116279069767442</v>
      </c>
      <c r="J235" s="216" t="str">
        <f t="shared" si="114"/>
        <v>HBA II</v>
      </c>
      <c r="K235" s="172">
        <f t="shared" si="120"/>
        <v>44.37</v>
      </c>
      <c r="L235" s="183">
        <f t="shared" si="4"/>
        <v>56.576561533469693</v>
      </c>
      <c r="M235" s="188" t="str">
        <f t="shared" si="5"/>
        <v/>
      </c>
      <c r="N235" s="185">
        <f t="shared" si="115"/>
        <v>2.7293023255813957</v>
      </c>
      <c r="O235" s="175">
        <f t="shared" si="41"/>
        <v>53.8472592078883</v>
      </c>
      <c r="P235" s="193"/>
      <c r="Q235" s="191"/>
      <c r="R235" s="186">
        <f>'ICI, GNewc, Delta'!D730*C235/5000</f>
        <v>62.803199999999997</v>
      </c>
      <c r="S235" s="217" t="e">
        <f>(#REF!*C235/5000)+R235</f>
        <v>#REF!</v>
      </c>
      <c r="T235" s="218" t="s">
        <v>162</v>
      </c>
      <c r="U235" s="230">
        <f t="shared" si="37"/>
        <v>8.9559407921116971</v>
      </c>
      <c r="V235" s="220"/>
      <c r="W235" s="221"/>
      <c r="X235" s="221"/>
      <c r="Y235" s="221"/>
      <c r="Z235" s="180"/>
      <c r="AA235" s="180"/>
      <c r="AB235" s="180"/>
      <c r="AC235" s="180"/>
    </row>
    <row r="236" spans="1:29" ht="36.75" hidden="1" customHeight="1" x14ac:dyDescent="0.4">
      <c r="A236" s="214">
        <f t="shared" si="119"/>
        <v>45992</v>
      </c>
      <c r="B236" s="215" t="s">
        <v>166</v>
      </c>
      <c r="C236" s="181">
        <v>4200</v>
      </c>
      <c r="D236" s="182">
        <v>38</v>
      </c>
      <c r="E236" s="182">
        <v>16</v>
      </c>
      <c r="F236" s="182">
        <v>0.4</v>
      </c>
      <c r="G236" s="182">
        <v>8</v>
      </c>
      <c r="H236" s="183">
        <f t="shared" si="1"/>
        <v>0.29523809523809524</v>
      </c>
      <c r="I236" s="192">
        <f t="shared" si="2"/>
        <v>5.9047619047619051</v>
      </c>
      <c r="J236" s="216" t="str">
        <f t="shared" si="114"/>
        <v>HBA II</v>
      </c>
      <c r="K236" s="172">
        <f t="shared" ref="K236:K239" si="125">IF(J236="", "", INDEX($B$24:$E$42, MATCH(DATE(2025,11,1), $A$24:$A$42, 0), MATCH(J236, $B$23:$E$23, 0)))</f>
        <v>44.02</v>
      </c>
      <c r="L236" s="183">
        <f t="shared" si="4"/>
        <v>43.500962023779245</v>
      </c>
      <c r="M236" s="188" t="str">
        <f t="shared" si="5"/>
        <v/>
      </c>
      <c r="N236" s="185">
        <f t="shared" si="115"/>
        <v>1.0628571428571432</v>
      </c>
      <c r="O236" s="175">
        <f t="shared" si="41"/>
        <v>42.438104880922104</v>
      </c>
      <c r="P236" s="193"/>
      <c r="Q236" s="191"/>
      <c r="R236" s="258">
        <f t="shared" ref="R236:R237" si="126">O236*16200</f>
        <v>687497.29907093814</v>
      </c>
      <c r="S236" s="217" t="e">
        <f>#REF!+'HPB Calculation'!R236</f>
        <v>#REF!</v>
      </c>
      <c r="T236" s="218" t="s">
        <v>4</v>
      </c>
      <c r="U236" s="230">
        <f t="shared" si="37"/>
        <v>687454.86096605717</v>
      </c>
      <c r="V236" s="220"/>
      <c r="W236" s="221"/>
      <c r="X236" s="226"/>
      <c r="Y236" s="226"/>
      <c r="Z236" s="180"/>
      <c r="AA236" s="180"/>
      <c r="AB236" s="180"/>
      <c r="AC236" s="180"/>
    </row>
    <row r="237" spans="1:29" ht="36.75" hidden="1" customHeight="1" x14ac:dyDescent="0.4">
      <c r="A237" s="214">
        <f t="shared" si="119"/>
        <v>45992</v>
      </c>
      <c r="B237" s="215" t="s">
        <v>166</v>
      </c>
      <c r="C237" s="181">
        <v>4200</v>
      </c>
      <c r="D237" s="182">
        <v>38</v>
      </c>
      <c r="E237" s="182">
        <v>16</v>
      </c>
      <c r="F237" s="182">
        <v>0.4</v>
      </c>
      <c r="G237" s="182">
        <v>8</v>
      </c>
      <c r="H237" s="183">
        <f t="shared" si="1"/>
        <v>0.29523809523809524</v>
      </c>
      <c r="I237" s="192">
        <f t="shared" si="2"/>
        <v>5.9047619047619051</v>
      </c>
      <c r="J237" s="216" t="str">
        <f t="shared" si="114"/>
        <v>HBA II</v>
      </c>
      <c r="K237" s="172">
        <f t="shared" si="125"/>
        <v>44.02</v>
      </c>
      <c r="L237" s="183">
        <f t="shared" si="4"/>
        <v>43.500962023779245</v>
      </c>
      <c r="M237" s="188" t="str">
        <f t="shared" si="5"/>
        <v/>
      </c>
      <c r="N237" s="185">
        <f t="shared" si="115"/>
        <v>1.0628571428571432</v>
      </c>
      <c r="O237" s="175">
        <f t="shared" si="41"/>
        <v>42.438104880922104</v>
      </c>
      <c r="P237" s="193"/>
      <c r="Q237" s="191"/>
      <c r="R237" s="258">
        <f t="shared" si="126"/>
        <v>687497.29907093814</v>
      </c>
      <c r="S237" s="217" t="e">
        <f>#REF!+'HPB Calculation'!R237</f>
        <v>#REF!</v>
      </c>
      <c r="T237" s="218" t="s">
        <v>4</v>
      </c>
      <c r="U237" s="230">
        <f t="shared" si="37"/>
        <v>687454.86096605717</v>
      </c>
      <c r="V237" s="220"/>
      <c r="W237" s="221"/>
      <c r="X237" s="226"/>
      <c r="Y237" s="226"/>
      <c r="Z237" s="180"/>
      <c r="AA237" s="180"/>
      <c r="AB237" s="180"/>
      <c r="AC237" s="180"/>
    </row>
    <row r="238" spans="1:29" ht="36.75" hidden="1" customHeight="1" x14ac:dyDescent="0.4">
      <c r="A238" s="214">
        <f t="shared" si="119"/>
        <v>45992</v>
      </c>
      <c r="B238" s="288" t="s">
        <v>165</v>
      </c>
      <c r="C238" s="227">
        <v>5300</v>
      </c>
      <c r="D238" s="210">
        <v>22</v>
      </c>
      <c r="E238" s="210">
        <v>13</v>
      </c>
      <c r="F238" s="171">
        <v>0.8</v>
      </c>
      <c r="G238" s="210">
        <v>8</v>
      </c>
      <c r="H238" s="183">
        <f t="shared" si="1"/>
        <v>0.71724137931034493</v>
      </c>
      <c r="I238" s="183">
        <f t="shared" si="2"/>
        <v>7.1724137931034484</v>
      </c>
      <c r="J238" s="222" t="str">
        <f t="shared" si="114"/>
        <v>HBA II</v>
      </c>
      <c r="K238" s="172">
        <f t="shared" si="125"/>
        <v>44.02</v>
      </c>
      <c r="L238" s="183">
        <f t="shared" si="4"/>
        <v>69.060283028534343</v>
      </c>
      <c r="M238" s="184" t="str">
        <f t="shared" si="5"/>
        <v/>
      </c>
      <c r="N238" s="185">
        <f t="shared" si="115"/>
        <v>3.257931034482759</v>
      </c>
      <c r="O238" s="175">
        <f t="shared" si="41"/>
        <v>65.802351994051577</v>
      </c>
      <c r="P238" s="289">
        <v>6.5</v>
      </c>
      <c r="Q238" s="187">
        <f t="shared" ref="Q238:Q240" si="127">O238-P238</f>
        <v>59.302351994051577</v>
      </c>
      <c r="R238" s="176">
        <f>R236</f>
        <v>687497.29907093814</v>
      </c>
      <c r="S238" s="217" t="e">
        <f t="shared" ref="S238:S241" si="128">(((#REF!*50%)+(#REF!*50%))*C238/5400)+R238</f>
        <v>#REF!</v>
      </c>
      <c r="T238" s="218" t="s">
        <v>23</v>
      </c>
      <c r="U238" s="219">
        <f t="shared" si="37"/>
        <v>687431.49671894405</v>
      </c>
      <c r="V238" s="220"/>
      <c r="W238" s="221"/>
      <c r="X238" s="226"/>
      <c r="Y238" s="226"/>
      <c r="Z238" s="180"/>
      <c r="AA238" s="180"/>
      <c r="AB238" s="180"/>
      <c r="AC238" s="180"/>
    </row>
    <row r="239" spans="1:29" ht="36.75" hidden="1" customHeight="1" x14ac:dyDescent="0.4">
      <c r="A239" s="214">
        <f t="shared" si="119"/>
        <v>45992</v>
      </c>
      <c r="B239" s="288" t="s">
        <v>152</v>
      </c>
      <c r="C239" s="227">
        <v>5400</v>
      </c>
      <c r="D239" s="210">
        <v>25</v>
      </c>
      <c r="E239" s="210">
        <v>11</v>
      </c>
      <c r="F239" s="171">
        <v>0.8</v>
      </c>
      <c r="G239" s="210">
        <v>6</v>
      </c>
      <c r="H239" s="183">
        <f t="shared" si="1"/>
        <v>0.6741573033707865</v>
      </c>
      <c r="I239" s="183">
        <f t="shared" si="2"/>
        <v>5.0561797752808983</v>
      </c>
      <c r="J239" s="222" t="str">
        <f t="shared" si="114"/>
        <v>HBA I</v>
      </c>
      <c r="K239" s="172">
        <f t="shared" si="125"/>
        <v>67.22</v>
      </c>
      <c r="L239" s="183">
        <f t="shared" si="4"/>
        <v>65.284985275920604</v>
      </c>
      <c r="M239" s="184" t="str">
        <f t="shared" si="5"/>
        <v/>
      </c>
      <c r="N239" s="185">
        <f t="shared" si="115"/>
        <v>-0.69689887640449477</v>
      </c>
      <c r="O239" s="175">
        <f t="shared" si="41"/>
        <v>65.981884152325094</v>
      </c>
      <c r="P239" s="289">
        <v>6.5</v>
      </c>
      <c r="Q239" s="187">
        <f t="shared" si="127"/>
        <v>59.481884152325094</v>
      </c>
      <c r="R239" s="176">
        <f>'ICI, GNewc, Delta'!D849</f>
        <v>0</v>
      </c>
      <c r="S239" s="217" t="e">
        <f t="shared" si="128"/>
        <v>#REF!</v>
      </c>
      <c r="T239" s="218" t="s">
        <v>23</v>
      </c>
      <c r="U239" s="219">
        <f t="shared" si="37"/>
        <v>-65.981884152325094</v>
      </c>
      <c r="V239" s="220"/>
      <c r="W239" s="221"/>
      <c r="X239" s="226"/>
      <c r="Y239" s="226"/>
      <c r="Z239" s="180"/>
      <c r="AA239" s="180"/>
      <c r="AB239" s="180"/>
      <c r="AC239" s="180"/>
    </row>
    <row r="240" spans="1:29" ht="36.75" hidden="1" customHeight="1" x14ac:dyDescent="0.4">
      <c r="A240" s="214">
        <f t="shared" si="119"/>
        <v>45992</v>
      </c>
      <c r="B240" s="288" t="s">
        <v>168</v>
      </c>
      <c r="C240" s="321">
        <v>5295</v>
      </c>
      <c r="D240" s="210">
        <v>25</v>
      </c>
      <c r="E240" s="210">
        <v>11</v>
      </c>
      <c r="F240" s="171">
        <v>0.8</v>
      </c>
      <c r="G240" s="210">
        <v>6</v>
      </c>
      <c r="H240" s="183">
        <f t="shared" si="1"/>
        <v>0.6741573033707865</v>
      </c>
      <c r="I240" s="183">
        <f t="shared" si="2"/>
        <v>5.0561797752808983</v>
      </c>
      <c r="J240" s="222" t="str">
        <f t="shared" si="114"/>
        <v>HBA II</v>
      </c>
      <c r="K240" s="172">
        <f t="array" ref="K240">IF(J240="", "", INDEX($B$24:$E$41, MATCH(DATE(2025,10,15), $A$24:$A$41, 0), MATCH(J240, $B$23:$E$23, 0)))</f>
        <v>43.71</v>
      </c>
      <c r="L240" s="183">
        <f t="shared" si="4"/>
        <v>65.874279430906938</v>
      </c>
      <c r="M240" s="184" t="str">
        <f t="shared" si="5"/>
        <v/>
      </c>
      <c r="N240" s="185">
        <f t="shared" si="115"/>
        <v>2.2391011235955056</v>
      </c>
      <c r="O240" s="175">
        <f t="shared" si="41"/>
        <v>63.635178307311435</v>
      </c>
      <c r="P240" s="289">
        <v>6.5</v>
      </c>
      <c r="Q240" s="187">
        <f t="shared" si="127"/>
        <v>57.135178307311435</v>
      </c>
      <c r="R240" s="176">
        <f>'ICI, GNewc, Delta'!D850</f>
        <v>0</v>
      </c>
      <c r="S240" s="217" t="e">
        <f t="shared" si="128"/>
        <v>#REF!</v>
      </c>
      <c r="T240" s="218" t="s">
        <v>23</v>
      </c>
      <c r="U240" s="219">
        <f t="shared" si="37"/>
        <v>-63.635178307311435</v>
      </c>
      <c r="V240" s="220"/>
      <c r="W240" s="221"/>
      <c r="X240" s="226"/>
      <c r="Y240" s="226"/>
      <c r="Z240" s="180"/>
      <c r="AA240" s="180"/>
      <c r="AB240" s="180"/>
      <c r="AC240" s="180"/>
    </row>
    <row r="241" spans="1:29" ht="36.75" hidden="1" customHeight="1" x14ac:dyDescent="0.4">
      <c r="A241" s="214">
        <f t="shared" si="119"/>
        <v>45992</v>
      </c>
      <c r="B241" s="215" t="s">
        <v>171</v>
      </c>
      <c r="C241" s="227">
        <v>5400</v>
      </c>
      <c r="D241" s="210">
        <v>25</v>
      </c>
      <c r="E241" s="171">
        <v>11</v>
      </c>
      <c r="F241" s="171">
        <v>0.8</v>
      </c>
      <c r="G241" s="171">
        <v>6</v>
      </c>
      <c r="H241" s="183">
        <f t="shared" si="1"/>
        <v>0.6741573033707865</v>
      </c>
      <c r="I241" s="183">
        <f t="shared" si="2"/>
        <v>5.0561797752808983</v>
      </c>
      <c r="J241" s="216" t="str">
        <f t="shared" si="114"/>
        <v>HBA I</v>
      </c>
      <c r="K241" s="172">
        <f t="array" ref="K241">IF(J241="", "", INDEX($B$24:$E$42, MATCH(DATE(2025,11,1), $A$24:$A$42, 0), MATCH(J241, $B$23:$E$23, 0)))</f>
        <v>67.22</v>
      </c>
      <c r="L241" s="183">
        <f t="shared" si="4"/>
        <v>65.284985275920604</v>
      </c>
      <c r="M241" s="184" t="str">
        <f t="shared" si="5"/>
        <v/>
      </c>
      <c r="N241" s="185">
        <f t="shared" si="115"/>
        <v>-0.69689887640449477</v>
      </c>
      <c r="O241" s="175">
        <f t="shared" si="41"/>
        <v>65.981884152325094</v>
      </c>
      <c r="P241" s="186"/>
      <c r="Q241" s="187"/>
      <c r="R241" s="176">
        <f>R229*C241/C229</f>
        <v>73.534999999999997</v>
      </c>
      <c r="S241" s="217" t="e">
        <f t="shared" si="128"/>
        <v>#REF!</v>
      </c>
      <c r="T241" s="218" t="s">
        <v>151</v>
      </c>
      <c r="U241" s="230">
        <f t="shared" si="37"/>
        <v>7.5531158476749027</v>
      </c>
      <c r="V241" s="220"/>
      <c r="W241" s="221"/>
      <c r="X241" s="226"/>
      <c r="Y241" s="226"/>
      <c r="Z241" s="180"/>
      <c r="AA241" s="180"/>
      <c r="AB241" s="180"/>
      <c r="AC241" s="180"/>
    </row>
    <row r="242" spans="1:29" ht="36.75" hidden="1" customHeight="1" x14ac:dyDescent="0.4">
      <c r="A242" s="307">
        <f t="shared" ref="A242:A253" si="129">A$45</f>
        <v>46006</v>
      </c>
      <c r="B242" s="308" t="s">
        <v>14</v>
      </c>
      <c r="C242" s="309">
        <v>5000</v>
      </c>
      <c r="D242" s="310">
        <v>28</v>
      </c>
      <c r="E242" s="310">
        <v>13</v>
      </c>
      <c r="F242" s="310">
        <v>0.8</v>
      </c>
      <c r="G242" s="310">
        <v>8</v>
      </c>
      <c r="H242" s="311">
        <f t="shared" si="1"/>
        <v>0.66206896551724137</v>
      </c>
      <c r="I242" s="311">
        <f t="shared" si="2"/>
        <v>6.6206896551724137</v>
      </c>
      <c r="J242" s="312" t="str">
        <f t="shared" si="114"/>
        <v>HBA II</v>
      </c>
      <c r="K242" s="311">
        <f t="shared" ref="K242:K253" si="130">IF(J242="", "", INDEX($B$24:$E$45, MATCH(DATE(2025,12,15), $A$24:$A$45, 0), MATCH(J242, $B$23:$E$23, 0)))</f>
        <v>45.44</v>
      </c>
      <c r="L242" s="311">
        <f t="shared" si="4"/>
        <v>62.079565248741012</v>
      </c>
      <c r="M242" s="313" t="str">
        <f t="shared" si="5"/>
        <v/>
      </c>
      <c r="N242" s="314">
        <f t="shared" si="115"/>
        <v>2.8165517241379314</v>
      </c>
      <c r="O242" s="315">
        <f t="shared" si="41"/>
        <v>59.263013524603082</v>
      </c>
      <c r="P242" s="310">
        <v>3.01</v>
      </c>
      <c r="Q242" s="316">
        <f t="shared" ref="Q242:Q244" si="131">O242+P242</f>
        <v>62.27301352460308</v>
      </c>
      <c r="R242" s="317">
        <f>'ICI, GNewc, Delta'!D732</f>
        <v>63.16</v>
      </c>
      <c r="S242" s="318" t="e">
        <f>AVERAGE(#REF!)+0.75</f>
        <v>#REF!</v>
      </c>
      <c r="T242" s="319" t="s">
        <v>3</v>
      </c>
      <c r="U242" s="320">
        <f t="shared" si="37"/>
        <v>3.8969864753969148</v>
      </c>
      <c r="V242" s="220"/>
      <c r="W242" s="221"/>
      <c r="X242" s="221"/>
      <c r="Y242" s="221"/>
      <c r="Z242" s="180"/>
      <c r="AA242" s="180"/>
      <c r="AB242" s="180"/>
      <c r="AC242" s="180"/>
    </row>
    <row r="243" spans="1:29" ht="36.75" hidden="1" customHeight="1" x14ac:dyDescent="0.4">
      <c r="A243" s="214">
        <f t="shared" si="129"/>
        <v>46006</v>
      </c>
      <c r="B243" s="215" t="s">
        <v>150</v>
      </c>
      <c r="C243" s="181">
        <v>5400</v>
      </c>
      <c r="D243" s="182">
        <v>19</v>
      </c>
      <c r="E243" s="182">
        <v>14</v>
      </c>
      <c r="F243" s="182">
        <v>0.2</v>
      </c>
      <c r="G243" s="182">
        <v>6</v>
      </c>
      <c r="H243" s="183">
        <f t="shared" si="1"/>
        <v>0.18837209302325583</v>
      </c>
      <c r="I243" s="192">
        <f t="shared" si="2"/>
        <v>5.6511627906976747</v>
      </c>
      <c r="J243" s="222" t="str">
        <f t="shared" si="114"/>
        <v>HBA I</v>
      </c>
      <c r="K243" s="172">
        <f t="shared" si="130"/>
        <v>69.930000000000007</v>
      </c>
      <c r="L243" s="183">
        <f t="shared" si="4"/>
        <v>73.350332370912511</v>
      </c>
      <c r="M243" s="188" t="str">
        <f t="shared" si="5"/>
        <v/>
      </c>
      <c r="N243" s="185">
        <f t="shared" si="115"/>
        <v>-2.4020465116279066</v>
      </c>
      <c r="O243" s="175">
        <f t="shared" si="41"/>
        <v>75.752378882540413</v>
      </c>
      <c r="P243" s="193">
        <v>-7.12</v>
      </c>
      <c r="Q243" s="191">
        <f t="shared" si="131"/>
        <v>68.632378882540408</v>
      </c>
      <c r="R243" s="186">
        <f>('ICI, GNewc, Delta'!C732+'ICI, GNewc, Delta'!D732)/2</f>
        <v>72.02</v>
      </c>
      <c r="S243" s="223"/>
      <c r="T243" s="218" t="s">
        <v>23</v>
      </c>
      <c r="U243" s="230">
        <f t="shared" si="37"/>
        <v>-3.7323788825404165</v>
      </c>
      <c r="V243" s="224"/>
      <c r="W243" s="225"/>
      <c r="X243" s="225"/>
      <c r="Y243" s="226"/>
      <c r="Z243" s="180"/>
      <c r="AA243" s="180"/>
      <c r="AB243" s="180"/>
      <c r="AC243" s="180"/>
    </row>
    <row r="244" spans="1:29" ht="36.75" hidden="1" customHeight="1" x14ac:dyDescent="0.4">
      <c r="A244" s="214">
        <f t="shared" si="129"/>
        <v>46006</v>
      </c>
      <c r="B244" s="215" t="s">
        <v>150</v>
      </c>
      <c r="C244" s="181">
        <v>5250</v>
      </c>
      <c r="D244" s="182">
        <v>19</v>
      </c>
      <c r="E244" s="182">
        <v>14</v>
      </c>
      <c r="F244" s="182">
        <v>0.2</v>
      </c>
      <c r="G244" s="182">
        <v>6</v>
      </c>
      <c r="H244" s="183">
        <f t="shared" si="1"/>
        <v>0.18837209302325583</v>
      </c>
      <c r="I244" s="192">
        <f t="shared" si="2"/>
        <v>5.6511627906976747</v>
      </c>
      <c r="J244" s="216" t="str">
        <f t="shared" si="114"/>
        <v>HBA II</v>
      </c>
      <c r="K244" s="172">
        <f t="shared" si="130"/>
        <v>45.44</v>
      </c>
      <c r="L244" s="183">
        <f t="shared" si="4"/>
        <v>73.331486450075317</v>
      </c>
      <c r="M244" s="188" t="str">
        <f t="shared" si="5"/>
        <v/>
      </c>
      <c r="N244" s="185">
        <f t="shared" si="115"/>
        <v>0.53395348837209322</v>
      </c>
      <c r="O244" s="175">
        <f t="shared" si="41"/>
        <v>72.797532961703226</v>
      </c>
      <c r="P244" s="193">
        <v>-7.12</v>
      </c>
      <c r="Q244" s="191">
        <f t="shared" si="131"/>
        <v>65.677532961703221</v>
      </c>
      <c r="R244" s="186">
        <f>R243*C244/C243</f>
        <v>70.019444444444446</v>
      </c>
      <c r="S244" s="223"/>
      <c r="T244" s="218" t="s">
        <v>151</v>
      </c>
      <c r="U244" s="230">
        <f t="shared" si="37"/>
        <v>-2.7780885172587801</v>
      </c>
      <c r="V244" s="224"/>
      <c r="W244" s="225"/>
      <c r="X244" s="225"/>
      <c r="Y244" s="226"/>
      <c r="Z244" s="180"/>
      <c r="AA244" s="180"/>
      <c r="AB244" s="180"/>
      <c r="AC244" s="180"/>
    </row>
    <row r="245" spans="1:29" ht="36.75" hidden="1" customHeight="1" x14ac:dyDescent="0.4">
      <c r="A245" s="214">
        <f t="shared" si="129"/>
        <v>46006</v>
      </c>
      <c r="B245" s="215" t="s">
        <v>152</v>
      </c>
      <c r="C245" s="227">
        <v>5400</v>
      </c>
      <c r="D245" s="210">
        <v>25</v>
      </c>
      <c r="E245" s="171">
        <v>11</v>
      </c>
      <c r="F245" s="171">
        <v>0.8</v>
      </c>
      <c r="G245" s="171">
        <v>6</v>
      </c>
      <c r="H245" s="183">
        <f t="shared" si="1"/>
        <v>0.6741573033707865</v>
      </c>
      <c r="I245" s="183">
        <f t="shared" si="2"/>
        <v>5.0561797752808983</v>
      </c>
      <c r="J245" s="222" t="str">
        <f t="shared" si="114"/>
        <v>HBA I</v>
      </c>
      <c r="K245" s="172">
        <f t="shared" si="130"/>
        <v>69.930000000000007</v>
      </c>
      <c r="L245" s="183">
        <f t="shared" si="4"/>
        <v>67.916974417511582</v>
      </c>
      <c r="M245" s="184" t="str">
        <f t="shared" si="5"/>
        <v/>
      </c>
      <c r="N245" s="185">
        <f t="shared" si="115"/>
        <v>-0.69689887640449477</v>
      </c>
      <c r="O245" s="175">
        <f t="shared" si="41"/>
        <v>68.613873293916072</v>
      </c>
      <c r="P245" s="186"/>
      <c r="Q245" s="187"/>
      <c r="R245" s="176">
        <f>R243</f>
        <v>72.02</v>
      </c>
      <c r="S245" s="217" t="e">
        <f t="shared" ref="S245:S248" si="132">(((#REF!*50%)+(#REF!*50%))*C245/5400)+R245</f>
        <v>#REF!</v>
      </c>
      <c r="T245" s="218" t="s">
        <v>23</v>
      </c>
      <c r="U245" s="230">
        <f t="shared" si="37"/>
        <v>3.4061267060839242</v>
      </c>
      <c r="V245" s="220">
        <f t="shared" ref="V245:V246" si="133">O245-6.5</f>
        <v>62.113873293916072</v>
      </c>
      <c r="W245" s="221"/>
      <c r="X245" s="226"/>
      <c r="Y245" s="226"/>
      <c r="Z245" s="180"/>
      <c r="AA245" s="180"/>
      <c r="AB245" s="180"/>
      <c r="AC245" s="180"/>
    </row>
    <row r="246" spans="1:29" ht="36.75" hidden="1" customHeight="1" x14ac:dyDescent="0.4">
      <c r="A246" s="214">
        <f t="shared" si="129"/>
        <v>46006</v>
      </c>
      <c r="B246" s="215" t="s">
        <v>164</v>
      </c>
      <c r="C246" s="227">
        <v>5305</v>
      </c>
      <c r="D246" s="210">
        <v>25</v>
      </c>
      <c r="E246" s="171">
        <v>11</v>
      </c>
      <c r="F246" s="171">
        <v>0.8</v>
      </c>
      <c r="G246" s="171">
        <v>6</v>
      </c>
      <c r="H246" s="183">
        <f t="shared" si="1"/>
        <v>0.6741573033707865</v>
      </c>
      <c r="I246" s="183">
        <f t="shared" si="2"/>
        <v>5.0561797752808983</v>
      </c>
      <c r="J246" s="222" t="str">
        <f t="shared" si="114"/>
        <v>HBA I</v>
      </c>
      <c r="K246" s="172">
        <f t="shared" si="130"/>
        <v>69.930000000000007</v>
      </c>
      <c r="L246" s="183">
        <f t="shared" si="4"/>
        <v>66.722138756462755</v>
      </c>
      <c r="M246" s="184" t="str">
        <f t="shared" si="5"/>
        <v/>
      </c>
      <c r="N246" s="185">
        <f t="shared" si="115"/>
        <v>-0.69689887640449477</v>
      </c>
      <c r="O246" s="175">
        <f t="shared" si="41"/>
        <v>67.419037632867244</v>
      </c>
      <c r="P246" s="186"/>
      <c r="Q246" s="187"/>
      <c r="R246" s="176">
        <f t="shared" ref="R246:R247" si="134">R245*C246/C245</f>
        <v>70.752981481481484</v>
      </c>
      <c r="S246" s="217" t="e">
        <f t="shared" si="132"/>
        <v>#REF!</v>
      </c>
      <c r="T246" s="218" t="s">
        <v>151</v>
      </c>
      <c r="U246" s="230">
        <f t="shared" si="37"/>
        <v>3.3339438486142399</v>
      </c>
      <c r="V246" s="220">
        <f t="shared" si="133"/>
        <v>60.919037632867244</v>
      </c>
      <c r="W246" s="221"/>
      <c r="X246" s="226"/>
      <c r="Y246" s="226"/>
      <c r="Z246" s="180"/>
      <c r="AA246" s="180"/>
      <c r="AB246" s="180"/>
      <c r="AC246" s="180"/>
    </row>
    <row r="247" spans="1:29" ht="36.75" hidden="1" customHeight="1" x14ac:dyDescent="0.4">
      <c r="A247" s="214">
        <f t="shared" si="129"/>
        <v>46006</v>
      </c>
      <c r="B247" s="215" t="s">
        <v>165</v>
      </c>
      <c r="C247" s="227">
        <v>5300</v>
      </c>
      <c r="D247" s="210">
        <v>25</v>
      </c>
      <c r="E247" s="171">
        <v>11</v>
      </c>
      <c r="F247" s="171">
        <v>0.8</v>
      </c>
      <c r="G247" s="171">
        <v>6</v>
      </c>
      <c r="H247" s="183">
        <f t="shared" si="1"/>
        <v>0.6741573033707865</v>
      </c>
      <c r="I247" s="183">
        <f t="shared" si="2"/>
        <v>5.0561797752808983</v>
      </c>
      <c r="J247" s="222" t="str">
        <f t="shared" si="114"/>
        <v>HBA II</v>
      </c>
      <c r="K247" s="172">
        <f t="shared" si="130"/>
        <v>45.44</v>
      </c>
      <c r="L247" s="183">
        <f t="shared" si="4"/>
        <v>68.546186628818191</v>
      </c>
      <c r="M247" s="184" t="str">
        <f t="shared" si="5"/>
        <v/>
      </c>
      <c r="N247" s="185">
        <f t="shared" si="115"/>
        <v>2.2391011235955056</v>
      </c>
      <c r="O247" s="175">
        <f t="shared" si="41"/>
        <v>66.307085505222688</v>
      </c>
      <c r="P247" s="186"/>
      <c r="Q247" s="187"/>
      <c r="R247" s="176">
        <f t="shared" si="134"/>
        <v>70.686296296296305</v>
      </c>
      <c r="S247" s="217" t="e">
        <f t="shared" si="132"/>
        <v>#REF!</v>
      </c>
      <c r="T247" s="218" t="s">
        <v>151</v>
      </c>
      <c r="U247" s="230">
        <f t="shared" si="37"/>
        <v>4.3792107910736178</v>
      </c>
      <c r="V247" s="220"/>
      <c r="W247" s="221"/>
      <c r="X247" s="226"/>
      <c r="Y247" s="226"/>
      <c r="Z247" s="180"/>
      <c r="AA247" s="180"/>
      <c r="AB247" s="180"/>
      <c r="AC247" s="180"/>
    </row>
    <row r="248" spans="1:29" ht="36.75" hidden="1" customHeight="1" x14ac:dyDescent="0.4">
      <c r="A248" s="214">
        <f t="shared" si="129"/>
        <v>46006</v>
      </c>
      <c r="B248" s="215" t="s">
        <v>155</v>
      </c>
      <c r="C248" s="227">
        <v>5275</v>
      </c>
      <c r="D248" s="210">
        <v>25</v>
      </c>
      <c r="E248" s="171">
        <v>11</v>
      </c>
      <c r="F248" s="171">
        <v>0.8</v>
      </c>
      <c r="G248" s="171">
        <v>6</v>
      </c>
      <c r="H248" s="183">
        <f t="shared" si="1"/>
        <v>0.6741573033707865</v>
      </c>
      <c r="I248" s="183">
        <f t="shared" si="2"/>
        <v>5.0561797752808983</v>
      </c>
      <c r="J248" s="216" t="str">
        <f t="shared" si="114"/>
        <v>HBA II</v>
      </c>
      <c r="K248" s="172">
        <f t="shared" si="130"/>
        <v>45.44</v>
      </c>
      <c r="L248" s="183">
        <f t="shared" si="4"/>
        <v>68.222855559814334</v>
      </c>
      <c r="M248" s="184" t="str">
        <f t="shared" si="5"/>
        <v/>
      </c>
      <c r="N248" s="185">
        <f t="shared" si="115"/>
        <v>2.2391011235955056</v>
      </c>
      <c r="O248" s="175">
        <f t="shared" si="41"/>
        <v>65.983754436218831</v>
      </c>
      <c r="P248" s="186"/>
      <c r="Q248" s="187"/>
      <c r="R248" s="176">
        <f>R245*C248/C245</f>
        <v>70.352870370370368</v>
      </c>
      <c r="S248" s="217" t="e">
        <f t="shared" si="132"/>
        <v>#REF!</v>
      </c>
      <c r="T248" s="218" t="s">
        <v>151</v>
      </c>
      <c r="U248" s="230">
        <f t="shared" si="37"/>
        <v>4.3691159341515373</v>
      </c>
      <c r="V248" s="220">
        <f>O248-6.5</f>
        <v>59.483754436218831</v>
      </c>
      <c r="W248" s="221"/>
      <c r="X248" s="226"/>
      <c r="Y248" s="226"/>
      <c r="Z248" s="180"/>
      <c r="AA248" s="180"/>
      <c r="AB248" s="180"/>
      <c r="AC248" s="180"/>
    </row>
    <row r="249" spans="1:29" ht="36.75" hidden="1" customHeight="1" x14ac:dyDescent="0.4">
      <c r="A249" s="214">
        <f t="shared" si="129"/>
        <v>46006</v>
      </c>
      <c r="B249" s="215" t="s">
        <v>157</v>
      </c>
      <c r="C249" s="181">
        <v>5400</v>
      </c>
      <c r="D249" s="182">
        <v>22</v>
      </c>
      <c r="E249" s="182">
        <v>14</v>
      </c>
      <c r="F249" s="208">
        <v>1</v>
      </c>
      <c r="G249" s="182">
        <v>6</v>
      </c>
      <c r="H249" s="183">
        <f t="shared" si="1"/>
        <v>0.90697674418604646</v>
      </c>
      <c r="I249" s="183">
        <f t="shared" si="2"/>
        <v>5.441860465116279</v>
      </c>
      <c r="J249" s="222" t="str">
        <f t="shared" si="114"/>
        <v>HBA I</v>
      </c>
      <c r="K249" s="172">
        <f t="shared" si="130"/>
        <v>69.930000000000007</v>
      </c>
      <c r="L249" s="183">
        <f t="shared" si="4"/>
        <v>70.633653394212061</v>
      </c>
      <c r="M249" s="184" t="str">
        <f t="shared" si="5"/>
        <v/>
      </c>
      <c r="N249" s="185">
        <f t="shared" si="115"/>
        <v>0.38865116279069739</v>
      </c>
      <c r="O249" s="175">
        <f t="shared" si="41"/>
        <v>70.245002231421367</v>
      </c>
      <c r="P249" s="186"/>
      <c r="Q249" s="187"/>
      <c r="R249" s="186">
        <f>R243</f>
        <v>72.02</v>
      </c>
      <c r="S249" s="217" t="e">
        <f>((#REF!*50%)+(#REF!*50%))+R249</f>
        <v>#REF!</v>
      </c>
      <c r="T249" s="218" t="s">
        <v>151</v>
      </c>
      <c r="U249" s="230">
        <f t="shared" si="37"/>
        <v>1.7749977685786291</v>
      </c>
      <c r="V249" s="220"/>
      <c r="W249" s="221"/>
      <c r="X249" s="226"/>
      <c r="Y249" s="226"/>
      <c r="Z249" s="180"/>
      <c r="AA249" s="180"/>
      <c r="AB249" s="180"/>
      <c r="AC249" s="180"/>
    </row>
    <row r="250" spans="1:29" ht="36.75" hidden="1" customHeight="1" x14ac:dyDescent="0.4">
      <c r="A250" s="214">
        <f t="shared" si="129"/>
        <v>46006</v>
      </c>
      <c r="B250" s="215" t="s">
        <v>158</v>
      </c>
      <c r="C250" s="181">
        <v>4200</v>
      </c>
      <c r="D250" s="182">
        <v>36</v>
      </c>
      <c r="E250" s="182">
        <v>16</v>
      </c>
      <c r="F250" s="182">
        <v>0.4</v>
      </c>
      <c r="G250" s="182">
        <v>8</v>
      </c>
      <c r="H250" s="183">
        <f t="shared" si="1"/>
        <v>0.30476190476190479</v>
      </c>
      <c r="I250" s="192">
        <f t="shared" si="2"/>
        <v>6.0952380952380949</v>
      </c>
      <c r="J250" s="216" t="str">
        <f t="shared" si="114"/>
        <v>HBA II</v>
      </c>
      <c r="K250" s="172">
        <f t="shared" si="130"/>
        <v>45.44</v>
      </c>
      <c r="L250" s="183">
        <f t="shared" si="4"/>
        <v>46.352742052393282</v>
      </c>
      <c r="M250" s="188" t="str">
        <f t="shared" si="5"/>
        <v/>
      </c>
      <c r="N250" s="185">
        <f t="shared" si="115"/>
        <v>1.177142857142857</v>
      </c>
      <c r="O250" s="175">
        <f t="shared" si="41"/>
        <v>45.175599195250427</v>
      </c>
      <c r="P250" s="193"/>
      <c r="Q250" s="191"/>
      <c r="R250" s="186">
        <f>'ICI, GNewc, Delta'!E732</f>
        <v>46.73</v>
      </c>
      <c r="S250" s="217" t="e">
        <f>#REF!+'HPB Calculation'!R250</f>
        <v>#REF!</v>
      </c>
      <c r="T250" s="218" t="s">
        <v>4</v>
      </c>
      <c r="U250" s="230">
        <f t="shared" si="37"/>
        <v>1.5544008047495694</v>
      </c>
      <c r="V250" s="220"/>
      <c r="W250" s="221"/>
      <c r="X250" s="226"/>
      <c r="Y250" s="226"/>
      <c r="Z250" s="180"/>
      <c r="AA250" s="180"/>
      <c r="AB250" s="180"/>
      <c r="AC250" s="180"/>
    </row>
    <row r="251" spans="1:29" ht="36.75" hidden="1" customHeight="1" x14ac:dyDescent="0.4">
      <c r="A251" s="214">
        <f t="shared" si="129"/>
        <v>46006</v>
      </c>
      <c r="B251" s="215" t="s">
        <v>159</v>
      </c>
      <c r="C251" s="181">
        <v>4050</v>
      </c>
      <c r="D251" s="182">
        <v>36</v>
      </c>
      <c r="E251" s="182">
        <v>16</v>
      </c>
      <c r="F251" s="182">
        <v>0.4</v>
      </c>
      <c r="G251" s="182">
        <v>8</v>
      </c>
      <c r="H251" s="183">
        <f t="shared" si="1"/>
        <v>0.30476190476190479</v>
      </c>
      <c r="I251" s="192">
        <f t="shared" si="2"/>
        <v>6.0952380952380949</v>
      </c>
      <c r="J251" s="229" t="str">
        <f t="shared" si="114"/>
        <v>HBA III</v>
      </c>
      <c r="K251" s="172">
        <f t="shared" si="130"/>
        <v>35.020000000000003</v>
      </c>
      <c r="L251" s="183">
        <f t="shared" si="4"/>
        <v>48.133268402154407</v>
      </c>
      <c r="M251" s="188">
        <f t="shared" si="5"/>
        <v>1.0042187500000002</v>
      </c>
      <c r="N251" s="185">
        <f t="shared" si="115"/>
        <v>1.1451428571428572</v>
      </c>
      <c r="O251" s="175">
        <f t="shared" si="41"/>
        <v>33.30245815535396</v>
      </c>
      <c r="P251" s="193"/>
      <c r="Q251" s="191"/>
      <c r="R251" s="186">
        <f>R250*C251/C250</f>
        <v>45.061071428571431</v>
      </c>
      <c r="S251" s="217" t="e">
        <f>#REF!+'HPB Calculation'!R251</f>
        <v>#REF!</v>
      </c>
      <c r="T251" s="218" t="s">
        <v>160</v>
      </c>
      <c r="U251" s="230">
        <f t="shared" si="37"/>
        <v>11.75861327321747</v>
      </c>
      <c r="V251" s="220"/>
      <c r="W251" s="221"/>
      <c r="X251" s="226"/>
      <c r="Y251" s="226"/>
      <c r="Z251" s="180"/>
      <c r="AA251" s="180"/>
      <c r="AB251" s="180"/>
      <c r="AC251" s="180"/>
    </row>
    <row r="252" spans="1:29" ht="36.75" hidden="1" customHeight="1" x14ac:dyDescent="0.4">
      <c r="A252" s="214">
        <f t="shared" si="129"/>
        <v>46006</v>
      </c>
      <c r="B252" s="215" t="s">
        <v>15</v>
      </c>
      <c r="C252" s="170">
        <v>3600</v>
      </c>
      <c r="D252" s="171">
        <v>40</v>
      </c>
      <c r="E252" s="171">
        <v>15</v>
      </c>
      <c r="F252" s="171">
        <v>0.6</v>
      </c>
      <c r="G252" s="171">
        <v>8</v>
      </c>
      <c r="H252" s="183">
        <f t="shared" si="1"/>
        <v>0.42352941176470588</v>
      </c>
      <c r="I252" s="192">
        <f t="shared" si="2"/>
        <v>5.6470588235294121</v>
      </c>
      <c r="J252" s="229" t="str">
        <f t="shared" si="114"/>
        <v>HBA III</v>
      </c>
      <c r="K252" s="172">
        <f t="shared" si="130"/>
        <v>35.020000000000003</v>
      </c>
      <c r="L252" s="183">
        <f t="shared" si="4"/>
        <v>42.785127468581699</v>
      </c>
      <c r="M252" s="200">
        <f t="shared" si="5"/>
        <v>1.0711666666666668</v>
      </c>
      <c r="N252" s="185">
        <f t="shared" si="115"/>
        <v>1.4409411764705884</v>
      </c>
      <c r="O252" s="175">
        <f t="shared" si="41"/>
        <v>41.344186292111111</v>
      </c>
      <c r="P252" s="193"/>
      <c r="Q252" s="191"/>
      <c r="R252" s="186">
        <f>'ICI, GNewc, Delta'!AF732</f>
        <v>39.394999999999996</v>
      </c>
      <c r="S252" s="217" t="e">
        <f>((#REF!*50%)+(#REF!*50%))</f>
        <v>#REF!</v>
      </c>
      <c r="T252" s="218" t="s">
        <v>25</v>
      </c>
      <c r="U252" s="230">
        <f t="shared" si="37"/>
        <v>-1.9491862921111149</v>
      </c>
      <c r="V252" s="220"/>
      <c r="W252" s="221"/>
      <c r="X252" s="226"/>
      <c r="Y252" s="226"/>
      <c r="Z252" s="180"/>
      <c r="AA252" s="180"/>
      <c r="AB252" s="180"/>
      <c r="AC252" s="180"/>
    </row>
    <row r="253" spans="1:29" ht="36.75" hidden="1" customHeight="1" x14ac:dyDescent="0.4">
      <c r="A253" s="214">
        <f t="shared" si="129"/>
        <v>46006</v>
      </c>
      <c r="B253" s="257" t="s">
        <v>161</v>
      </c>
      <c r="C253" s="181">
        <v>4800</v>
      </c>
      <c r="D253" s="182">
        <v>30</v>
      </c>
      <c r="E253" s="182">
        <v>14</v>
      </c>
      <c r="F253" s="182">
        <v>0.8</v>
      </c>
      <c r="G253" s="182">
        <v>8</v>
      </c>
      <c r="H253" s="183">
        <f t="shared" si="1"/>
        <v>0.65116279069767447</v>
      </c>
      <c r="I253" s="192">
        <f t="shared" si="2"/>
        <v>6.5116279069767442</v>
      </c>
      <c r="J253" s="216" t="str">
        <f t="shared" si="114"/>
        <v>HBA II</v>
      </c>
      <c r="K253" s="172">
        <f t="shared" si="130"/>
        <v>45.44</v>
      </c>
      <c r="L253" s="183">
        <f t="shared" si="4"/>
        <v>57.940927565491613</v>
      </c>
      <c r="M253" s="188" t="str">
        <f t="shared" si="5"/>
        <v/>
      </c>
      <c r="N253" s="185">
        <f t="shared" si="115"/>
        <v>2.7293023255813957</v>
      </c>
      <c r="O253" s="175">
        <f t="shared" si="41"/>
        <v>55.211625239910219</v>
      </c>
      <c r="P253" s="193"/>
      <c r="Q253" s="191"/>
      <c r="R253" s="186">
        <f>'ICI, GNewc, Delta'!D732*C253/5000</f>
        <v>60.633600000000001</v>
      </c>
      <c r="S253" s="217" t="e">
        <f>(#REF!*C253/5000)+R253</f>
        <v>#REF!</v>
      </c>
      <c r="T253" s="218" t="s">
        <v>162</v>
      </c>
      <c r="U253" s="230">
        <f t="shared" si="37"/>
        <v>5.4219747600897819</v>
      </c>
      <c r="V253" s="220"/>
      <c r="W253" s="221"/>
      <c r="X253" s="221"/>
      <c r="Y253" s="221"/>
      <c r="Z253" s="180"/>
      <c r="AA253" s="180"/>
      <c r="AB253" s="180"/>
      <c r="AC253" s="180"/>
    </row>
    <row r="254" spans="1:29" ht="36.75" hidden="1" customHeight="1" x14ac:dyDescent="0.4">
      <c r="A254" s="214">
        <f t="shared" ref="A254:A259" si="135">A$44</f>
        <v>45992</v>
      </c>
      <c r="B254" s="215" t="s">
        <v>166</v>
      </c>
      <c r="C254" s="181">
        <v>4200</v>
      </c>
      <c r="D254" s="182">
        <v>38</v>
      </c>
      <c r="E254" s="182">
        <v>16</v>
      </c>
      <c r="F254" s="182">
        <v>0.4</v>
      </c>
      <c r="G254" s="182">
        <v>8</v>
      </c>
      <c r="H254" s="183">
        <f t="shared" si="1"/>
        <v>0.29523809523809524</v>
      </c>
      <c r="I254" s="192">
        <f t="shared" si="2"/>
        <v>5.9047619047619051</v>
      </c>
      <c r="J254" s="216" t="str">
        <f t="shared" si="114"/>
        <v>HBA II</v>
      </c>
      <c r="K254" s="172">
        <f t="shared" ref="K254:K257" si="136">IF(J254="", "", INDEX($B$24:$E$42, MATCH(DATE(2025,11,1), $A$24:$A$42, 0), MATCH(J254, $B$23:$E$23, 0)))</f>
        <v>44.02</v>
      </c>
      <c r="L254" s="183">
        <f t="shared" si="4"/>
        <v>43.500962023779245</v>
      </c>
      <c r="M254" s="188" t="str">
        <f t="shared" si="5"/>
        <v/>
      </c>
      <c r="N254" s="185">
        <f t="shared" si="115"/>
        <v>1.0628571428571432</v>
      </c>
      <c r="O254" s="175">
        <f t="shared" si="41"/>
        <v>42.438104880922104</v>
      </c>
      <c r="P254" s="193"/>
      <c r="Q254" s="191"/>
      <c r="R254" s="258">
        <f t="shared" ref="R254:R255" si="137">O254*16200</f>
        <v>687497.29907093814</v>
      </c>
      <c r="S254" s="217" t="e">
        <f>#REF!+'HPB Calculation'!R254</f>
        <v>#REF!</v>
      </c>
      <c r="T254" s="218" t="s">
        <v>4</v>
      </c>
      <c r="U254" s="230">
        <f t="shared" si="37"/>
        <v>687454.86096605717</v>
      </c>
      <c r="V254" s="220"/>
      <c r="W254" s="221"/>
      <c r="X254" s="226"/>
      <c r="Y254" s="226"/>
      <c r="Z254" s="180"/>
      <c r="AA254" s="180"/>
      <c r="AB254" s="180"/>
      <c r="AC254" s="180"/>
    </row>
    <row r="255" spans="1:29" ht="36.75" hidden="1" customHeight="1" x14ac:dyDescent="0.4">
      <c r="A255" s="214">
        <f t="shared" si="135"/>
        <v>45992</v>
      </c>
      <c r="B255" s="215" t="s">
        <v>166</v>
      </c>
      <c r="C255" s="181">
        <v>4200</v>
      </c>
      <c r="D255" s="182">
        <v>38</v>
      </c>
      <c r="E255" s="182">
        <v>16</v>
      </c>
      <c r="F255" s="182">
        <v>0.4</v>
      </c>
      <c r="G255" s="182">
        <v>8</v>
      </c>
      <c r="H255" s="183">
        <f t="shared" si="1"/>
        <v>0.29523809523809524</v>
      </c>
      <c r="I255" s="192">
        <f t="shared" si="2"/>
        <v>5.9047619047619051</v>
      </c>
      <c r="J255" s="216" t="str">
        <f t="shared" si="114"/>
        <v>HBA II</v>
      </c>
      <c r="K255" s="172">
        <f t="shared" si="136"/>
        <v>44.02</v>
      </c>
      <c r="L255" s="183">
        <f t="shared" si="4"/>
        <v>43.500962023779245</v>
      </c>
      <c r="M255" s="188" t="str">
        <f t="shared" si="5"/>
        <v/>
      </c>
      <c r="N255" s="185">
        <f t="shared" si="115"/>
        <v>1.0628571428571432</v>
      </c>
      <c r="O255" s="175">
        <f t="shared" si="41"/>
        <v>42.438104880922104</v>
      </c>
      <c r="P255" s="193"/>
      <c r="Q255" s="191"/>
      <c r="R255" s="258">
        <f t="shared" si="137"/>
        <v>687497.29907093814</v>
      </c>
      <c r="S255" s="217" t="e">
        <f>#REF!+'HPB Calculation'!R255</f>
        <v>#REF!</v>
      </c>
      <c r="T255" s="218" t="s">
        <v>4</v>
      </c>
      <c r="U255" s="230">
        <f t="shared" si="37"/>
        <v>687454.86096605717</v>
      </c>
      <c r="V255" s="220"/>
      <c r="W255" s="221"/>
      <c r="X255" s="226"/>
      <c r="Y255" s="226"/>
      <c r="Z255" s="180"/>
      <c r="AA255" s="180"/>
      <c r="AB255" s="180"/>
      <c r="AC255" s="180"/>
    </row>
    <row r="256" spans="1:29" ht="36.75" hidden="1" customHeight="1" x14ac:dyDescent="0.4">
      <c r="A256" s="214">
        <f t="shared" si="135"/>
        <v>45992</v>
      </c>
      <c r="B256" s="288" t="s">
        <v>165</v>
      </c>
      <c r="C256" s="227">
        <v>5300</v>
      </c>
      <c r="D256" s="210">
        <v>22</v>
      </c>
      <c r="E256" s="210">
        <v>13</v>
      </c>
      <c r="F256" s="171">
        <v>0.8</v>
      </c>
      <c r="G256" s="210">
        <v>8</v>
      </c>
      <c r="H256" s="183">
        <f t="shared" si="1"/>
        <v>0.71724137931034493</v>
      </c>
      <c r="I256" s="183">
        <f t="shared" si="2"/>
        <v>7.1724137931034484</v>
      </c>
      <c r="J256" s="222" t="str">
        <f t="shared" si="114"/>
        <v>HBA II</v>
      </c>
      <c r="K256" s="172">
        <f t="shared" si="136"/>
        <v>44.02</v>
      </c>
      <c r="L256" s="183">
        <f t="shared" si="4"/>
        <v>69.060283028534343</v>
      </c>
      <c r="M256" s="184" t="str">
        <f t="shared" si="5"/>
        <v/>
      </c>
      <c r="N256" s="185">
        <f t="shared" si="115"/>
        <v>3.257931034482759</v>
      </c>
      <c r="O256" s="175">
        <f t="shared" si="41"/>
        <v>65.802351994051577</v>
      </c>
      <c r="P256" s="289">
        <v>6.5</v>
      </c>
      <c r="Q256" s="187">
        <f t="shared" ref="Q256:Q258" si="138">O256-P256</f>
        <v>59.302351994051577</v>
      </c>
      <c r="R256" s="176">
        <f>R254</f>
        <v>687497.29907093814</v>
      </c>
      <c r="S256" s="217" t="e">
        <f t="shared" ref="S256:S259" si="139">(((#REF!*50%)+(#REF!*50%))*C256/5400)+R256</f>
        <v>#REF!</v>
      </c>
      <c r="T256" s="218" t="s">
        <v>23</v>
      </c>
      <c r="U256" s="219">
        <f t="shared" si="37"/>
        <v>687431.49671894405</v>
      </c>
      <c r="V256" s="220"/>
      <c r="W256" s="221"/>
      <c r="X256" s="226"/>
      <c r="Y256" s="226"/>
      <c r="Z256" s="180"/>
      <c r="AA256" s="180"/>
      <c r="AB256" s="180"/>
      <c r="AC256" s="180"/>
    </row>
    <row r="257" spans="1:29" ht="36.75" hidden="1" customHeight="1" x14ac:dyDescent="0.4">
      <c r="A257" s="214">
        <f t="shared" si="135"/>
        <v>45992</v>
      </c>
      <c r="B257" s="288" t="s">
        <v>152</v>
      </c>
      <c r="C257" s="227">
        <v>5400</v>
      </c>
      <c r="D257" s="210">
        <v>25</v>
      </c>
      <c r="E257" s="210">
        <v>11</v>
      </c>
      <c r="F257" s="171">
        <v>0.8</v>
      </c>
      <c r="G257" s="210">
        <v>6</v>
      </c>
      <c r="H257" s="183">
        <f t="shared" si="1"/>
        <v>0.6741573033707865</v>
      </c>
      <c r="I257" s="183">
        <f t="shared" si="2"/>
        <v>5.0561797752808983</v>
      </c>
      <c r="J257" s="222" t="str">
        <f t="shared" si="114"/>
        <v>HBA I</v>
      </c>
      <c r="K257" s="172">
        <f t="shared" si="136"/>
        <v>67.22</v>
      </c>
      <c r="L257" s="183">
        <f t="shared" si="4"/>
        <v>65.284985275920604</v>
      </c>
      <c r="M257" s="184" t="str">
        <f t="shared" si="5"/>
        <v/>
      </c>
      <c r="N257" s="185">
        <f t="shared" si="115"/>
        <v>-0.69689887640449477</v>
      </c>
      <c r="O257" s="175">
        <f t="shared" si="41"/>
        <v>65.981884152325094</v>
      </c>
      <c r="P257" s="289">
        <v>6.5</v>
      </c>
      <c r="Q257" s="187">
        <f t="shared" si="138"/>
        <v>59.481884152325094</v>
      </c>
      <c r="R257" s="176">
        <f>'ICI, GNewc, Delta'!D869</f>
        <v>0</v>
      </c>
      <c r="S257" s="217" t="e">
        <f t="shared" si="139"/>
        <v>#REF!</v>
      </c>
      <c r="T257" s="218" t="s">
        <v>23</v>
      </c>
      <c r="U257" s="219">
        <f t="shared" si="37"/>
        <v>-65.981884152325094</v>
      </c>
      <c r="V257" s="220"/>
      <c r="W257" s="221"/>
      <c r="X257" s="226"/>
      <c r="Y257" s="226"/>
      <c r="Z257" s="180"/>
      <c r="AA257" s="180"/>
      <c r="AB257" s="180"/>
      <c r="AC257" s="180"/>
    </row>
    <row r="258" spans="1:29" ht="36.75" hidden="1" customHeight="1" x14ac:dyDescent="0.4">
      <c r="A258" s="214">
        <f t="shared" si="135"/>
        <v>45992</v>
      </c>
      <c r="B258" s="288" t="s">
        <v>168</v>
      </c>
      <c r="C258" s="321">
        <v>5295</v>
      </c>
      <c r="D258" s="210">
        <v>25</v>
      </c>
      <c r="E258" s="210">
        <v>11</v>
      </c>
      <c r="F258" s="171">
        <v>0.8</v>
      </c>
      <c r="G258" s="210">
        <v>6</v>
      </c>
      <c r="H258" s="183">
        <f t="shared" si="1"/>
        <v>0.6741573033707865</v>
      </c>
      <c r="I258" s="183">
        <f t="shared" si="2"/>
        <v>5.0561797752808983</v>
      </c>
      <c r="J258" s="222" t="str">
        <f t="shared" si="114"/>
        <v>HBA II</v>
      </c>
      <c r="K258" s="172">
        <f t="array" ref="K258">IF(J258="", "", INDEX($B$24:$E$41, MATCH(DATE(2025,10,15), $A$24:$A$41, 0), MATCH(J258, $B$23:$E$23, 0)))</f>
        <v>43.71</v>
      </c>
      <c r="L258" s="183">
        <f t="shared" si="4"/>
        <v>65.874279430906938</v>
      </c>
      <c r="M258" s="184" t="str">
        <f t="shared" si="5"/>
        <v/>
      </c>
      <c r="N258" s="185">
        <f t="shared" si="115"/>
        <v>2.2391011235955056</v>
      </c>
      <c r="O258" s="175">
        <f t="shared" si="41"/>
        <v>63.635178307311435</v>
      </c>
      <c r="P258" s="289">
        <v>6.5</v>
      </c>
      <c r="Q258" s="187">
        <f t="shared" si="138"/>
        <v>57.135178307311435</v>
      </c>
      <c r="R258" s="176">
        <f>'ICI, GNewc, Delta'!D870</f>
        <v>0</v>
      </c>
      <c r="S258" s="217" t="e">
        <f t="shared" si="139"/>
        <v>#REF!</v>
      </c>
      <c r="T258" s="218" t="s">
        <v>23</v>
      </c>
      <c r="U258" s="219">
        <f t="shared" si="37"/>
        <v>-63.635178307311435</v>
      </c>
      <c r="V258" s="220"/>
      <c r="W258" s="221"/>
      <c r="X258" s="226"/>
      <c r="Y258" s="226"/>
      <c r="Z258" s="180"/>
      <c r="AA258" s="180"/>
      <c r="AB258" s="180"/>
      <c r="AC258" s="180"/>
    </row>
    <row r="259" spans="1:29" ht="36.75" hidden="1" customHeight="1" x14ac:dyDescent="0.4">
      <c r="A259" s="214">
        <f t="shared" si="135"/>
        <v>45992</v>
      </c>
      <c r="B259" s="215" t="s">
        <v>171</v>
      </c>
      <c r="C259" s="227">
        <v>5400</v>
      </c>
      <c r="D259" s="210">
        <v>25</v>
      </c>
      <c r="E259" s="171">
        <v>11</v>
      </c>
      <c r="F259" s="171">
        <v>0.8</v>
      </c>
      <c r="G259" s="171">
        <v>6</v>
      </c>
      <c r="H259" s="183">
        <f t="shared" si="1"/>
        <v>0.6741573033707865</v>
      </c>
      <c r="I259" s="183">
        <f t="shared" si="2"/>
        <v>5.0561797752808983</v>
      </c>
      <c r="J259" s="216" t="str">
        <f t="shared" si="114"/>
        <v>HBA I</v>
      </c>
      <c r="K259" s="172">
        <f t="array" ref="K259">IF(J259="", "", INDEX($B$24:$E$42, MATCH(DATE(2025,11,1), $A$24:$A$42, 0), MATCH(J259, $B$23:$E$23, 0)))</f>
        <v>67.22</v>
      </c>
      <c r="L259" s="183">
        <f t="shared" si="4"/>
        <v>65.284985275920604</v>
      </c>
      <c r="M259" s="184" t="str">
        <f t="shared" si="5"/>
        <v/>
      </c>
      <c r="N259" s="185">
        <f t="shared" si="115"/>
        <v>-0.69689887640449477</v>
      </c>
      <c r="O259" s="175">
        <f t="shared" si="41"/>
        <v>65.981884152325094</v>
      </c>
      <c r="P259" s="186"/>
      <c r="Q259" s="187"/>
      <c r="R259" s="176">
        <f>R247*C259/C247</f>
        <v>72.02000000000001</v>
      </c>
      <c r="S259" s="217" t="e">
        <f t="shared" si="139"/>
        <v>#REF!</v>
      </c>
      <c r="T259" s="218" t="s">
        <v>151</v>
      </c>
      <c r="U259" s="230">
        <f t="shared" si="37"/>
        <v>6.0381158476749164</v>
      </c>
      <c r="V259" s="220"/>
      <c r="W259" s="221"/>
      <c r="X259" s="226"/>
      <c r="Y259" s="226"/>
      <c r="Z259" s="180"/>
      <c r="AA259" s="180"/>
      <c r="AB259" s="180"/>
      <c r="AC259" s="180"/>
    </row>
    <row r="260" spans="1:29" ht="36.75" hidden="1" customHeight="1" x14ac:dyDescent="0.4">
      <c r="A260" s="307">
        <f t="shared" ref="A260:A277" si="140">A$46</f>
        <v>46023</v>
      </c>
      <c r="B260" s="308" t="s">
        <v>14</v>
      </c>
      <c r="C260" s="323">
        <v>5000</v>
      </c>
      <c r="D260" s="310">
        <v>28</v>
      </c>
      <c r="E260" s="310">
        <v>13</v>
      </c>
      <c r="F260" s="310">
        <v>0.8</v>
      </c>
      <c r="G260" s="310">
        <v>8</v>
      </c>
      <c r="H260" s="311">
        <f t="shared" si="1"/>
        <v>0.66206896551724137</v>
      </c>
      <c r="I260" s="311">
        <f t="shared" si="2"/>
        <v>6.6206896551724137</v>
      </c>
      <c r="J260" s="312" t="str">
        <f t="shared" si="114"/>
        <v>HBA II</v>
      </c>
      <c r="K260" s="311">
        <f t="shared" ref="K260:K277" si="141">IF(J260="", "", INDEX($B$24:$E$46, MATCH(DATE(2026,1,1), $A$24:$A$46, 0), MATCH(J260, $B$23:$E$23, 0)))</f>
        <v>47.05</v>
      </c>
      <c r="L260" s="311">
        <f t="shared" si="4"/>
        <v>64.27912730971093</v>
      </c>
      <c r="M260" s="313" t="str">
        <f t="shared" si="5"/>
        <v/>
      </c>
      <c r="N260" s="314">
        <f t="shared" si="115"/>
        <v>2.8165517241379314</v>
      </c>
      <c r="O260" s="315">
        <f t="shared" si="41"/>
        <v>61.462575585572999</v>
      </c>
      <c r="P260" s="310">
        <v>3.01</v>
      </c>
      <c r="Q260" s="316">
        <f t="shared" ref="Q260:Q262" si="142">O260+P260</f>
        <v>64.472575585572997</v>
      </c>
      <c r="R260" s="317">
        <f>'ICI, GNewc, Delta'!D734</f>
        <v>61.28</v>
      </c>
      <c r="S260" s="318" t="e">
        <f>AVERAGE(#REF!)+0.75</f>
        <v>#REF!</v>
      </c>
      <c r="T260" s="319" t="s">
        <v>3</v>
      </c>
      <c r="U260" s="320">
        <f t="shared" si="37"/>
        <v>-0.18257558557299802</v>
      </c>
      <c r="V260" s="220"/>
      <c r="W260" s="221"/>
      <c r="X260" s="221"/>
      <c r="Y260" s="221"/>
      <c r="Z260" s="180"/>
      <c r="AA260" s="180"/>
      <c r="AB260" s="180"/>
      <c r="AC260" s="180"/>
    </row>
    <row r="261" spans="1:29" ht="36.75" hidden="1" customHeight="1" x14ac:dyDescent="0.4">
      <c r="A261" s="214">
        <f t="shared" si="140"/>
        <v>46023</v>
      </c>
      <c r="B261" s="215" t="s">
        <v>150</v>
      </c>
      <c r="C261" s="181">
        <v>5400</v>
      </c>
      <c r="D261" s="182">
        <v>19</v>
      </c>
      <c r="E261" s="182">
        <v>14</v>
      </c>
      <c r="F261" s="182">
        <v>0.2</v>
      </c>
      <c r="G261" s="182">
        <v>6</v>
      </c>
      <c r="H261" s="183">
        <f t="shared" si="1"/>
        <v>0.18837209302325583</v>
      </c>
      <c r="I261" s="192">
        <f t="shared" si="2"/>
        <v>5.6511627906976747</v>
      </c>
      <c r="J261" s="222" t="str">
        <f t="shared" si="114"/>
        <v>HBA I</v>
      </c>
      <c r="K261" s="172">
        <f t="shared" si="141"/>
        <v>72.23</v>
      </c>
      <c r="L261" s="183">
        <f t="shared" si="4"/>
        <v>75.762827215086645</v>
      </c>
      <c r="M261" s="188" t="str">
        <f t="shared" si="5"/>
        <v/>
      </c>
      <c r="N261" s="185">
        <f t="shared" si="115"/>
        <v>-2.4020465116279066</v>
      </c>
      <c r="O261" s="175">
        <f t="shared" si="41"/>
        <v>78.164873726714546</v>
      </c>
      <c r="P261" s="193">
        <v>-7.12</v>
      </c>
      <c r="Q261" s="191">
        <f t="shared" si="142"/>
        <v>71.044873726714542</v>
      </c>
      <c r="R261" s="186">
        <f>('ICI, GNewc, Delta'!C734+'ICI, GNewc, Delta'!D734)/2</f>
        <v>70.724999999999994</v>
      </c>
      <c r="S261" s="223"/>
      <c r="T261" s="218" t="s">
        <v>23</v>
      </c>
      <c r="U261" s="230">
        <f t="shared" si="37"/>
        <v>-7.439873726714552</v>
      </c>
      <c r="V261" s="224"/>
      <c r="W261" s="225"/>
      <c r="X261" s="225"/>
      <c r="Y261" s="226"/>
      <c r="Z261" s="180"/>
      <c r="AA261" s="180"/>
      <c r="AB261" s="180"/>
      <c r="AC261" s="180"/>
    </row>
    <row r="262" spans="1:29" ht="36.75" hidden="1" customHeight="1" x14ac:dyDescent="0.4">
      <c r="A262" s="214">
        <f t="shared" si="140"/>
        <v>46023</v>
      </c>
      <c r="B262" s="215" t="s">
        <v>150</v>
      </c>
      <c r="C262" s="181">
        <v>5250</v>
      </c>
      <c r="D262" s="182">
        <v>19</v>
      </c>
      <c r="E262" s="182">
        <v>14</v>
      </c>
      <c r="F262" s="182">
        <v>0.2</v>
      </c>
      <c r="G262" s="182">
        <v>6</v>
      </c>
      <c r="H262" s="183">
        <f t="shared" si="1"/>
        <v>0.18837209302325583</v>
      </c>
      <c r="I262" s="192">
        <f t="shared" si="2"/>
        <v>5.6511627906976747</v>
      </c>
      <c r="J262" s="216" t="str">
        <f t="shared" si="114"/>
        <v>HBA II</v>
      </c>
      <c r="K262" s="172">
        <f t="shared" si="141"/>
        <v>47.05</v>
      </c>
      <c r="L262" s="183">
        <f t="shared" si="4"/>
        <v>75.929719134596027</v>
      </c>
      <c r="M262" s="188" t="str">
        <f t="shared" si="5"/>
        <v/>
      </c>
      <c r="N262" s="185">
        <f t="shared" si="115"/>
        <v>0.53395348837209322</v>
      </c>
      <c r="O262" s="175">
        <f t="shared" si="41"/>
        <v>75.395765646223936</v>
      </c>
      <c r="P262" s="193">
        <v>-7.12</v>
      </c>
      <c r="Q262" s="191">
        <f t="shared" si="142"/>
        <v>68.275765646223931</v>
      </c>
      <c r="R262" s="186">
        <f>R261*C262/C261</f>
        <v>68.760416666666657</v>
      </c>
      <c r="S262" s="223"/>
      <c r="T262" s="218" t="s">
        <v>151</v>
      </c>
      <c r="U262" s="230">
        <f t="shared" si="37"/>
        <v>-6.6353489795572784</v>
      </c>
      <c r="V262" s="224"/>
      <c r="W262" s="225"/>
      <c r="X262" s="225"/>
      <c r="Y262" s="226"/>
      <c r="Z262" s="180"/>
      <c r="AA262" s="180"/>
      <c r="AB262" s="180"/>
      <c r="AC262" s="180"/>
    </row>
    <row r="263" spans="1:29" ht="36.75" hidden="1" customHeight="1" x14ac:dyDescent="0.4">
      <c r="A263" s="214">
        <f t="shared" si="140"/>
        <v>46023</v>
      </c>
      <c r="B263" s="215" t="s">
        <v>152</v>
      </c>
      <c r="C263" s="227">
        <v>5400</v>
      </c>
      <c r="D263" s="210">
        <v>25</v>
      </c>
      <c r="E263" s="171">
        <v>11</v>
      </c>
      <c r="F263" s="171">
        <v>0.8</v>
      </c>
      <c r="G263" s="171">
        <v>6</v>
      </c>
      <c r="H263" s="183">
        <f t="shared" si="1"/>
        <v>0.6741573033707865</v>
      </c>
      <c r="I263" s="183">
        <f t="shared" si="2"/>
        <v>5.0561797752808983</v>
      </c>
      <c r="J263" s="222" t="str">
        <f t="shared" si="114"/>
        <v>HBA I</v>
      </c>
      <c r="K263" s="172">
        <f t="shared" si="141"/>
        <v>72.23</v>
      </c>
      <c r="L263" s="183">
        <f t="shared" si="4"/>
        <v>70.150765939895052</v>
      </c>
      <c r="M263" s="184" t="str">
        <f t="shared" si="5"/>
        <v/>
      </c>
      <c r="N263" s="185">
        <f t="shared" si="115"/>
        <v>-0.69689887640449477</v>
      </c>
      <c r="O263" s="175">
        <f t="shared" si="41"/>
        <v>70.847664816299542</v>
      </c>
      <c r="P263" s="186"/>
      <c r="Q263" s="187"/>
      <c r="R263" s="176">
        <f>R261</f>
        <v>70.724999999999994</v>
      </c>
      <c r="S263" s="217" t="e">
        <f t="shared" ref="S263:S266" si="143">(((#REF!*50%)+(#REF!*50%))*C263/5400)+R263</f>
        <v>#REF!</v>
      </c>
      <c r="T263" s="218" t="s">
        <v>23</v>
      </c>
      <c r="U263" s="230">
        <f t="shared" si="37"/>
        <v>-0.1226648162995474</v>
      </c>
      <c r="V263" s="220">
        <f t="shared" ref="V263:V264" si="144">O263-6.5</f>
        <v>64.347664816299542</v>
      </c>
      <c r="W263" s="221"/>
      <c r="X263" s="226"/>
      <c r="Y263" s="226"/>
      <c r="Z263" s="180"/>
      <c r="AA263" s="180"/>
      <c r="AB263" s="180"/>
      <c r="AC263" s="180"/>
    </row>
    <row r="264" spans="1:29" ht="36.75" hidden="1" customHeight="1" x14ac:dyDescent="0.4">
      <c r="A264" s="214">
        <f t="shared" si="140"/>
        <v>46023</v>
      </c>
      <c r="B264" s="215" t="s">
        <v>164</v>
      </c>
      <c r="C264" s="227">
        <v>5305</v>
      </c>
      <c r="D264" s="210">
        <v>25</v>
      </c>
      <c r="E264" s="171">
        <v>11</v>
      </c>
      <c r="F264" s="171">
        <v>0.8</v>
      </c>
      <c r="G264" s="171">
        <v>6</v>
      </c>
      <c r="H264" s="183">
        <f t="shared" si="1"/>
        <v>0.6741573033707865</v>
      </c>
      <c r="I264" s="183">
        <f t="shared" si="2"/>
        <v>5.0561797752808983</v>
      </c>
      <c r="J264" s="222" t="str">
        <f t="shared" si="114"/>
        <v>HBA I</v>
      </c>
      <c r="K264" s="172">
        <f t="shared" si="141"/>
        <v>72.23</v>
      </c>
      <c r="L264" s="183">
        <f t="shared" si="4"/>
        <v>68.916632094656151</v>
      </c>
      <c r="M264" s="184" t="str">
        <f t="shared" si="5"/>
        <v/>
      </c>
      <c r="N264" s="185">
        <f t="shared" si="115"/>
        <v>-0.69689887640449477</v>
      </c>
      <c r="O264" s="175">
        <f t="shared" si="41"/>
        <v>69.613530971060641</v>
      </c>
      <c r="P264" s="186"/>
      <c r="Q264" s="187"/>
      <c r="R264" s="176">
        <f t="shared" ref="R264:R265" si="145">R263*C264/C263</f>
        <v>69.480763888888873</v>
      </c>
      <c r="S264" s="217" t="e">
        <f t="shared" si="143"/>
        <v>#REF!</v>
      </c>
      <c r="T264" s="218" t="s">
        <v>151</v>
      </c>
      <c r="U264" s="230">
        <f t="shared" si="37"/>
        <v>-0.13276708217176747</v>
      </c>
      <c r="V264" s="220">
        <f t="shared" si="144"/>
        <v>63.113530971060641</v>
      </c>
      <c r="W264" s="221"/>
      <c r="X264" s="226"/>
      <c r="Y264" s="226"/>
      <c r="Z264" s="180"/>
      <c r="AA264" s="180"/>
      <c r="AB264" s="180"/>
      <c r="AC264" s="180"/>
    </row>
    <row r="265" spans="1:29" ht="36.75" hidden="1" customHeight="1" x14ac:dyDescent="0.4">
      <c r="A265" s="214">
        <f t="shared" si="140"/>
        <v>46023</v>
      </c>
      <c r="B265" s="215" t="s">
        <v>165</v>
      </c>
      <c r="C265" s="227">
        <v>5300</v>
      </c>
      <c r="D265" s="210">
        <v>25</v>
      </c>
      <c r="E265" s="171">
        <v>11</v>
      </c>
      <c r="F265" s="171">
        <v>0.8</v>
      </c>
      <c r="G265" s="171">
        <v>6</v>
      </c>
      <c r="H265" s="183">
        <f t="shared" si="1"/>
        <v>0.6741573033707865</v>
      </c>
      <c r="I265" s="183">
        <f t="shared" si="2"/>
        <v>5.0561797752808983</v>
      </c>
      <c r="J265" s="216" t="str">
        <f t="shared" si="114"/>
        <v>HBA II</v>
      </c>
      <c r="K265" s="172">
        <f t="shared" si="141"/>
        <v>47.05</v>
      </c>
      <c r="L265" s="183">
        <f t="shared" si="4"/>
        <v>70.974869737805804</v>
      </c>
      <c r="M265" s="184" t="str">
        <f t="shared" si="5"/>
        <v/>
      </c>
      <c r="N265" s="185">
        <f t="shared" si="115"/>
        <v>2.2391011235955056</v>
      </c>
      <c r="O265" s="175">
        <f t="shared" si="41"/>
        <v>68.735768614210301</v>
      </c>
      <c r="P265" s="186"/>
      <c r="Q265" s="187"/>
      <c r="R265" s="176">
        <f t="shared" si="145"/>
        <v>69.41527777777776</v>
      </c>
      <c r="S265" s="217" t="e">
        <f t="shared" si="143"/>
        <v>#REF!</v>
      </c>
      <c r="T265" s="218" t="s">
        <v>151</v>
      </c>
      <c r="U265" s="230">
        <f t="shared" si="37"/>
        <v>0.6795091635674595</v>
      </c>
      <c r="V265" s="220"/>
      <c r="W265" s="221"/>
      <c r="X265" s="226"/>
      <c r="Y265" s="226"/>
      <c r="Z265" s="180"/>
      <c r="AA265" s="180"/>
      <c r="AB265" s="180"/>
      <c r="AC265" s="180"/>
    </row>
    <row r="266" spans="1:29" ht="36.75" hidden="1" customHeight="1" x14ac:dyDescent="0.4">
      <c r="A266" s="214">
        <f t="shared" si="140"/>
        <v>46023</v>
      </c>
      <c r="B266" s="215" t="s">
        <v>155</v>
      </c>
      <c r="C266" s="227">
        <v>5275</v>
      </c>
      <c r="D266" s="210">
        <v>25</v>
      </c>
      <c r="E266" s="171">
        <v>11</v>
      </c>
      <c r="F266" s="171">
        <v>0.8</v>
      </c>
      <c r="G266" s="171">
        <v>6</v>
      </c>
      <c r="H266" s="183">
        <f t="shared" si="1"/>
        <v>0.6741573033707865</v>
      </c>
      <c r="I266" s="183">
        <f t="shared" si="2"/>
        <v>5.0561797752808983</v>
      </c>
      <c r="J266" s="216" t="str">
        <f t="shared" si="114"/>
        <v>HBA II</v>
      </c>
      <c r="K266" s="172">
        <f t="shared" si="141"/>
        <v>47.05</v>
      </c>
      <c r="L266" s="183">
        <f t="shared" si="4"/>
        <v>70.64008261640106</v>
      </c>
      <c r="M266" s="184" t="str">
        <f t="shared" si="5"/>
        <v/>
      </c>
      <c r="N266" s="185">
        <f t="shared" si="115"/>
        <v>2.2391011235955056</v>
      </c>
      <c r="O266" s="175">
        <f t="shared" si="41"/>
        <v>68.400981492805556</v>
      </c>
      <c r="P266" s="186"/>
      <c r="Q266" s="187"/>
      <c r="R266" s="176">
        <f>R263*C266/C263</f>
        <v>69.087847222222209</v>
      </c>
      <c r="S266" s="217" t="e">
        <f t="shared" si="143"/>
        <v>#REF!</v>
      </c>
      <c r="T266" s="218" t="s">
        <v>151</v>
      </c>
      <c r="U266" s="230">
        <f t="shared" si="37"/>
        <v>0.68686572941665247</v>
      </c>
      <c r="V266" s="220">
        <f>O266-6.5</f>
        <v>61.900981492805556</v>
      </c>
      <c r="W266" s="221"/>
      <c r="X266" s="226"/>
      <c r="Y266" s="226"/>
      <c r="Z266" s="180"/>
      <c r="AA266" s="180"/>
      <c r="AB266" s="180"/>
      <c r="AC266" s="180"/>
    </row>
    <row r="267" spans="1:29" ht="36.75" hidden="1" customHeight="1" x14ac:dyDescent="0.4">
      <c r="A267" s="214">
        <f t="shared" si="140"/>
        <v>46023</v>
      </c>
      <c r="B267" s="215" t="s">
        <v>157</v>
      </c>
      <c r="C267" s="181">
        <v>5400</v>
      </c>
      <c r="D267" s="182">
        <v>22</v>
      </c>
      <c r="E267" s="182">
        <v>14</v>
      </c>
      <c r="F267" s="208">
        <v>1</v>
      </c>
      <c r="G267" s="182">
        <v>6</v>
      </c>
      <c r="H267" s="183">
        <f t="shared" si="1"/>
        <v>0.90697674418604646</v>
      </c>
      <c r="I267" s="183">
        <f t="shared" si="2"/>
        <v>5.441860465116279</v>
      </c>
      <c r="J267" s="222" t="str">
        <f t="shared" si="114"/>
        <v>HBA I</v>
      </c>
      <c r="K267" s="172">
        <f t="shared" si="141"/>
        <v>72.23</v>
      </c>
      <c r="L267" s="183">
        <f t="shared" si="4"/>
        <v>72.956796577490863</v>
      </c>
      <c r="M267" s="184" t="str">
        <f t="shared" si="5"/>
        <v/>
      </c>
      <c r="N267" s="185">
        <f t="shared" si="115"/>
        <v>0.38865116279069739</v>
      </c>
      <c r="O267" s="175">
        <f t="shared" si="41"/>
        <v>72.568145414700169</v>
      </c>
      <c r="P267" s="186"/>
      <c r="Q267" s="187"/>
      <c r="R267" s="186">
        <f>R261</f>
        <v>70.724999999999994</v>
      </c>
      <c r="S267" s="217" t="e">
        <f>((#REF!*50%)+(#REF!*50%))+R267</f>
        <v>#REF!</v>
      </c>
      <c r="T267" s="218" t="s">
        <v>151</v>
      </c>
      <c r="U267" s="230">
        <f t="shared" si="37"/>
        <v>-1.8431454147001745</v>
      </c>
      <c r="V267" s="220"/>
      <c r="W267" s="221"/>
      <c r="X267" s="226"/>
      <c r="Y267" s="226"/>
      <c r="Z267" s="180"/>
      <c r="AA267" s="180"/>
      <c r="AB267" s="180"/>
      <c r="AC267" s="180"/>
    </row>
    <row r="268" spans="1:29" ht="36.75" hidden="1" customHeight="1" x14ac:dyDescent="0.4">
      <c r="A268" s="214">
        <f t="shared" si="140"/>
        <v>46023</v>
      </c>
      <c r="B268" s="215" t="s">
        <v>158</v>
      </c>
      <c r="C268" s="181">
        <v>4200</v>
      </c>
      <c r="D268" s="182">
        <v>36</v>
      </c>
      <c r="E268" s="182">
        <v>16</v>
      </c>
      <c r="F268" s="182">
        <v>0.4</v>
      </c>
      <c r="G268" s="182">
        <v>8</v>
      </c>
      <c r="H268" s="183">
        <f t="shared" si="1"/>
        <v>0.30476190476190479</v>
      </c>
      <c r="I268" s="192">
        <f t="shared" si="2"/>
        <v>6.0952380952380949</v>
      </c>
      <c r="J268" s="216" t="str">
        <f t="shared" si="114"/>
        <v>HBA II</v>
      </c>
      <c r="K268" s="172">
        <f t="shared" si="141"/>
        <v>47.05</v>
      </c>
      <c r="L268" s="183">
        <f t="shared" si="4"/>
        <v>47.995081724584153</v>
      </c>
      <c r="M268" s="188" t="str">
        <f t="shared" si="5"/>
        <v/>
      </c>
      <c r="N268" s="185">
        <f t="shared" si="115"/>
        <v>1.177142857142857</v>
      </c>
      <c r="O268" s="175">
        <f t="shared" si="41"/>
        <v>46.817938867441299</v>
      </c>
      <c r="P268" s="193"/>
      <c r="Q268" s="191"/>
      <c r="R268" s="186">
        <f>'ICI, GNewc, Delta'!E734</f>
        <v>45.45</v>
      </c>
      <c r="S268" s="217" t="e">
        <f>#REF!+'HPB Calculation'!R268</f>
        <v>#REF!</v>
      </c>
      <c r="T268" s="218" t="s">
        <v>4</v>
      </c>
      <c r="U268" s="230">
        <f t="shared" si="37"/>
        <v>-1.3679388674412962</v>
      </c>
      <c r="V268" s="220"/>
      <c r="W268" s="221"/>
      <c r="X268" s="226"/>
      <c r="Y268" s="226"/>
      <c r="Z268" s="180"/>
      <c r="AA268" s="180"/>
      <c r="AB268" s="180"/>
      <c r="AC268" s="180"/>
    </row>
    <row r="269" spans="1:29" ht="36.75" hidden="1" customHeight="1" x14ac:dyDescent="0.4">
      <c r="A269" s="214">
        <f t="shared" si="140"/>
        <v>46023</v>
      </c>
      <c r="B269" s="215" t="s">
        <v>159</v>
      </c>
      <c r="C269" s="181">
        <v>4050</v>
      </c>
      <c r="D269" s="182">
        <v>36</v>
      </c>
      <c r="E269" s="182">
        <v>16</v>
      </c>
      <c r="F269" s="182">
        <v>0.4</v>
      </c>
      <c r="G269" s="182">
        <v>8</v>
      </c>
      <c r="H269" s="183">
        <f t="shared" si="1"/>
        <v>0.30476190476190479</v>
      </c>
      <c r="I269" s="192">
        <f t="shared" si="2"/>
        <v>6.0952380952380949</v>
      </c>
      <c r="J269" s="229" t="str">
        <f t="shared" si="114"/>
        <v>HBA III</v>
      </c>
      <c r="K269" s="172">
        <f t="shared" si="141"/>
        <v>35.130000000000003</v>
      </c>
      <c r="L269" s="183">
        <f t="shared" si="4"/>
        <v>48.284457994508394</v>
      </c>
      <c r="M269" s="188">
        <f t="shared" si="5"/>
        <v>1.0042187500000002</v>
      </c>
      <c r="N269" s="185">
        <f t="shared" si="115"/>
        <v>1.1451428571428572</v>
      </c>
      <c r="O269" s="175">
        <f t="shared" si="41"/>
        <v>33.410660214502293</v>
      </c>
      <c r="P269" s="193"/>
      <c r="Q269" s="191"/>
      <c r="R269" s="186">
        <f>R268*C269/C268</f>
        <v>43.826785714285712</v>
      </c>
      <c r="S269" s="217" t="e">
        <f>#REF!+'HPB Calculation'!R269</f>
        <v>#REF!</v>
      </c>
      <c r="T269" s="218" t="s">
        <v>160</v>
      </c>
      <c r="U269" s="230">
        <f t="shared" si="37"/>
        <v>10.416125499783419</v>
      </c>
      <c r="V269" s="220"/>
      <c r="W269" s="221"/>
      <c r="X269" s="226"/>
      <c r="Y269" s="226"/>
      <c r="Z269" s="180"/>
      <c r="AA269" s="180"/>
      <c r="AB269" s="180"/>
      <c r="AC269" s="180"/>
    </row>
    <row r="270" spans="1:29" ht="36.75" hidden="1" customHeight="1" x14ac:dyDescent="0.4">
      <c r="A270" s="214">
        <f t="shared" si="140"/>
        <v>46023</v>
      </c>
      <c r="B270" s="215" t="s">
        <v>15</v>
      </c>
      <c r="C270" s="170">
        <v>3600</v>
      </c>
      <c r="D270" s="171">
        <v>40</v>
      </c>
      <c r="E270" s="171">
        <v>15</v>
      </c>
      <c r="F270" s="171">
        <v>0.6</v>
      </c>
      <c r="G270" s="171">
        <v>8</v>
      </c>
      <c r="H270" s="183">
        <f t="shared" si="1"/>
        <v>0.42352941176470588</v>
      </c>
      <c r="I270" s="192">
        <f t="shared" si="2"/>
        <v>5.6470588235294121</v>
      </c>
      <c r="J270" s="229" t="str">
        <f t="shared" si="114"/>
        <v>HBA III</v>
      </c>
      <c r="K270" s="172">
        <f t="shared" si="141"/>
        <v>35.130000000000003</v>
      </c>
      <c r="L270" s="183">
        <f t="shared" si="4"/>
        <v>42.919518217340809</v>
      </c>
      <c r="M270" s="200">
        <f t="shared" si="5"/>
        <v>1.0711666666666668</v>
      </c>
      <c r="N270" s="185">
        <f t="shared" si="115"/>
        <v>1.4409411764705884</v>
      </c>
      <c r="O270" s="175">
        <f t="shared" si="41"/>
        <v>41.478577040870221</v>
      </c>
      <c r="P270" s="193"/>
      <c r="Q270" s="191"/>
      <c r="R270" s="186">
        <f>'ICI, GNewc, Delta'!AF734</f>
        <v>38.28</v>
      </c>
      <c r="S270" s="217" t="e">
        <f>((#REF!*50%)+(#REF!*50%))</f>
        <v>#REF!</v>
      </c>
      <c r="T270" s="218" t="s">
        <v>25</v>
      </c>
      <c r="U270" s="230">
        <f t="shared" si="37"/>
        <v>-3.1985770408702194</v>
      </c>
      <c r="V270" s="220"/>
      <c r="W270" s="221"/>
      <c r="X270" s="226"/>
      <c r="Y270" s="226"/>
      <c r="Z270" s="180"/>
      <c r="AA270" s="180"/>
      <c r="AB270" s="180"/>
      <c r="AC270" s="180"/>
    </row>
    <row r="271" spans="1:29" ht="36.75" hidden="1" customHeight="1" x14ac:dyDescent="0.4">
      <c r="A271" s="214">
        <f t="shared" si="140"/>
        <v>46023</v>
      </c>
      <c r="B271" s="257" t="s">
        <v>161</v>
      </c>
      <c r="C271" s="181">
        <v>4800</v>
      </c>
      <c r="D271" s="182">
        <v>30</v>
      </c>
      <c r="E271" s="182">
        <v>14</v>
      </c>
      <c r="F271" s="182">
        <v>0.8</v>
      </c>
      <c r="G271" s="182">
        <v>8</v>
      </c>
      <c r="H271" s="183">
        <f t="shared" si="1"/>
        <v>0.65116279069767447</v>
      </c>
      <c r="I271" s="192">
        <f t="shared" si="2"/>
        <v>6.5116279069767442</v>
      </c>
      <c r="J271" s="216" t="str">
        <f t="shared" si="114"/>
        <v>HBA II</v>
      </c>
      <c r="K271" s="172">
        <f t="shared" si="141"/>
        <v>47.05</v>
      </c>
      <c r="L271" s="183">
        <f t="shared" si="4"/>
        <v>59.993852155730202</v>
      </c>
      <c r="M271" s="188" t="str">
        <f t="shared" si="5"/>
        <v/>
      </c>
      <c r="N271" s="185">
        <f t="shared" si="115"/>
        <v>2.7293023255813957</v>
      </c>
      <c r="O271" s="175">
        <f t="shared" si="41"/>
        <v>57.264549830148809</v>
      </c>
      <c r="P271" s="193"/>
      <c r="Q271" s="191"/>
      <c r="R271" s="186">
        <f>'ICI, GNewc, Delta'!D734*C271/5000</f>
        <v>58.828800000000001</v>
      </c>
      <c r="S271" s="217" t="e">
        <f>(#REF!*C271/5000)+R271</f>
        <v>#REF!</v>
      </c>
      <c r="T271" s="218" t="s">
        <v>162</v>
      </c>
      <c r="U271" s="230">
        <f t="shared" si="37"/>
        <v>1.5642501698511921</v>
      </c>
      <c r="V271" s="220"/>
      <c r="W271" s="221"/>
      <c r="X271" s="221"/>
      <c r="Y271" s="221"/>
      <c r="Z271" s="180"/>
      <c r="AA271" s="180"/>
      <c r="AB271" s="180"/>
      <c r="AC271" s="180"/>
    </row>
    <row r="272" spans="1:29" ht="36.75" hidden="1" customHeight="1" x14ac:dyDescent="0.4">
      <c r="A272" s="214">
        <f t="shared" si="140"/>
        <v>46023</v>
      </c>
      <c r="B272" s="215" t="s">
        <v>166</v>
      </c>
      <c r="C272" s="181">
        <v>4200</v>
      </c>
      <c r="D272" s="182">
        <v>38</v>
      </c>
      <c r="E272" s="182">
        <v>16</v>
      </c>
      <c r="F272" s="182">
        <v>0.4</v>
      </c>
      <c r="G272" s="182">
        <v>8</v>
      </c>
      <c r="H272" s="183">
        <f t="shared" si="1"/>
        <v>0.29523809523809524</v>
      </c>
      <c r="I272" s="192">
        <f t="shared" si="2"/>
        <v>5.9047619047619051</v>
      </c>
      <c r="J272" s="216" t="str">
        <f t="shared" si="114"/>
        <v>HBA II</v>
      </c>
      <c r="K272" s="172">
        <f t="shared" si="141"/>
        <v>47.05</v>
      </c>
      <c r="L272" s="183">
        <f t="shared" si="4"/>
        <v>46.495235420690904</v>
      </c>
      <c r="M272" s="188" t="str">
        <f t="shared" si="5"/>
        <v/>
      </c>
      <c r="N272" s="185">
        <f t="shared" si="115"/>
        <v>1.0628571428571432</v>
      </c>
      <c r="O272" s="175">
        <f t="shared" si="41"/>
        <v>45.432378277833763</v>
      </c>
      <c r="P272" s="193"/>
      <c r="Q272" s="191"/>
      <c r="R272" s="258">
        <f t="shared" ref="R272:R273" si="146">O272*16200</f>
        <v>736004.52810090699</v>
      </c>
      <c r="S272" s="217" t="e">
        <f>#REF!+'HPB Calculation'!R272</f>
        <v>#REF!</v>
      </c>
      <c r="T272" s="218" t="s">
        <v>4</v>
      </c>
      <c r="U272" s="230">
        <f t="shared" si="37"/>
        <v>735959.09572262911</v>
      </c>
      <c r="V272" s="220"/>
      <c r="W272" s="221"/>
      <c r="X272" s="226"/>
      <c r="Y272" s="226"/>
      <c r="Z272" s="180"/>
      <c r="AA272" s="180"/>
      <c r="AB272" s="180"/>
      <c r="AC272" s="180"/>
    </row>
    <row r="273" spans="1:29" ht="36.75" hidden="1" customHeight="1" x14ac:dyDescent="0.4">
      <c r="A273" s="214">
        <f t="shared" si="140"/>
        <v>46023</v>
      </c>
      <c r="B273" s="215" t="s">
        <v>166</v>
      </c>
      <c r="C273" s="181">
        <v>4200</v>
      </c>
      <c r="D273" s="182">
        <v>38</v>
      </c>
      <c r="E273" s="182">
        <v>16</v>
      </c>
      <c r="F273" s="182">
        <v>0.4</v>
      </c>
      <c r="G273" s="182">
        <v>8</v>
      </c>
      <c r="H273" s="183">
        <f t="shared" si="1"/>
        <v>0.29523809523809524</v>
      </c>
      <c r="I273" s="192">
        <f t="shared" si="2"/>
        <v>5.9047619047619051</v>
      </c>
      <c r="J273" s="216" t="str">
        <f t="shared" si="114"/>
        <v>HBA II</v>
      </c>
      <c r="K273" s="172">
        <f t="shared" si="141"/>
        <v>47.05</v>
      </c>
      <c r="L273" s="183">
        <f t="shared" si="4"/>
        <v>46.495235420690904</v>
      </c>
      <c r="M273" s="188" t="str">
        <f t="shared" si="5"/>
        <v/>
      </c>
      <c r="N273" s="185">
        <f t="shared" si="115"/>
        <v>1.0628571428571432</v>
      </c>
      <c r="O273" s="175">
        <f t="shared" si="41"/>
        <v>45.432378277833763</v>
      </c>
      <c r="P273" s="193"/>
      <c r="Q273" s="191"/>
      <c r="R273" s="258">
        <f t="shared" si="146"/>
        <v>736004.52810090699</v>
      </c>
      <c r="S273" s="217" t="e">
        <f>#REF!+'HPB Calculation'!R273</f>
        <v>#REF!</v>
      </c>
      <c r="T273" s="218" t="s">
        <v>4</v>
      </c>
      <c r="U273" s="230">
        <f t="shared" si="37"/>
        <v>735959.09572262911</v>
      </c>
      <c r="V273" s="220"/>
      <c r="W273" s="221"/>
      <c r="X273" s="226"/>
      <c r="Y273" s="226"/>
      <c r="Z273" s="180"/>
      <c r="AA273" s="180"/>
      <c r="AB273" s="180"/>
      <c r="AC273" s="180"/>
    </row>
    <row r="274" spans="1:29" ht="36.75" hidden="1" customHeight="1" x14ac:dyDescent="0.4">
      <c r="A274" s="214">
        <f t="shared" si="140"/>
        <v>46023</v>
      </c>
      <c r="B274" s="288" t="s">
        <v>165</v>
      </c>
      <c r="C274" s="227">
        <v>5300</v>
      </c>
      <c r="D274" s="210">
        <v>22</v>
      </c>
      <c r="E274" s="210">
        <v>13</v>
      </c>
      <c r="F274" s="171">
        <v>0.8</v>
      </c>
      <c r="G274" s="210">
        <v>8</v>
      </c>
      <c r="H274" s="183">
        <f t="shared" si="1"/>
        <v>0.71724137931034493</v>
      </c>
      <c r="I274" s="183">
        <f t="shared" si="2"/>
        <v>7.1724137931034484</v>
      </c>
      <c r="J274" s="222" t="str">
        <f t="shared" si="114"/>
        <v>HBA II</v>
      </c>
      <c r="K274" s="172">
        <f t="shared" si="141"/>
        <v>47.05</v>
      </c>
      <c r="L274" s="183">
        <f t="shared" si="4"/>
        <v>73.813864527318046</v>
      </c>
      <c r="M274" s="184" t="str">
        <f t="shared" si="5"/>
        <v/>
      </c>
      <c r="N274" s="185">
        <f t="shared" si="115"/>
        <v>3.257931034482759</v>
      </c>
      <c r="O274" s="175">
        <f t="shared" si="41"/>
        <v>70.555933492835294</v>
      </c>
      <c r="P274" s="289">
        <v>6.5</v>
      </c>
      <c r="Q274" s="187">
        <f t="shared" ref="Q274:Q276" si="147">O274-P274</f>
        <v>64.055933492835294</v>
      </c>
      <c r="R274" s="176">
        <f>R272</f>
        <v>736004.52810090699</v>
      </c>
      <c r="S274" s="217" t="e">
        <f t="shared" ref="S274:S277" si="148">(((#REF!*50%)+(#REF!*50%))*C274/5400)+R274</f>
        <v>#REF!</v>
      </c>
      <c r="T274" s="218" t="s">
        <v>23</v>
      </c>
      <c r="U274" s="219">
        <f t="shared" si="37"/>
        <v>735933.97216741415</v>
      </c>
      <c r="V274" s="220"/>
      <c r="W274" s="221"/>
      <c r="X274" s="226"/>
      <c r="Y274" s="226"/>
      <c r="Z274" s="180"/>
      <c r="AA274" s="180"/>
      <c r="AB274" s="180"/>
      <c r="AC274" s="180"/>
    </row>
    <row r="275" spans="1:29" ht="36.75" hidden="1" customHeight="1" x14ac:dyDescent="0.4">
      <c r="A275" s="214">
        <f t="shared" si="140"/>
        <v>46023</v>
      </c>
      <c r="B275" s="288" t="s">
        <v>152</v>
      </c>
      <c r="C275" s="227">
        <v>5400</v>
      </c>
      <c r="D275" s="210">
        <v>25</v>
      </c>
      <c r="E275" s="210">
        <v>11</v>
      </c>
      <c r="F275" s="171">
        <v>0.8</v>
      </c>
      <c r="G275" s="210">
        <v>6</v>
      </c>
      <c r="H275" s="183">
        <f t="shared" si="1"/>
        <v>0.6741573033707865</v>
      </c>
      <c r="I275" s="183">
        <f t="shared" si="2"/>
        <v>5.0561797752808983</v>
      </c>
      <c r="J275" s="222" t="str">
        <f t="shared" si="114"/>
        <v>HBA I</v>
      </c>
      <c r="K275" s="172">
        <f t="shared" si="141"/>
        <v>72.23</v>
      </c>
      <c r="L275" s="183">
        <f t="shared" si="4"/>
        <v>70.150765939895052</v>
      </c>
      <c r="M275" s="184" t="str">
        <f t="shared" si="5"/>
        <v/>
      </c>
      <c r="N275" s="185">
        <f t="shared" si="115"/>
        <v>-0.69689887640449477</v>
      </c>
      <c r="O275" s="175">
        <f t="shared" si="41"/>
        <v>70.847664816299542</v>
      </c>
      <c r="P275" s="289">
        <v>6.5</v>
      </c>
      <c r="Q275" s="187">
        <f t="shared" si="147"/>
        <v>64.347664816299542</v>
      </c>
      <c r="R275" s="176">
        <f>'ICI, GNewc, Delta'!D887</f>
        <v>0</v>
      </c>
      <c r="S275" s="217" t="e">
        <f t="shared" si="148"/>
        <v>#REF!</v>
      </c>
      <c r="T275" s="218" t="s">
        <v>23</v>
      </c>
      <c r="U275" s="219">
        <f t="shared" si="37"/>
        <v>-70.847664816299542</v>
      </c>
      <c r="V275" s="220"/>
      <c r="W275" s="221"/>
      <c r="X275" s="226"/>
      <c r="Y275" s="226"/>
      <c r="Z275" s="180"/>
      <c r="AA275" s="180"/>
      <c r="AB275" s="180"/>
      <c r="AC275" s="180"/>
    </row>
    <row r="276" spans="1:29" ht="36.75" hidden="1" customHeight="1" x14ac:dyDescent="0.4">
      <c r="A276" s="214">
        <f t="shared" si="140"/>
        <v>46023</v>
      </c>
      <c r="B276" s="288" t="s">
        <v>168</v>
      </c>
      <c r="C276" s="321">
        <v>5295</v>
      </c>
      <c r="D276" s="210">
        <v>25</v>
      </c>
      <c r="E276" s="210">
        <v>11</v>
      </c>
      <c r="F276" s="171">
        <v>0.8</v>
      </c>
      <c r="G276" s="210">
        <v>6</v>
      </c>
      <c r="H276" s="183">
        <f t="shared" si="1"/>
        <v>0.6741573033707865</v>
      </c>
      <c r="I276" s="183">
        <f t="shared" si="2"/>
        <v>5.0561797752808983</v>
      </c>
      <c r="J276" s="222" t="str">
        <f t="shared" si="114"/>
        <v>HBA II</v>
      </c>
      <c r="K276" s="172">
        <f t="shared" si="141"/>
        <v>47.05</v>
      </c>
      <c r="L276" s="183">
        <f t="shared" si="4"/>
        <v>70.907912313524861</v>
      </c>
      <c r="M276" s="184" t="str">
        <f t="shared" si="5"/>
        <v/>
      </c>
      <c r="N276" s="185">
        <f t="shared" si="115"/>
        <v>2.2391011235955056</v>
      </c>
      <c r="O276" s="175">
        <f t="shared" si="41"/>
        <v>68.668811189929357</v>
      </c>
      <c r="P276" s="289">
        <v>6.5</v>
      </c>
      <c r="Q276" s="187">
        <f t="shared" si="147"/>
        <v>62.168811189929357</v>
      </c>
      <c r="R276" s="176">
        <f>'ICI, GNewc, Delta'!D888</f>
        <v>0</v>
      </c>
      <c r="S276" s="217" t="e">
        <f t="shared" si="148"/>
        <v>#REF!</v>
      </c>
      <c r="T276" s="218" t="s">
        <v>23</v>
      </c>
      <c r="U276" s="219">
        <f t="shared" si="37"/>
        <v>-68.668811189929357</v>
      </c>
      <c r="V276" s="220"/>
      <c r="W276" s="221"/>
      <c r="X276" s="226"/>
      <c r="Y276" s="226"/>
      <c r="Z276" s="180"/>
      <c r="AA276" s="180"/>
      <c r="AB276" s="180"/>
      <c r="AC276" s="180"/>
    </row>
    <row r="277" spans="1:29" ht="36.75" hidden="1" customHeight="1" x14ac:dyDescent="0.4">
      <c r="A277" s="214">
        <f t="shared" si="140"/>
        <v>46023</v>
      </c>
      <c r="B277" s="215" t="s">
        <v>171</v>
      </c>
      <c r="C277" s="227">
        <v>5400</v>
      </c>
      <c r="D277" s="210">
        <v>25</v>
      </c>
      <c r="E277" s="171">
        <v>11</v>
      </c>
      <c r="F277" s="171">
        <v>0.8</v>
      </c>
      <c r="G277" s="171">
        <v>6</v>
      </c>
      <c r="H277" s="183">
        <f t="shared" si="1"/>
        <v>0.6741573033707865</v>
      </c>
      <c r="I277" s="183">
        <f t="shared" si="2"/>
        <v>5.0561797752808983</v>
      </c>
      <c r="J277" s="216" t="str">
        <f t="shared" si="114"/>
        <v>HBA I</v>
      </c>
      <c r="K277" s="172">
        <f t="shared" si="141"/>
        <v>72.23</v>
      </c>
      <c r="L277" s="183">
        <f t="shared" si="4"/>
        <v>70.150765939895052</v>
      </c>
      <c r="M277" s="184" t="str">
        <f t="shared" si="5"/>
        <v/>
      </c>
      <c r="N277" s="185">
        <f t="shared" si="115"/>
        <v>-0.69689887640449477</v>
      </c>
      <c r="O277" s="175">
        <f t="shared" si="41"/>
        <v>70.847664816299542</v>
      </c>
      <c r="P277" s="186"/>
      <c r="Q277" s="187"/>
      <c r="R277" s="176">
        <f>R265*C277/C265</f>
        <v>70.72499999999998</v>
      </c>
      <c r="S277" s="217" t="e">
        <f t="shared" si="148"/>
        <v>#REF!</v>
      </c>
      <c r="T277" s="218" t="s">
        <v>151</v>
      </c>
      <c r="U277" s="230">
        <f t="shared" si="37"/>
        <v>-0.12266481629956161</v>
      </c>
      <c r="V277" s="220"/>
      <c r="W277" s="221"/>
      <c r="X277" s="226"/>
      <c r="Y277" s="226"/>
      <c r="Z277" s="180"/>
      <c r="AA277" s="180"/>
      <c r="AB277" s="180"/>
      <c r="AC277" s="180"/>
    </row>
    <row r="278" spans="1:29" ht="36.75" hidden="1" customHeight="1" x14ac:dyDescent="0.4">
      <c r="A278" s="307">
        <f t="shared" ref="A278:A289" si="149">A$47</f>
        <v>46037</v>
      </c>
      <c r="B278" s="308" t="s">
        <v>14</v>
      </c>
      <c r="C278" s="309">
        <v>5000</v>
      </c>
      <c r="D278" s="310">
        <v>28</v>
      </c>
      <c r="E278" s="310">
        <v>13</v>
      </c>
      <c r="F278" s="310">
        <v>0.8</v>
      </c>
      <c r="G278" s="310">
        <v>8</v>
      </c>
      <c r="H278" s="311">
        <f t="shared" si="1"/>
        <v>0.66206896551724137</v>
      </c>
      <c r="I278" s="311">
        <f t="shared" si="2"/>
        <v>6.6206896551724137</v>
      </c>
      <c r="J278" s="312" t="str">
        <f t="shared" si="114"/>
        <v>HBA II</v>
      </c>
      <c r="K278" s="311">
        <f t="shared" ref="K278:K289" si="150">IF(J278="", "", INDEX($B$24:$E$47, MATCH(DATE(2026,1,15), $A$24:$A$47, 0), MATCH(J278, $B$23:$E$23, 0)))</f>
        <v>48.39</v>
      </c>
      <c r="L278" s="311">
        <f t="shared" si="4"/>
        <v>66.109818714493343</v>
      </c>
      <c r="M278" s="313" t="str">
        <f t="shared" si="5"/>
        <v/>
      </c>
      <c r="N278" s="314">
        <f t="shared" si="115"/>
        <v>2.8165517241379314</v>
      </c>
      <c r="O278" s="315">
        <f t="shared" si="41"/>
        <v>63.293266990355413</v>
      </c>
      <c r="P278" s="310">
        <v>3.01</v>
      </c>
      <c r="Q278" s="316">
        <f t="shared" ref="Q278:Q280" si="151">O278+P278</f>
        <v>66.303266990355411</v>
      </c>
      <c r="R278" s="317">
        <f>'ICI, GNewc, Delta'!D736</f>
        <v>61.54</v>
      </c>
      <c r="S278" s="318" t="e">
        <f>AVERAGE(#REF!)+0.75</f>
        <v>#REF!</v>
      </c>
      <c r="T278" s="319" t="s">
        <v>3</v>
      </c>
      <c r="U278" s="320">
        <f t="shared" si="37"/>
        <v>-1.7532669903554137</v>
      </c>
      <c r="V278" s="220"/>
      <c r="W278" s="221"/>
      <c r="X278" s="221"/>
      <c r="Y278" s="221"/>
      <c r="Z278" s="180"/>
      <c r="AA278" s="180"/>
      <c r="AB278" s="180"/>
      <c r="AC278" s="180"/>
    </row>
    <row r="279" spans="1:29" ht="36.75" hidden="1" customHeight="1" x14ac:dyDescent="0.4">
      <c r="A279" s="214">
        <f t="shared" si="149"/>
        <v>46037</v>
      </c>
      <c r="B279" s="215" t="s">
        <v>150</v>
      </c>
      <c r="C279" s="181">
        <v>5400</v>
      </c>
      <c r="D279" s="182">
        <v>19</v>
      </c>
      <c r="E279" s="182">
        <v>14</v>
      </c>
      <c r="F279" s="182">
        <v>0.2</v>
      </c>
      <c r="G279" s="182">
        <v>6</v>
      </c>
      <c r="H279" s="183">
        <f t="shared" si="1"/>
        <v>0.18837209302325583</v>
      </c>
      <c r="I279" s="192">
        <f t="shared" si="2"/>
        <v>5.6511627906976747</v>
      </c>
      <c r="J279" s="222" t="str">
        <f t="shared" si="114"/>
        <v>HBA I</v>
      </c>
      <c r="K279" s="172">
        <f t="shared" si="150"/>
        <v>71.61</v>
      </c>
      <c r="L279" s="183">
        <f t="shared" si="4"/>
        <v>75.112502517961445</v>
      </c>
      <c r="M279" s="188" t="str">
        <f t="shared" si="5"/>
        <v/>
      </c>
      <c r="N279" s="185">
        <f t="shared" si="115"/>
        <v>-2.4020465116279066</v>
      </c>
      <c r="O279" s="175">
        <f t="shared" si="41"/>
        <v>77.514549029589347</v>
      </c>
      <c r="P279" s="193">
        <v>-7.12</v>
      </c>
      <c r="Q279" s="191">
        <f t="shared" si="151"/>
        <v>70.394549029589342</v>
      </c>
      <c r="R279" s="186">
        <f>('ICI, GNewc, Delta'!C736+'ICI, GNewc, Delta'!D736)/2</f>
        <v>71.045000000000002</v>
      </c>
      <c r="S279" s="223"/>
      <c r="T279" s="218" t="s">
        <v>23</v>
      </c>
      <c r="U279" s="230">
        <f t="shared" si="37"/>
        <v>-6.469549029589345</v>
      </c>
      <c r="V279" s="224"/>
      <c r="W279" s="225"/>
      <c r="X279" s="225"/>
      <c r="Y279" s="226"/>
      <c r="Z279" s="180"/>
      <c r="AA279" s="180"/>
      <c r="AB279" s="180"/>
      <c r="AC279" s="180"/>
    </row>
    <row r="280" spans="1:29" ht="36.75" hidden="1" customHeight="1" x14ac:dyDescent="0.4">
      <c r="A280" s="214">
        <f t="shared" si="149"/>
        <v>46037</v>
      </c>
      <c r="B280" s="215" t="s">
        <v>150</v>
      </c>
      <c r="C280" s="181">
        <v>5250</v>
      </c>
      <c r="D280" s="182">
        <v>19</v>
      </c>
      <c r="E280" s="182">
        <v>14</v>
      </c>
      <c r="F280" s="182">
        <v>0.2</v>
      </c>
      <c r="G280" s="182">
        <v>6</v>
      </c>
      <c r="H280" s="183">
        <f t="shared" si="1"/>
        <v>0.18837209302325583</v>
      </c>
      <c r="I280" s="192">
        <f t="shared" si="2"/>
        <v>5.6511627906976747</v>
      </c>
      <c r="J280" s="216" t="str">
        <f t="shared" si="114"/>
        <v>HBA II</v>
      </c>
      <c r="K280" s="172">
        <f t="shared" si="150"/>
        <v>48.39</v>
      </c>
      <c r="L280" s="183">
        <f t="shared" si="4"/>
        <v>78.092223356495253</v>
      </c>
      <c r="M280" s="188" t="str">
        <f t="shared" si="5"/>
        <v/>
      </c>
      <c r="N280" s="185">
        <f t="shared" si="115"/>
        <v>0.53395348837209322</v>
      </c>
      <c r="O280" s="175">
        <f t="shared" si="41"/>
        <v>77.558269868123162</v>
      </c>
      <c r="P280" s="193">
        <v>-7.12</v>
      </c>
      <c r="Q280" s="191">
        <f t="shared" si="151"/>
        <v>70.438269868123157</v>
      </c>
      <c r="R280" s="186">
        <f>R279*C280/C279</f>
        <v>69.071527777777774</v>
      </c>
      <c r="S280" s="223"/>
      <c r="T280" s="218" t="s">
        <v>151</v>
      </c>
      <c r="U280" s="230">
        <f t="shared" si="37"/>
        <v>-8.4867420903453876</v>
      </c>
      <c r="V280" s="224"/>
      <c r="W280" s="225"/>
      <c r="X280" s="225"/>
      <c r="Y280" s="226"/>
      <c r="Z280" s="180"/>
      <c r="AA280" s="180"/>
      <c r="AB280" s="180"/>
      <c r="AC280" s="180"/>
    </row>
    <row r="281" spans="1:29" ht="36.75" hidden="1" customHeight="1" x14ac:dyDescent="0.4">
      <c r="A281" s="214">
        <f t="shared" si="149"/>
        <v>46037</v>
      </c>
      <c r="B281" s="215" t="s">
        <v>152</v>
      </c>
      <c r="C281" s="227">
        <v>5400</v>
      </c>
      <c r="D281" s="210">
        <v>25</v>
      </c>
      <c r="E281" s="171">
        <v>11</v>
      </c>
      <c r="F281" s="171">
        <v>0.8</v>
      </c>
      <c r="G281" s="171">
        <v>6</v>
      </c>
      <c r="H281" s="183">
        <f t="shared" si="1"/>
        <v>0.6741573033707865</v>
      </c>
      <c r="I281" s="183">
        <f t="shared" si="2"/>
        <v>5.0561797752808983</v>
      </c>
      <c r="J281" s="222" t="str">
        <f t="shared" si="114"/>
        <v>HBA I</v>
      </c>
      <c r="K281" s="172">
        <f t="shared" si="150"/>
        <v>71.61</v>
      </c>
      <c r="L281" s="183">
        <f t="shared" si="4"/>
        <v>69.548613442556899</v>
      </c>
      <c r="M281" s="184" t="str">
        <f t="shared" si="5"/>
        <v/>
      </c>
      <c r="N281" s="185">
        <f t="shared" si="115"/>
        <v>-0.69689887640449477</v>
      </c>
      <c r="O281" s="175">
        <f t="shared" si="41"/>
        <v>70.245512318961389</v>
      </c>
      <c r="P281" s="186"/>
      <c r="Q281" s="187"/>
      <c r="R281" s="176">
        <f>R279</f>
        <v>71.045000000000002</v>
      </c>
      <c r="S281" s="217" t="e">
        <f t="shared" ref="S281:S284" si="152">(((#REF!*50%)+(#REF!*50%))*C281/5400)+R281</f>
        <v>#REF!</v>
      </c>
      <c r="T281" s="218" t="s">
        <v>23</v>
      </c>
      <c r="U281" s="230">
        <f t="shared" si="37"/>
        <v>0.79948768103861312</v>
      </c>
      <c r="V281" s="220">
        <f t="shared" ref="V281:V282" si="153">O281-6.5</f>
        <v>63.745512318961389</v>
      </c>
      <c r="W281" s="221"/>
      <c r="X281" s="226"/>
      <c r="Y281" s="226"/>
      <c r="Z281" s="180"/>
      <c r="AA281" s="180"/>
      <c r="AB281" s="180"/>
      <c r="AC281" s="180"/>
    </row>
    <row r="282" spans="1:29" ht="36.75" hidden="1" customHeight="1" x14ac:dyDescent="0.4">
      <c r="A282" s="214">
        <f t="shared" si="149"/>
        <v>46037</v>
      </c>
      <c r="B282" s="215" t="s">
        <v>164</v>
      </c>
      <c r="C282" s="227">
        <v>5305</v>
      </c>
      <c r="D282" s="210">
        <v>25</v>
      </c>
      <c r="E282" s="171">
        <v>11</v>
      </c>
      <c r="F282" s="171">
        <v>0.8</v>
      </c>
      <c r="G282" s="171">
        <v>6</v>
      </c>
      <c r="H282" s="183">
        <f t="shared" si="1"/>
        <v>0.6741573033707865</v>
      </c>
      <c r="I282" s="183">
        <f t="shared" si="2"/>
        <v>5.0561797752808983</v>
      </c>
      <c r="J282" s="222" t="str">
        <f t="shared" si="114"/>
        <v>HBA I</v>
      </c>
      <c r="K282" s="172">
        <f t="shared" si="150"/>
        <v>71.61</v>
      </c>
      <c r="L282" s="183">
        <f t="shared" si="4"/>
        <v>68.325073020882286</v>
      </c>
      <c r="M282" s="184" t="str">
        <f t="shared" si="5"/>
        <v/>
      </c>
      <c r="N282" s="185">
        <f t="shared" si="115"/>
        <v>-0.69689887640449477</v>
      </c>
      <c r="O282" s="175">
        <f t="shared" si="41"/>
        <v>69.021971897286775</v>
      </c>
      <c r="P282" s="186"/>
      <c r="Q282" s="187"/>
      <c r="R282" s="176">
        <f t="shared" ref="R282:R283" si="154">R281*C282/C281</f>
        <v>69.795134259259271</v>
      </c>
      <c r="S282" s="217" t="e">
        <f t="shared" si="152"/>
        <v>#REF!</v>
      </c>
      <c r="T282" s="218" t="s">
        <v>151</v>
      </c>
      <c r="U282" s="230">
        <f t="shared" si="37"/>
        <v>0.77316236197249566</v>
      </c>
      <c r="V282" s="220">
        <f t="shared" si="153"/>
        <v>62.521971897286775</v>
      </c>
      <c r="W282" s="221"/>
      <c r="X282" s="226"/>
      <c r="Y282" s="226"/>
      <c r="Z282" s="180"/>
      <c r="AA282" s="180"/>
      <c r="AB282" s="180"/>
      <c r="AC282" s="180"/>
    </row>
    <row r="283" spans="1:29" ht="36.75" hidden="1" customHeight="1" x14ac:dyDescent="0.4">
      <c r="A283" s="214">
        <f t="shared" si="149"/>
        <v>46037</v>
      </c>
      <c r="B283" s="215" t="s">
        <v>165</v>
      </c>
      <c r="C283" s="227">
        <v>5300</v>
      </c>
      <c r="D283" s="210">
        <v>25</v>
      </c>
      <c r="E283" s="171">
        <v>11</v>
      </c>
      <c r="F283" s="171">
        <v>0.8</v>
      </c>
      <c r="G283" s="171">
        <v>6</v>
      </c>
      <c r="H283" s="183">
        <f t="shared" si="1"/>
        <v>0.6741573033707865</v>
      </c>
      <c r="I283" s="183">
        <f t="shared" si="2"/>
        <v>5.0561797752808983</v>
      </c>
      <c r="J283" s="216" t="str">
        <f t="shared" si="114"/>
        <v>HBA II</v>
      </c>
      <c r="K283" s="172">
        <f t="shared" si="150"/>
        <v>48.39</v>
      </c>
      <c r="L283" s="183">
        <f t="shared" si="4"/>
        <v>72.996258163919734</v>
      </c>
      <c r="M283" s="184" t="str">
        <f t="shared" si="5"/>
        <v/>
      </c>
      <c r="N283" s="185">
        <f t="shared" si="115"/>
        <v>2.2391011235955056</v>
      </c>
      <c r="O283" s="175">
        <f t="shared" si="41"/>
        <v>70.75715704032423</v>
      </c>
      <c r="P283" s="186"/>
      <c r="Q283" s="187"/>
      <c r="R283" s="176">
        <f t="shared" si="154"/>
        <v>69.72935185185186</v>
      </c>
      <c r="S283" s="217" t="e">
        <f t="shared" si="152"/>
        <v>#REF!</v>
      </c>
      <c r="T283" s="218" t="s">
        <v>151</v>
      </c>
      <c r="U283" s="230">
        <f t="shared" si="37"/>
        <v>-1.0278051884723709</v>
      </c>
      <c r="V283" s="220"/>
      <c r="W283" s="221"/>
      <c r="X283" s="226"/>
      <c r="Y283" s="226"/>
      <c r="Z283" s="180"/>
      <c r="AA283" s="180"/>
      <c r="AB283" s="180"/>
      <c r="AC283" s="180"/>
    </row>
    <row r="284" spans="1:29" ht="36.75" hidden="1" customHeight="1" x14ac:dyDescent="0.4">
      <c r="A284" s="214">
        <f t="shared" si="149"/>
        <v>46037</v>
      </c>
      <c r="B284" s="215" t="s">
        <v>155</v>
      </c>
      <c r="C284" s="227">
        <v>5275</v>
      </c>
      <c r="D284" s="210">
        <v>25</v>
      </c>
      <c r="E284" s="171">
        <v>11</v>
      </c>
      <c r="F284" s="171">
        <v>0.8</v>
      </c>
      <c r="G284" s="171">
        <v>6</v>
      </c>
      <c r="H284" s="183">
        <f t="shared" si="1"/>
        <v>0.6741573033707865</v>
      </c>
      <c r="I284" s="183">
        <f t="shared" si="2"/>
        <v>5.0561797752808983</v>
      </c>
      <c r="J284" s="216" t="str">
        <f t="shared" si="114"/>
        <v>HBA II</v>
      </c>
      <c r="K284" s="172">
        <f t="shared" si="150"/>
        <v>48.39</v>
      </c>
      <c r="L284" s="183">
        <f t="shared" si="4"/>
        <v>72.651936191448414</v>
      </c>
      <c r="M284" s="184" t="str">
        <f t="shared" si="5"/>
        <v/>
      </c>
      <c r="N284" s="185">
        <f t="shared" si="115"/>
        <v>2.2391011235955056</v>
      </c>
      <c r="O284" s="175">
        <f t="shared" si="41"/>
        <v>70.41283506785291</v>
      </c>
      <c r="P284" s="186"/>
      <c r="Q284" s="187"/>
      <c r="R284" s="176">
        <f>R281*C284/C281</f>
        <v>69.400439814814817</v>
      </c>
      <c r="S284" s="217" t="e">
        <f t="shared" si="152"/>
        <v>#REF!</v>
      </c>
      <c r="T284" s="218" t="s">
        <v>151</v>
      </c>
      <c r="U284" s="230">
        <f t="shared" si="37"/>
        <v>-1.0123952530380933</v>
      </c>
      <c r="V284" s="220">
        <f>O284-6.5</f>
        <v>63.91283506785291</v>
      </c>
      <c r="W284" s="221"/>
      <c r="X284" s="226"/>
      <c r="Y284" s="226"/>
      <c r="Z284" s="180"/>
      <c r="AA284" s="180"/>
      <c r="AB284" s="180"/>
      <c r="AC284" s="180"/>
    </row>
    <row r="285" spans="1:29" ht="36.75" hidden="1" customHeight="1" x14ac:dyDescent="0.4">
      <c r="A285" s="214">
        <f t="shared" si="149"/>
        <v>46037</v>
      </c>
      <c r="B285" s="215" t="s">
        <v>157</v>
      </c>
      <c r="C285" s="181">
        <v>5400</v>
      </c>
      <c r="D285" s="182">
        <v>22</v>
      </c>
      <c r="E285" s="182">
        <v>14</v>
      </c>
      <c r="F285" s="208">
        <v>1</v>
      </c>
      <c r="G285" s="182">
        <v>6</v>
      </c>
      <c r="H285" s="183">
        <f t="shared" si="1"/>
        <v>0.90697674418604646</v>
      </c>
      <c r="I285" s="183">
        <f t="shared" si="2"/>
        <v>5.441860465116279</v>
      </c>
      <c r="J285" s="222" t="str">
        <f t="shared" si="114"/>
        <v>HBA I</v>
      </c>
      <c r="K285" s="172">
        <f t="shared" si="150"/>
        <v>71.61</v>
      </c>
      <c r="L285" s="183">
        <f t="shared" si="4"/>
        <v>72.330557980259172</v>
      </c>
      <c r="M285" s="184" t="str">
        <f t="shared" si="5"/>
        <v/>
      </c>
      <c r="N285" s="185">
        <f t="shared" si="115"/>
        <v>0.38865116279069739</v>
      </c>
      <c r="O285" s="175">
        <f t="shared" si="41"/>
        <v>71.941906817468478</v>
      </c>
      <c r="P285" s="186"/>
      <c r="Q285" s="187"/>
      <c r="R285" s="186">
        <f>R279</f>
        <v>71.045000000000002</v>
      </c>
      <c r="S285" s="217" t="e">
        <f>((#REF!*50%)+(#REF!*50%))+R285</f>
        <v>#REF!</v>
      </c>
      <c r="T285" s="218" t="s">
        <v>151</v>
      </c>
      <c r="U285" s="230">
        <f t="shared" si="37"/>
        <v>-0.89690681746847645</v>
      </c>
      <c r="V285" s="220"/>
      <c r="W285" s="221"/>
      <c r="X285" s="226"/>
      <c r="Y285" s="226"/>
      <c r="Z285" s="180"/>
      <c r="AA285" s="180"/>
      <c r="AB285" s="180"/>
      <c r="AC285" s="180"/>
    </row>
    <row r="286" spans="1:29" ht="36.75" hidden="1" customHeight="1" x14ac:dyDescent="0.4">
      <c r="A286" s="214">
        <f t="shared" si="149"/>
        <v>46037</v>
      </c>
      <c r="B286" s="215" t="s">
        <v>158</v>
      </c>
      <c r="C286" s="181">
        <v>4200</v>
      </c>
      <c r="D286" s="182">
        <v>36</v>
      </c>
      <c r="E286" s="182">
        <v>16</v>
      </c>
      <c r="F286" s="182">
        <v>0.4</v>
      </c>
      <c r="G286" s="182">
        <v>8</v>
      </c>
      <c r="H286" s="183">
        <f t="shared" si="1"/>
        <v>0.30476190476190479</v>
      </c>
      <c r="I286" s="192">
        <f t="shared" si="2"/>
        <v>6.0952380952380949</v>
      </c>
      <c r="J286" s="216" t="str">
        <f t="shared" si="114"/>
        <v>HBA II</v>
      </c>
      <c r="K286" s="172">
        <f t="shared" si="150"/>
        <v>48.39</v>
      </c>
      <c r="L286" s="183">
        <f t="shared" si="4"/>
        <v>49.361997973488357</v>
      </c>
      <c r="M286" s="188" t="str">
        <f t="shared" si="5"/>
        <v/>
      </c>
      <c r="N286" s="185">
        <f t="shared" si="115"/>
        <v>1.177142857142857</v>
      </c>
      <c r="O286" s="175">
        <f t="shared" si="41"/>
        <v>48.184855116345503</v>
      </c>
      <c r="P286" s="193"/>
      <c r="Q286" s="191"/>
      <c r="R286" s="186">
        <f>'ICI, GNewc, Delta'!E736</f>
        <v>46.23</v>
      </c>
      <c r="S286" s="217" t="e">
        <f>#REF!+'HPB Calculation'!R286</f>
        <v>#REF!</v>
      </c>
      <c r="T286" s="218" t="s">
        <v>4</v>
      </c>
      <c r="U286" s="230">
        <f t="shared" si="37"/>
        <v>-1.9548551163455059</v>
      </c>
      <c r="V286" s="220"/>
      <c r="W286" s="221"/>
      <c r="X286" s="226"/>
      <c r="Y286" s="226"/>
      <c r="Z286" s="180"/>
      <c r="AA286" s="180"/>
      <c r="AB286" s="180"/>
      <c r="AC286" s="180"/>
    </row>
    <row r="287" spans="1:29" ht="36.75" hidden="1" customHeight="1" x14ac:dyDescent="0.4">
      <c r="A287" s="214">
        <f t="shared" si="149"/>
        <v>46037</v>
      </c>
      <c r="B287" s="215" t="s">
        <v>159</v>
      </c>
      <c r="C287" s="181">
        <v>4050</v>
      </c>
      <c r="D287" s="182">
        <v>36</v>
      </c>
      <c r="E287" s="182">
        <v>16</v>
      </c>
      <c r="F287" s="182">
        <v>0.4</v>
      </c>
      <c r="G287" s="182">
        <v>8</v>
      </c>
      <c r="H287" s="183">
        <f t="shared" si="1"/>
        <v>0.30476190476190479</v>
      </c>
      <c r="I287" s="192">
        <f t="shared" si="2"/>
        <v>6.0952380952380949</v>
      </c>
      <c r="J287" s="229" t="str">
        <f t="shared" si="114"/>
        <v>HBA III</v>
      </c>
      <c r="K287" s="172">
        <f t="shared" si="150"/>
        <v>35.380000000000003</v>
      </c>
      <c r="L287" s="183">
        <f t="shared" si="4"/>
        <v>48.628070704403846</v>
      </c>
      <c r="M287" s="188">
        <f t="shared" si="5"/>
        <v>1.0042187500000002</v>
      </c>
      <c r="N287" s="185">
        <f t="shared" si="115"/>
        <v>1.1451428571428572</v>
      </c>
      <c r="O287" s="175">
        <f t="shared" si="41"/>
        <v>33.656573985293953</v>
      </c>
      <c r="P287" s="193"/>
      <c r="Q287" s="191"/>
      <c r="R287" s="186">
        <f>R286*C287/C286</f>
        <v>44.57892857142857</v>
      </c>
      <c r="S287" s="217" t="e">
        <f>#REF!+'HPB Calculation'!R287</f>
        <v>#REF!</v>
      </c>
      <c r="T287" s="218" t="s">
        <v>160</v>
      </c>
      <c r="U287" s="230">
        <f t="shared" si="37"/>
        <v>10.922354586134617</v>
      </c>
      <c r="V287" s="220"/>
      <c r="W287" s="221"/>
      <c r="X287" s="226"/>
      <c r="Y287" s="226"/>
      <c r="Z287" s="180"/>
      <c r="AA287" s="180"/>
      <c r="AB287" s="180"/>
      <c r="AC287" s="180"/>
    </row>
    <row r="288" spans="1:29" ht="36.75" hidden="1" customHeight="1" x14ac:dyDescent="0.4">
      <c r="A288" s="214">
        <f t="shared" si="149"/>
        <v>46037</v>
      </c>
      <c r="B288" s="215" t="s">
        <v>15</v>
      </c>
      <c r="C288" s="170">
        <v>3600</v>
      </c>
      <c r="D288" s="171">
        <v>40</v>
      </c>
      <c r="E288" s="171">
        <v>15</v>
      </c>
      <c r="F288" s="171">
        <v>0.6</v>
      </c>
      <c r="G288" s="171">
        <v>8</v>
      </c>
      <c r="H288" s="183">
        <f t="shared" si="1"/>
        <v>0.42352941176470588</v>
      </c>
      <c r="I288" s="192">
        <f t="shared" si="2"/>
        <v>5.6470588235294121</v>
      </c>
      <c r="J288" s="229" t="str">
        <f t="shared" si="114"/>
        <v>HBA III</v>
      </c>
      <c r="K288" s="172">
        <f t="shared" si="150"/>
        <v>35.380000000000003</v>
      </c>
      <c r="L288" s="183">
        <f t="shared" si="4"/>
        <v>43.224951737247871</v>
      </c>
      <c r="M288" s="200">
        <f t="shared" si="5"/>
        <v>1.0711666666666668</v>
      </c>
      <c r="N288" s="185">
        <f t="shared" si="115"/>
        <v>1.4409411764705884</v>
      </c>
      <c r="O288" s="175">
        <f t="shared" si="41"/>
        <v>41.784010560777283</v>
      </c>
      <c r="P288" s="193"/>
      <c r="Q288" s="191"/>
      <c r="R288" s="186">
        <f>'ICI, GNewc, Delta'!AF736</f>
        <v>38.67</v>
      </c>
      <c r="S288" s="217" t="e">
        <f>((#REF!*50%)+(#REF!*50%))</f>
        <v>#REF!</v>
      </c>
      <c r="T288" s="218" t="s">
        <v>25</v>
      </c>
      <c r="U288" s="230">
        <f t="shared" si="37"/>
        <v>-3.114010560777281</v>
      </c>
      <c r="V288" s="220"/>
      <c r="W288" s="221"/>
      <c r="X288" s="226"/>
      <c r="Y288" s="226"/>
      <c r="Z288" s="180"/>
      <c r="AA288" s="180"/>
      <c r="AB288" s="180"/>
      <c r="AC288" s="180"/>
    </row>
    <row r="289" spans="1:29" ht="36.75" hidden="1" customHeight="1" x14ac:dyDescent="0.4">
      <c r="A289" s="214">
        <f t="shared" si="149"/>
        <v>46037</v>
      </c>
      <c r="B289" s="257" t="s">
        <v>161</v>
      </c>
      <c r="C289" s="181">
        <v>4800</v>
      </c>
      <c r="D289" s="182">
        <v>30</v>
      </c>
      <c r="E289" s="182">
        <v>14</v>
      </c>
      <c r="F289" s="182">
        <v>0.8</v>
      </c>
      <c r="G289" s="182">
        <v>8</v>
      </c>
      <c r="H289" s="183">
        <f t="shared" si="1"/>
        <v>0.65116279069767447</v>
      </c>
      <c r="I289" s="192">
        <f t="shared" si="2"/>
        <v>6.5116279069767442</v>
      </c>
      <c r="J289" s="216" t="str">
        <f t="shared" si="114"/>
        <v>HBA II</v>
      </c>
      <c r="K289" s="172">
        <f t="shared" si="150"/>
        <v>48.39</v>
      </c>
      <c r="L289" s="183">
        <f t="shared" si="4"/>
        <v>61.70249746686045</v>
      </c>
      <c r="M289" s="188" t="str">
        <f t="shared" si="5"/>
        <v/>
      </c>
      <c r="N289" s="185">
        <f t="shared" si="115"/>
        <v>2.7293023255813957</v>
      </c>
      <c r="O289" s="175">
        <f t="shared" si="41"/>
        <v>58.973195141279056</v>
      </c>
      <c r="P289" s="193"/>
      <c r="Q289" s="191"/>
      <c r="R289" s="186">
        <f>'ICI, GNewc, Delta'!D736*C289/5000</f>
        <v>59.078400000000002</v>
      </c>
      <c r="S289" s="217" t="e">
        <f>(#REF!*C289/5000)+R289</f>
        <v>#REF!</v>
      </c>
      <c r="T289" s="218" t="s">
        <v>162</v>
      </c>
      <c r="U289" s="230">
        <f t="shared" si="37"/>
        <v>0.10520485872094554</v>
      </c>
      <c r="V289" s="220"/>
      <c r="W289" s="221"/>
      <c r="X289" s="221"/>
      <c r="Y289" s="221"/>
      <c r="Z289" s="180"/>
      <c r="AA289" s="180"/>
      <c r="AB289" s="180"/>
      <c r="AC289" s="180"/>
    </row>
    <row r="290" spans="1:29" ht="36.75" hidden="1" customHeight="1" x14ac:dyDescent="0.4">
      <c r="A290" s="307">
        <f t="shared" ref="A290:A301" si="155">A$48</f>
        <v>46054</v>
      </c>
      <c r="B290" s="308" t="s">
        <v>14</v>
      </c>
      <c r="C290" s="309">
        <v>5000</v>
      </c>
      <c r="D290" s="310">
        <v>28</v>
      </c>
      <c r="E290" s="310">
        <v>13</v>
      </c>
      <c r="F290" s="310">
        <v>0.8</v>
      </c>
      <c r="G290" s="310">
        <v>8</v>
      </c>
      <c r="H290" s="311">
        <f t="shared" si="1"/>
        <v>0.66206896551724137</v>
      </c>
      <c r="I290" s="311">
        <f t="shared" si="2"/>
        <v>6.6206896551724137</v>
      </c>
      <c r="J290" s="312" t="str">
        <f t="shared" si="114"/>
        <v>HBA II</v>
      </c>
      <c r="K290" s="311">
        <f t="shared" ref="K290:K301" si="156">IF(J290="", "", INDEX($B$24:$E$48, MATCH(DATE(2026,2,1), $A$24:$A$48, 0), MATCH(J290, $B$23:$E$23, 0)))</f>
        <v>48.21</v>
      </c>
      <c r="L290" s="311">
        <f t="shared" si="4"/>
        <v>65.863904943701669</v>
      </c>
      <c r="M290" s="313" t="str">
        <f t="shared" si="5"/>
        <v/>
      </c>
      <c r="N290" s="314">
        <f t="shared" si="115"/>
        <v>2.8165517241379314</v>
      </c>
      <c r="O290" s="315">
        <f t="shared" si="41"/>
        <v>63.047353219563739</v>
      </c>
      <c r="P290" s="310">
        <v>3.01</v>
      </c>
      <c r="Q290" s="316">
        <f t="shared" ref="Q290:Q292" si="157">O290+P290</f>
        <v>66.057353219563737</v>
      </c>
      <c r="R290" s="317">
        <f>'ICI, GNewc, Delta'!D739</f>
        <v>63.26</v>
      </c>
      <c r="S290" s="318" t="e">
        <f>AVERAGE(#REF!)+0.75</f>
        <v>#REF!</v>
      </c>
      <c r="T290" s="319" t="s">
        <v>3</v>
      </c>
      <c r="U290" s="320">
        <f t="shared" si="37"/>
        <v>0.21264678043625906</v>
      </c>
      <c r="V290" s="220"/>
      <c r="W290" s="221"/>
      <c r="X290" s="221"/>
      <c r="Y290" s="221"/>
      <c r="Z290" s="180"/>
      <c r="AA290" s="180"/>
      <c r="AB290" s="180"/>
      <c r="AC290" s="180"/>
    </row>
    <row r="291" spans="1:29" ht="36.75" hidden="1" customHeight="1" x14ac:dyDescent="0.4">
      <c r="A291" s="214">
        <f t="shared" si="155"/>
        <v>46054</v>
      </c>
      <c r="B291" s="215" t="s">
        <v>150</v>
      </c>
      <c r="C291" s="181">
        <v>5400</v>
      </c>
      <c r="D291" s="182">
        <v>19</v>
      </c>
      <c r="E291" s="182">
        <v>14</v>
      </c>
      <c r="F291" s="182">
        <v>0.2</v>
      </c>
      <c r="G291" s="182">
        <v>6</v>
      </c>
      <c r="H291" s="183">
        <f t="shared" si="1"/>
        <v>0.18837209302325583</v>
      </c>
      <c r="I291" s="192">
        <f t="shared" si="2"/>
        <v>5.6511627906976747</v>
      </c>
      <c r="J291" s="222" t="str">
        <f t="shared" si="114"/>
        <v>HBA I</v>
      </c>
      <c r="K291" s="172">
        <f t="shared" si="156"/>
        <v>73.959999999999994</v>
      </c>
      <c r="L291" s="183">
        <f t="shared" si="4"/>
        <v>77.577442902226323</v>
      </c>
      <c r="M291" s="188" t="str">
        <f t="shared" si="5"/>
        <v/>
      </c>
      <c r="N291" s="185">
        <f t="shared" si="115"/>
        <v>-2.4020465116279066</v>
      </c>
      <c r="O291" s="175">
        <f t="shared" si="41"/>
        <v>79.979489413854225</v>
      </c>
      <c r="P291" s="193">
        <v>-7.12</v>
      </c>
      <c r="Q291" s="191">
        <f t="shared" si="157"/>
        <v>72.85948941385422</v>
      </c>
      <c r="R291" s="186">
        <f>('ICI, GNewc, Delta'!C739+'ICI, GNewc, Delta'!D739)/2</f>
        <v>72.569999999999993</v>
      </c>
      <c r="S291" s="223"/>
      <c r="T291" s="218" t="s">
        <v>23</v>
      </c>
      <c r="U291" s="230">
        <f t="shared" si="37"/>
        <v>-7.4094894138542315</v>
      </c>
      <c r="V291" s="224"/>
      <c r="W291" s="225"/>
      <c r="X291" s="225"/>
      <c r="Y291" s="226"/>
      <c r="Z291" s="180"/>
      <c r="AA291" s="180"/>
      <c r="AB291" s="180"/>
      <c r="AC291" s="180"/>
    </row>
    <row r="292" spans="1:29" ht="36.75" hidden="1" customHeight="1" x14ac:dyDescent="0.4">
      <c r="A292" s="214">
        <f t="shared" si="155"/>
        <v>46054</v>
      </c>
      <c r="B292" s="215" t="s">
        <v>150</v>
      </c>
      <c r="C292" s="181">
        <v>5250</v>
      </c>
      <c r="D292" s="182">
        <v>19</v>
      </c>
      <c r="E292" s="182">
        <v>14</v>
      </c>
      <c r="F292" s="182">
        <v>0.2</v>
      </c>
      <c r="G292" s="182">
        <v>6</v>
      </c>
      <c r="H292" s="183">
        <f t="shared" si="1"/>
        <v>0.18837209302325583</v>
      </c>
      <c r="I292" s="192">
        <f t="shared" si="2"/>
        <v>5.6511627906976747</v>
      </c>
      <c r="J292" s="216" t="str">
        <f t="shared" si="114"/>
        <v>HBA II</v>
      </c>
      <c r="K292" s="172">
        <f t="shared" si="156"/>
        <v>48.21</v>
      </c>
      <c r="L292" s="183">
        <f t="shared" si="4"/>
        <v>77.801737714747603</v>
      </c>
      <c r="M292" s="188" t="str">
        <f t="shared" si="5"/>
        <v/>
      </c>
      <c r="N292" s="185">
        <f t="shared" si="115"/>
        <v>0.53395348837209322</v>
      </c>
      <c r="O292" s="175">
        <f t="shared" si="41"/>
        <v>77.267784226375511</v>
      </c>
      <c r="P292" s="193">
        <v>-7.12</v>
      </c>
      <c r="Q292" s="191">
        <f t="shared" si="157"/>
        <v>70.147784226375506</v>
      </c>
      <c r="R292" s="186">
        <f>R291*C292/C291</f>
        <v>70.55416666666666</v>
      </c>
      <c r="S292" s="223"/>
      <c r="T292" s="218" t="s">
        <v>151</v>
      </c>
      <c r="U292" s="230">
        <f t="shared" si="37"/>
        <v>-6.713617559708851</v>
      </c>
      <c r="V292" s="224"/>
      <c r="W292" s="225"/>
      <c r="X292" s="225"/>
      <c r="Y292" s="226"/>
      <c r="Z292" s="180"/>
      <c r="AA292" s="180"/>
      <c r="AB292" s="180"/>
      <c r="AC292" s="180"/>
    </row>
    <row r="293" spans="1:29" ht="36.75" hidden="1" customHeight="1" x14ac:dyDescent="0.4">
      <c r="A293" s="214">
        <f t="shared" si="155"/>
        <v>46054</v>
      </c>
      <c r="B293" s="215" t="s">
        <v>152</v>
      </c>
      <c r="C293" s="227">
        <v>5400</v>
      </c>
      <c r="D293" s="210">
        <v>25</v>
      </c>
      <c r="E293" s="171">
        <v>11</v>
      </c>
      <c r="F293" s="171">
        <v>0.8</v>
      </c>
      <c r="G293" s="171">
        <v>6</v>
      </c>
      <c r="H293" s="183">
        <f t="shared" si="1"/>
        <v>0.6741573033707865</v>
      </c>
      <c r="I293" s="183">
        <f t="shared" si="2"/>
        <v>5.0561797752808983</v>
      </c>
      <c r="J293" s="222" t="str">
        <f t="shared" si="114"/>
        <v>HBA I</v>
      </c>
      <c r="K293" s="172">
        <f t="shared" si="156"/>
        <v>73.959999999999994</v>
      </c>
      <c r="L293" s="183">
        <f t="shared" si="4"/>
        <v>71.830965650209563</v>
      </c>
      <c r="M293" s="184" t="str">
        <f t="shared" si="5"/>
        <v/>
      </c>
      <c r="N293" s="185">
        <f t="shared" si="115"/>
        <v>-0.69689887640449477</v>
      </c>
      <c r="O293" s="175">
        <f t="shared" si="41"/>
        <v>72.527864526614053</v>
      </c>
      <c r="P293" s="186"/>
      <c r="Q293" s="187"/>
      <c r="R293" s="176">
        <f>R291</f>
        <v>72.569999999999993</v>
      </c>
      <c r="S293" s="217" t="e">
        <f t="shared" ref="S293:S296" si="158">(((#REF!*50%)+(#REF!*50%))*C293/5400)+R293</f>
        <v>#REF!</v>
      </c>
      <c r="T293" s="218" t="s">
        <v>23</v>
      </c>
      <c r="U293" s="230">
        <f t="shared" si="37"/>
        <v>4.2135473385940259E-2</v>
      </c>
      <c r="V293" s="220">
        <f t="shared" ref="V293:V294" si="159">O293-6.5</f>
        <v>66.027864526614053</v>
      </c>
      <c r="W293" s="221"/>
      <c r="X293" s="226"/>
      <c r="Y293" s="226"/>
      <c r="Z293" s="180"/>
      <c r="AA293" s="180"/>
      <c r="AB293" s="180"/>
      <c r="AC293" s="180"/>
    </row>
    <row r="294" spans="1:29" ht="36.75" hidden="1" customHeight="1" x14ac:dyDescent="0.4">
      <c r="A294" s="214">
        <f t="shared" si="155"/>
        <v>46054</v>
      </c>
      <c r="B294" s="215" t="s">
        <v>164</v>
      </c>
      <c r="C294" s="227">
        <v>5305</v>
      </c>
      <c r="D294" s="210">
        <v>25</v>
      </c>
      <c r="E294" s="171">
        <v>11</v>
      </c>
      <c r="F294" s="171">
        <v>0.8</v>
      </c>
      <c r="G294" s="171">
        <v>6</v>
      </c>
      <c r="H294" s="183">
        <f t="shared" si="1"/>
        <v>0.6741573033707865</v>
      </c>
      <c r="I294" s="183">
        <f t="shared" si="2"/>
        <v>5.0561797752808983</v>
      </c>
      <c r="J294" s="222" t="str">
        <f t="shared" si="114"/>
        <v>HBA I</v>
      </c>
      <c r="K294" s="172">
        <f t="shared" si="156"/>
        <v>73.959999999999994</v>
      </c>
      <c r="L294" s="183">
        <f t="shared" si="4"/>
        <v>70.56727273599293</v>
      </c>
      <c r="M294" s="184" t="str">
        <f t="shared" si="5"/>
        <v/>
      </c>
      <c r="N294" s="185">
        <f t="shared" si="115"/>
        <v>-0.69689887640449477</v>
      </c>
      <c r="O294" s="175">
        <f t="shared" si="41"/>
        <v>71.264171612397419</v>
      </c>
      <c r="P294" s="186"/>
      <c r="Q294" s="187"/>
      <c r="R294" s="176">
        <f t="shared" ref="R294:R295" si="160">R293*C294/C293</f>
        <v>71.293305555555548</v>
      </c>
      <c r="S294" s="217" t="e">
        <f t="shared" si="158"/>
        <v>#REF!</v>
      </c>
      <c r="T294" s="218" t="s">
        <v>151</v>
      </c>
      <c r="U294" s="230">
        <f t="shared" si="37"/>
        <v>2.9133943158129227E-2</v>
      </c>
      <c r="V294" s="220">
        <f t="shared" si="159"/>
        <v>64.764171612397419</v>
      </c>
      <c r="W294" s="221"/>
      <c r="X294" s="226"/>
      <c r="Y294" s="226"/>
      <c r="Z294" s="180"/>
      <c r="AA294" s="180"/>
      <c r="AB294" s="180"/>
      <c r="AC294" s="180"/>
    </row>
    <row r="295" spans="1:29" ht="36.75" hidden="1" customHeight="1" x14ac:dyDescent="0.4">
      <c r="A295" s="214">
        <f t="shared" si="155"/>
        <v>46054</v>
      </c>
      <c r="B295" s="215" t="s">
        <v>165</v>
      </c>
      <c r="C295" s="227">
        <v>5300</v>
      </c>
      <c r="D295" s="210">
        <v>25</v>
      </c>
      <c r="E295" s="171">
        <v>11</v>
      </c>
      <c r="F295" s="171">
        <v>0.8</v>
      </c>
      <c r="G295" s="171">
        <v>6</v>
      </c>
      <c r="H295" s="183">
        <f t="shared" si="1"/>
        <v>0.6741573033707865</v>
      </c>
      <c r="I295" s="183">
        <f t="shared" si="2"/>
        <v>5.0561797752808983</v>
      </c>
      <c r="J295" s="216" t="str">
        <f t="shared" si="114"/>
        <v>HBA II</v>
      </c>
      <c r="K295" s="172">
        <f t="shared" si="156"/>
        <v>48.21</v>
      </c>
      <c r="L295" s="183">
        <f t="shared" si="4"/>
        <v>72.724728375337264</v>
      </c>
      <c r="M295" s="184" t="str">
        <f t="shared" si="5"/>
        <v/>
      </c>
      <c r="N295" s="185">
        <f t="shared" si="115"/>
        <v>2.2391011235955056</v>
      </c>
      <c r="O295" s="175">
        <f t="shared" si="41"/>
        <v>70.485627251741761</v>
      </c>
      <c r="P295" s="186"/>
      <c r="Q295" s="187"/>
      <c r="R295" s="176">
        <f t="shared" si="160"/>
        <v>71.226111111111095</v>
      </c>
      <c r="S295" s="217" t="e">
        <f t="shared" si="158"/>
        <v>#REF!</v>
      </c>
      <c r="T295" s="218" t="s">
        <v>151</v>
      </c>
      <c r="U295" s="230">
        <f t="shared" si="37"/>
        <v>0.74048385936933414</v>
      </c>
      <c r="V295" s="220"/>
      <c r="W295" s="221"/>
      <c r="X295" s="226"/>
      <c r="Y295" s="226"/>
      <c r="Z295" s="180"/>
      <c r="AA295" s="180"/>
      <c r="AB295" s="180"/>
      <c r="AC295" s="180"/>
    </row>
    <row r="296" spans="1:29" ht="36.75" hidden="1" customHeight="1" x14ac:dyDescent="0.4">
      <c r="A296" s="214">
        <f t="shared" si="155"/>
        <v>46054</v>
      </c>
      <c r="B296" s="215" t="s">
        <v>155</v>
      </c>
      <c r="C296" s="227">
        <v>5275</v>
      </c>
      <c r="D296" s="210">
        <v>25</v>
      </c>
      <c r="E296" s="171">
        <v>11</v>
      </c>
      <c r="F296" s="171">
        <v>0.8</v>
      </c>
      <c r="G296" s="171">
        <v>6</v>
      </c>
      <c r="H296" s="183">
        <f t="shared" si="1"/>
        <v>0.6741573033707865</v>
      </c>
      <c r="I296" s="183">
        <f t="shared" si="2"/>
        <v>5.0561797752808983</v>
      </c>
      <c r="J296" s="216" t="str">
        <f t="shared" si="114"/>
        <v>HBA II</v>
      </c>
      <c r="K296" s="172">
        <f t="shared" si="156"/>
        <v>48.21</v>
      </c>
      <c r="L296" s="183">
        <f t="shared" si="4"/>
        <v>72.381687203755476</v>
      </c>
      <c r="M296" s="184" t="str">
        <f t="shared" si="5"/>
        <v/>
      </c>
      <c r="N296" s="185">
        <f t="shared" si="115"/>
        <v>2.2391011235955056</v>
      </c>
      <c r="O296" s="175">
        <f t="shared" si="41"/>
        <v>70.142586080159973</v>
      </c>
      <c r="P296" s="186"/>
      <c r="Q296" s="187"/>
      <c r="R296" s="176">
        <f>R293*C296/C293</f>
        <v>70.890138888888885</v>
      </c>
      <c r="S296" s="217" t="e">
        <f t="shared" si="158"/>
        <v>#REF!</v>
      </c>
      <c r="T296" s="218" t="s">
        <v>151</v>
      </c>
      <c r="U296" s="230">
        <f t="shared" si="37"/>
        <v>0.74755280872891205</v>
      </c>
      <c r="V296" s="220">
        <f>O296-6.5</f>
        <v>63.642586080159973</v>
      </c>
      <c r="W296" s="221"/>
      <c r="X296" s="226"/>
      <c r="Y296" s="226"/>
      <c r="Z296" s="180"/>
      <c r="AA296" s="180"/>
      <c r="AB296" s="180"/>
      <c r="AC296" s="180"/>
    </row>
    <row r="297" spans="1:29" ht="36.75" hidden="1" customHeight="1" x14ac:dyDescent="0.4">
      <c r="A297" s="214">
        <f t="shared" si="155"/>
        <v>46054</v>
      </c>
      <c r="B297" s="215" t="s">
        <v>157</v>
      </c>
      <c r="C297" s="227">
        <v>5400</v>
      </c>
      <c r="D297" s="182">
        <v>22</v>
      </c>
      <c r="E297" s="182">
        <v>14</v>
      </c>
      <c r="F297" s="208">
        <v>1</v>
      </c>
      <c r="G297" s="182">
        <v>6</v>
      </c>
      <c r="H297" s="183">
        <f t="shared" si="1"/>
        <v>0.90697674418604646</v>
      </c>
      <c r="I297" s="183">
        <f t="shared" si="2"/>
        <v>5.441860465116279</v>
      </c>
      <c r="J297" s="222" t="str">
        <f t="shared" si="114"/>
        <v>HBA I</v>
      </c>
      <c r="K297" s="172">
        <f t="shared" si="156"/>
        <v>73.959999999999994</v>
      </c>
      <c r="L297" s="183">
        <f t="shared" si="4"/>
        <v>74.704204276217951</v>
      </c>
      <c r="M297" s="184" t="str">
        <f t="shared" si="5"/>
        <v/>
      </c>
      <c r="N297" s="185">
        <f t="shared" si="115"/>
        <v>0.38865116279069739</v>
      </c>
      <c r="O297" s="175">
        <f t="shared" si="41"/>
        <v>74.315553113427256</v>
      </c>
      <c r="P297" s="186"/>
      <c r="Q297" s="187"/>
      <c r="R297" s="186">
        <f>R291</f>
        <v>72.569999999999993</v>
      </c>
      <c r="S297" s="217" t="e">
        <f>((#REF!*50%)+(#REF!*50%))+R297</f>
        <v>#REF!</v>
      </c>
      <c r="T297" s="218" t="s">
        <v>151</v>
      </c>
      <c r="U297" s="230">
        <f t="shared" si="37"/>
        <v>-1.7455531134272633</v>
      </c>
      <c r="V297" s="220"/>
      <c r="W297" s="221"/>
      <c r="X297" s="226"/>
      <c r="Y297" s="226"/>
      <c r="Z297" s="180"/>
      <c r="AA297" s="180"/>
      <c r="AB297" s="180"/>
      <c r="AC297" s="180"/>
    </row>
    <row r="298" spans="1:29" ht="36.75" hidden="1" customHeight="1" x14ac:dyDescent="0.4">
      <c r="A298" s="214">
        <f t="shared" si="155"/>
        <v>46054</v>
      </c>
      <c r="B298" s="215" t="s">
        <v>158</v>
      </c>
      <c r="C298" s="181">
        <v>4200</v>
      </c>
      <c r="D298" s="182">
        <v>36</v>
      </c>
      <c r="E298" s="182">
        <v>16</v>
      </c>
      <c r="F298" s="182">
        <v>0.4</v>
      </c>
      <c r="G298" s="182">
        <v>8</v>
      </c>
      <c r="H298" s="183">
        <f t="shared" si="1"/>
        <v>0.30476190476190479</v>
      </c>
      <c r="I298" s="192">
        <f t="shared" si="2"/>
        <v>6.0952380952380949</v>
      </c>
      <c r="J298" s="216" t="str">
        <f t="shared" si="114"/>
        <v>HBA II</v>
      </c>
      <c r="K298" s="172">
        <f t="shared" si="156"/>
        <v>48.21</v>
      </c>
      <c r="L298" s="183">
        <f t="shared" si="4"/>
        <v>49.178382357963912</v>
      </c>
      <c r="M298" s="188" t="str">
        <f t="shared" si="5"/>
        <v/>
      </c>
      <c r="N298" s="185">
        <f t="shared" si="115"/>
        <v>1.177142857142857</v>
      </c>
      <c r="O298" s="175">
        <f t="shared" si="41"/>
        <v>48.001239500821058</v>
      </c>
      <c r="P298" s="193"/>
      <c r="Q298" s="191"/>
      <c r="R298" s="186">
        <f>'ICI, GNewc, Delta'!E739</f>
        <v>47.7</v>
      </c>
      <c r="S298" s="217" t="e">
        <f>#REF!+'HPB Calculation'!R298</f>
        <v>#REF!</v>
      </c>
      <c r="T298" s="218" t="s">
        <v>4</v>
      </c>
      <c r="U298" s="230">
        <f t="shared" si="37"/>
        <v>-0.30123950082105466</v>
      </c>
      <c r="V298" s="220"/>
      <c r="W298" s="221"/>
      <c r="X298" s="226"/>
      <c r="Y298" s="226"/>
      <c r="Z298" s="180"/>
      <c r="AA298" s="180"/>
      <c r="AB298" s="180"/>
      <c r="AC298" s="180"/>
    </row>
    <row r="299" spans="1:29" ht="36.75" hidden="1" customHeight="1" x14ac:dyDescent="0.4">
      <c r="A299" s="214">
        <f t="shared" si="155"/>
        <v>46054</v>
      </c>
      <c r="B299" s="215" t="s">
        <v>159</v>
      </c>
      <c r="C299" s="181">
        <v>4050</v>
      </c>
      <c r="D299" s="182">
        <v>36</v>
      </c>
      <c r="E299" s="182">
        <v>16</v>
      </c>
      <c r="F299" s="182">
        <v>0.4</v>
      </c>
      <c r="G299" s="182">
        <v>8</v>
      </c>
      <c r="H299" s="183">
        <f t="shared" si="1"/>
        <v>0.30476190476190479</v>
      </c>
      <c r="I299" s="192">
        <f t="shared" si="2"/>
        <v>6.0952380952380949</v>
      </c>
      <c r="J299" s="229" t="str">
        <f t="shared" si="114"/>
        <v>HBA III</v>
      </c>
      <c r="K299" s="172">
        <f t="shared" si="156"/>
        <v>35.83</v>
      </c>
      <c r="L299" s="183">
        <f t="shared" si="4"/>
        <v>49.246573582215653</v>
      </c>
      <c r="M299" s="188">
        <f t="shared" si="5"/>
        <v>1.0042187500000002</v>
      </c>
      <c r="N299" s="185">
        <f t="shared" si="115"/>
        <v>1.1451428571428572</v>
      </c>
      <c r="O299" s="175">
        <f t="shared" si="41"/>
        <v>34.099218772718956</v>
      </c>
      <c r="P299" s="193"/>
      <c r="Q299" s="191"/>
      <c r="R299" s="186">
        <f>R298*C299/C298</f>
        <v>45.996428571428574</v>
      </c>
      <c r="S299" s="217" t="e">
        <f>#REF!+'HPB Calculation'!R299</f>
        <v>#REF!</v>
      </c>
      <c r="T299" s="218" t="s">
        <v>160</v>
      </c>
      <c r="U299" s="230">
        <f t="shared" si="37"/>
        <v>11.897209798709618</v>
      </c>
      <c r="V299" s="220"/>
      <c r="W299" s="221"/>
      <c r="X299" s="226"/>
      <c r="Y299" s="226"/>
      <c r="Z299" s="180"/>
      <c r="AA299" s="180"/>
      <c r="AB299" s="180"/>
      <c r="AC299" s="180"/>
    </row>
    <row r="300" spans="1:29" ht="36.75" hidden="1" customHeight="1" x14ac:dyDescent="0.4">
      <c r="A300" s="214">
        <f t="shared" si="155"/>
        <v>46054</v>
      </c>
      <c r="B300" s="215" t="s">
        <v>15</v>
      </c>
      <c r="C300" s="170">
        <v>3600</v>
      </c>
      <c r="D300" s="171">
        <v>40</v>
      </c>
      <c r="E300" s="171">
        <v>15</v>
      </c>
      <c r="F300" s="171">
        <v>0.6</v>
      </c>
      <c r="G300" s="171">
        <v>8</v>
      </c>
      <c r="H300" s="183">
        <f t="shared" si="1"/>
        <v>0.42352941176470588</v>
      </c>
      <c r="I300" s="192">
        <f t="shared" si="2"/>
        <v>5.6470588235294121</v>
      </c>
      <c r="J300" s="229" t="str">
        <f t="shared" si="114"/>
        <v>HBA III</v>
      </c>
      <c r="K300" s="172">
        <f t="shared" si="156"/>
        <v>35.83</v>
      </c>
      <c r="L300" s="183">
        <f t="shared" si="4"/>
        <v>43.774732073080578</v>
      </c>
      <c r="M300" s="200">
        <f t="shared" si="5"/>
        <v>1.0711666666666668</v>
      </c>
      <c r="N300" s="185">
        <f t="shared" si="115"/>
        <v>1.4409411764705884</v>
      </c>
      <c r="O300" s="175">
        <f t="shared" si="41"/>
        <v>42.33379089660999</v>
      </c>
      <c r="P300" s="193"/>
      <c r="Q300" s="191"/>
      <c r="R300" s="186">
        <f>'ICI, GNewc, Delta'!AF739</f>
        <v>39.885000000000005</v>
      </c>
      <c r="S300" s="217" t="e">
        <f>((#REF!*50%)+(#REF!*50%))</f>
        <v>#REF!</v>
      </c>
      <c r="T300" s="218" t="s">
        <v>25</v>
      </c>
      <c r="U300" s="230">
        <f t="shared" si="37"/>
        <v>-2.4487908966099852</v>
      </c>
      <c r="V300" s="220"/>
      <c r="W300" s="221"/>
      <c r="X300" s="226"/>
      <c r="Y300" s="226"/>
      <c r="Z300" s="180"/>
      <c r="AA300" s="180"/>
      <c r="AB300" s="180"/>
      <c r="AC300" s="180"/>
    </row>
    <row r="301" spans="1:29" ht="36.75" hidden="1" customHeight="1" x14ac:dyDescent="0.4">
      <c r="A301" s="214">
        <f t="shared" si="155"/>
        <v>46054</v>
      </c>
      <c r="B301" s="257" t="s">
        <v>161</v>
      </c>
      <c r="C301" s="181">
        <v>4800</v>
      </c>
      <c r="D301" s="182">
        <v>30</v>
      </c>
      <c r="E301" s="182">
        <v>14</v>
      </c>
      <c r="F301" s="182">
        <v>0.8</v>
      </c>
      <c r="G301" s="182">
        <v>8</v>
      </c>
      <c r="H301" s="183">
        <f t="shared" si="1"/>
        <v>0.65116279069767447</v>
      </c>
      <c r="I301" s="192">
        <f t="shared" si="2"/>
        <v>6.5116279069767442</v>
      </c>
      <c r="J301" s="216" t="str">
        <f t="shared" si="114"/>
        <v>HBA II</v>
      </c>
      <c r="K301" s="172">
        <f t="shared" si="156"/>
        <v>48.21</v>
      </c>
      <c r="L301" s="183">
        <f t="shared" si="4"/>
        <v>61.472977947454893</v>
      </c>
      <c r="M301" s="188" t="str">
        <f t="shared" si="5"/>
        <v/>
      </c>
      <c r="N301" s="185">
        <f t="shared" si="115"/>
        <v>2.7293023255813957</v>
      </c>
      <c r="O301" s="175">
        <f t="shared" si="41"/>
        <v>58.7436756218735</v>
      </c>
      <c r="P301" s="193"/>
      <c r="Q301" s="191"/>
      <c r="R301" s="186">
        <f>'ICI, GNewc, Delta'!D739*C301/5000</f>
        <v>60.729599999999998</v>
      </c>
      <c r="S301" s="217" t="e">
        <f>(#REF!*C301/5000)+R301</f>
        <v>#REF!</v>
      </c>
      <c r="T301" s="218" t="s">
        <v>162</v>
      </c>
      <c r="U301" s="230">
        <f t="shared" si="37"/>
        <v>1.9859243781264979</v>
      </c>
      <c r="V301" s="220"/>
      <c r="W301" s="221"/>
      <c r="X301" s="221"/>
      <c r="Y301" s="221"/>
      <c r="Z301" s="180"/>
      <c r="AA301" s="180"/>
      <c r="AB301" s="180"/>
      <c r="AC301" s="180"/>
    </row>
    <row r="302" spans="1:29" ht="36.75" hidden="1" customHeight="1" x14ac:dyDescent="0.4">
      <c r="A302" s="214">
        <f>A$47</f>
        <v>46037</v>
      </c>
      <c r="B302" s="215" t="s">
        <v>155</v>
      </c>
      <c r="C302" s="227">
        <v>4000</v>
      </c>
      <c r="D302" s="210">
        <v>25</v>
      </c>
      <c r="E302" s="171">
        <v>11</v>
      </c>
      <c r="F302" s="171">
        <v>0.8</v>
      </c>
      <c r="G302" s="171">
        <v>6</v>
      </c>
      <c r="H302" s="183">
        <f t="shared" si="1"/>
        <v>0.6741573033707865</v>
      </c>
      <c r="I302" s="183">
        <f t="shared" si="2"/>
        <v>5.0561797752808983</v>
      </c>
      <c r="J302" s="216" t="str">
        <f t="shared" si="114"/>
        <v>HBA III</v>
      </c>
      <c r="K302" s="324">
        <v>188</v>
      </c>
      <c r="L302" s="183">
        <f t="shared" si="4"/>
        <v>255.20667441123669</v>
      </c>
      <c r="M302" s="184">
        <f t="shared" si="5"/>
        <v>0.85693333333333344</v>
      </c>
      <c r="N302" s="185">
        <f t="shared" si="115"/>
        <v>2.2071011235955056</v>
      </c>
      <c r="O302" s="175">
        <f t="shared" si="41"/>
        <v>252.9995732876412</v>
      </c>
      <c r="P302" s="186"/>
      <c r="Q302" s="187"/>
      <c r="R302" s="176" t="e">
        <f>#REF!*C302/#REF!</f>
        <v>#REF!</v>
      </c>
      <c r="S302" s="217" t="e">
        <f>(((#REF!*50%)+(#REF!*50%))*C302/5400)+R302</f>
        <v>#REF!</v>
      </c>
      <c r="T302" s="218" t="s">
        <v>151</v>
      </c>
      <c r="U302" s="230" t="e">
        <f t="shared" si="37"/>
        <v>#REF!</v>
      </c>
      <c r="V302" s="220">
        <f>O302-6.5</f>
        <v>246.4995732876412</v>
      </c>
      <c r="W302" s="221"/>
      <c r="X302" s="226"/>
      <c r="Y302" s="226"/>
      <c r="Z302" s="180"/>
      <c r="AA302" s="180"/>
      <c r="AB302" s="180"/>
      <c r="AC302" s="180"/>
    </row>
    <row r="303" spans="1:29" ht="36.75" customHeight="1" x14ac:dyDescent="0.4">
      <c r="A303" s="307">
        <f t="shared" ref="A303:A314" si="161">A$49</f>
        <v>46068</v>
      </c>
      <c r="B303" s="308" t="s">
        <v>14</v>
      </c>
      <c r="C303" s="309">
        <v>5000</v>
      </c>
      <c r="D303" s="310">
        <v>28</v>
      </c>
      <c r="E303" s="310">
        <v>13</v>
      </c>
      <c r="F303" s="310">
        <v>0.8</v>
      </c>
      <c r="G303" s="310">
        <v>8</v>
      </c>
      <c r="H303" s="311">
        <f t="shared" si="1"/>
        <v>0.66206896551724137</v>
      </c>
      <c r="I303" s="311">
        <f t="shared" si="2"/>
        <v>6.6206896551724137</v>
      </c>
      <c r="J303" s="312" t="str">
        <f t="shared" si="114"/>
        <v>HBA II</v>
      </c>
      <c r="K303" s="311">
        <f t="shared" ref="K303:K314" si="162">IF(J303="", "", INDEX($B$24:$E$49, MATCH(DATE(2026,2,15), $A$24:$A$49, 0), MATCH(J303, $B$23:$E$23, 0)))</f>
        <v>47.34</v>
      </c>
      <c r="L303" s="311">
        <f t="shared" si="4"/>
        <v>64.675321718208622</v>
      </c>
      <c r="M303" s="313" t="str">
        <f t="shared" si="5"/>
        <v/>
      </c>
      <c r="N303" s="314">
        <f t="shared" si="115"/>
        <v>2.8165517241379314</v>
      </c>
      <c r="O303" s="315">
        <f t="shared" si="41"/>
        <v>61.858769994070691</v>
      </c>
      <c r="P303" s="310">
        <v>3.01</v>
      </c>
      <c r="Q303" s="316">
        <f t="shared" ref="Q303:Q305" si="163">O303+P303</f>
        <v>64.868769994070689</v>
      </c>
      <c r="R303" s="317">
        <f>'ICI, GNewc, Delta'!D741</f>
        <v>67.02</v>
      </c>
      <c r="S303" s="318" t="e">
        <f>AVERAGE(#REF!)+0.75</f>
        <v>#REF!</v>
      </c>
      <c r="T303" s="319" t="s">
        <v>3</v>
      </c>
      <c r="U303" s="320">
        <f t="shared" si="37"/>
        <v>5.1612300059293048</v>
      </c>
      <c r="V303" s="220"/>
      <c r="W303" s="221"/>
      <c r="X303" s="221"/>
      <c r="Y303" s="221"/>
      <c r="Z303" s="180"/>
      <c r="AA303" s="180"/>
      <c r="AB303" s="180"/>
      <c r="AC303" s="180"/>
    </row>
    <row r="304" spans="1:29" ht="36.75" customHeight="1" x14ac:dyDescent="0.4">
      <c r="A304" s="214">
        <f t="shared" si="161"/>
        <v>46068</v>
      </c>
      <c r="B304" s="215" t="s">
        <v>150</v>
      </c>
      <c r="C304" s="181">
        <v>5400</v>
      </c>
      <c r="D304" s="182">
        <v>19</v>
      </c>
      <c r="E304" s="182">
        <v>14</v>
      </c>
      <c r="F304" s="182">
        <v>0.2</v>
      </c>
      <c r="G304" s="182">
        <v>6</v>
      </c>
      <c r="H304" s="183">
        <f t="shared" si="1"/>
        <v>0.18837209302325583</v>
      </c>
      <c r="I304" s="192">
        <f t="shared" si="2"/>
        <v>5.6511627906976747</v>
      </c>
      <c r="J304" s="222" t="str">
        <f t="shared" si="114"/>
        <v>HBA I</v>
      </c>
      <c r="K304" s="172">
        <f t="shared" si="162"/>
        <v>71.739999999999995</v>
      </c>
      <c r="L304" s="183">
        <f t="shared" si="4"/>
        <v>75.24886092219738</v>
      </c>
      <c r="M304" s="188" t="str">
        <f t="shared" si="5"/>
        <v/>
      </c>
      <c r="N304" s="185">
        <f t="shared" si="115"/>
        <v>-2.4020465116279066</v>
      </c>
      <c r="O304" s="175">
        <f t="shared" si="41"/>
        <v>77.650907433825282</v>
      </c>
      <c r="P304" s="193">
        <v>-7.12</v>
      </c>
      <c r="Q304" s="191">
        <f t="shared" si="163"/>
        <v>70.530907433825277</v>
      </c>
      <c r="R304" s="186">
        <f>('ICI, GNewc, Delta'!C741+'ICI, GNewc, Delta'!D741)/2</f>
        <v>75.53</v>
      </c>
      <c r="S304" s="223"/>
      <c r="T304" s="218" t="s">
        <v>23</v>
      </c>
      <c r="U304" s="230">
        <f t="shared" si="37"/>
        <v>-2.1209074338252805</v>
      </c>
      <c r="V304" s="224"/>
      <c r="W304" s="225"/>
      <c r="X304" s="225"/>
      <c r="Y304" s="226"/>
      <c r="Z304" s="180"/>
      <c r="AA304" s="180"/>
      <c r="AB304" s="180"/>
      <c r="AC304" s="180"/>
    </row>
    <row r="305" spans="1:29" ht="36.75" customHeight="1" x14ac:dyDescent="0.4">
      <c r="A305" s="214">
        <f t="shared" si="161"/>
        <v>46068</v>
      </c>
      <c r="B305" s="215" t="s">
        <v>150</v>
      </c>
      <c r="C305" s="181">
        <v>5250</v>
      </c>
      <c r="D305" s="182">
        <v>19</v>
      </c>
      <c r="E305" s="182">
        <v>14</v>
      </c>
      <c r="F305" s="182">
        <v>0.2</v>
      </c>
      <c r="G305" s="182">
        <v>6</v>
      </c>
      <c r="H305" s="183">
        <f t="shared" si="1"/>
        <v>0.18837209302325583</v>
      </c>
      <c r="I305" s="192">
        <f t="shared" si="2"/>
        <v>5.6511627906976747</v>
      </c>
      <c r="J305" s="216" t="str">
        <f t="shared" si="114"/>
        <v>HBA II</v>
      </c>
      <c r="K305" s="172">
        <f t="shared" si="162"/>
        <v>47.34</v>
      </c>
      <c r="L305" s="183">
        <f t="shared" si="4"/>
        <v>76.397723779633921</v>
      </c>
      <c r="M305" s="188" t="str">
        <f t="shared" si="5"/>
        <v/>
      </c>
      <c r="N305" s="185">
        <f t="shared" si="115"/>
        <v>0.53395348837209322</v>
      </c>
      <c r="O305" s="175">
        <f t="shared" si="41"/>
        <v>75.863770291261829</v>
      </c>
      <c r="P305" s="193">
        <v>-7.12</v>
      </c>
      <c r="Q305" s="191">
        <f t="shared" si="163"/>
        <v>68.743770291261825</v>
      </c>
      <c r="R305" s="186">
        <f>R304*C305/C304</f>
        <v>73.43194444444444</v>
      </c>
      <c r="S305" s="223"/>
      <c r="T305" s="218" t="s">
        <v>151</v>
      </c>
      <c r="U305" s="230">
        <f t="shared" si="37"/>
        <v>-2.4318258468173894</v>
      </c>
      <c r="V305" s="224"/>
      <c r="W305" s="225"/>
      <c r="X305" s="225"/>
      <c r="Y305" s="226"/>
      <c r="Z305" s="180"/>
      <c r="AA305" s="180"/>
      <c r="AB305" s="180"/>
      <c r="AC305" s="180"/>
    </row>
    <row r="306" spans="1:29" ht="36.75" customHeight="1" x14ac:dyDescent="0.4">
      <c r="A306" s="214">
        <f t="shared" si="161"/>
        <v>46068</v>
      </c>
      <c r="B306" s="215" t="s">
        <v>152</v>
      </c>
      <c r="C306" s="227">
        <v>5400</v>
      </c>
      <c r="D306" s="210">
        <v>25</v>
      </c>
      <c r="E306" s="171">
        <v>11</v>
      </c>
      <c r="F306" s="171">
        <v>0.8</v>
      </c>
      <c r="G306" s="171">
        <v>6</v>
      </c>
      <c r="H306" s="183">
        <f t="shared" si="1"/>
        <v>0.6741573033707865</v>
      </c>
      <c r="I306" s="183">
        <f t="shared" si="2"/>
        <v>5.0561797752808983</v>
      </c>
      <c r="J306" s="222" t="str">
        <f t="shared" si="114"/>
        <v>HBA I</v>
      </c>
      <c r="K306" s="172">
        <f t="shared" si="162"/>
        <v>71.739999999999995</v>
      </c>
      <c r="L306" s="183">
        <f t="shared" si="4"/>
        <v>69.674871224256833</v>
      </c>
      <c r="M306" s="184" t="str">
        <f t="shared" si="5"/>
        <v/>
      </c>
      <c r="N306" s="185">
        <f t="shared" si="115"/>
        <v>-0.69689887640449477</v>
      </c>
      <c r="O306" s="175">
        <f t="shared" si="41"/>
        <v>70.371770100661323</v>
      </c>
      <c r="P306" s="186"/>
      <c r="Q306" s="187"/>
      <c r="R306" s="176">
        <f>R304</f>
        <v>75.53</v>
      </c>
      <c r="S306" s="217" t="e">
        <f t="shared" ref="S306:S309" si="164">(((#REF!*50%)+(#REF!*50%))*C306/5400)+R306</f>
        <v>#REF!</v>
      </c>
      <c r="T306" s="218" t="s">
        <v>23</v>
      </c>
      <c r="U306" s="230">
        <f t="shared" si="37"/>
        <v>5.1582298993386786</v>
      </c>
      <c r="V306" s="220">
        <f t="shared" ref="V306:V307" si="165">O306-6.5</f>
        <v>63.871770100661323</v>
      </c>
      <c r="W306" s="221"/>
      <c r="X306" s="226"/>
      <c r="Y306" s="226"/>
      <c r="Z306" s="180"/>
      <c r="AA306" s="180"/>
      <c r="AB306" s="180"/>
      <c r="AC306" s="180"/>
    </row>
    <row r="307" spans="1:29" ht="36.75" customHeight="1" x14ac:dyDescent="0.4">
      <c r="A307" s="214">
        <f t="shared" si="161"/>
        <v>46068</v>
      </c>
      <c r="B307" s="215" t="s">
        <v>164</v>
      </c>
      <c r="C307" s="227">
        <v>5305</v>
      </c>
      <c r="D307" s="210">
        <v>25</v>
      </c>
      <c r="E307" s="171">
        <v>11</v>
      </c>
      <c r="F307" s="171">
        <v>0.8</v>
      </c>
      <c r="G307" s="171">
        <v>6</v>
      </c>
      <c r="H307" s="183">
        <f t="shared" si="1"/>
        <v>0.6741573033707865</v>
      </c>
      <c r="I307" s="183">
        <f t="shared" si="2"/>
        <v>5.0561797752808983</v>
      </c>
      <c r="J307" s="222" t="str">
        <f t="shared" si="114"/>
        <v>HBA I</v>
      </c>
      <c r="K307" s="172">
        <f t="shared" si="162"/>
        <v>71.739999999999995</v>
      </c>
      <c r="L307" s="183">
        <f t="shared" si="4"/>
        <v>68.449109600867118</v>
      </c>
      <c r="M307" s="184" t="str">
        <f t="shared" si="5"/>
        <v/>
      </c>
      <c r="N307" s="185">
        <f t="shared" si="115"/>
        <v>-0.69689887640449477</v>
      </c>
      <c r="O307" s="175">
        <f t="shared" si="41"/>
        <v>69.146008477271607</v>
      </c>
      <c r="P307" s="186"/>
      <c r="Q307" s="187"/>
      <c r="R307" s="176">
        <f t="shared" ref="R307:R308" si="166">R306*C307/C306</f>
        <v>74.201231481481486</v>
      </c>
      <c r="S307" s="217" t="e">
        <f t="shared" si="164"/>
        <v>#REF!</v>
      </c>
      <c r="T307" s="218" t="s">
        <v>151</v>
      </c>
      <c r="U307" s="230">
        <f t="shared" si="37"/>
        <v>5.0552230042098785</v>
      </c>
      <c r="V307" s="220">
        <f t="shared" si="165"/>
        <v>62.646008477271607</v>
      </c>
      <c r="W307" s="221"/>
      <c r="X307" s="226"/>
      <c r="Y307" s="226"/>
      <c r="Z307" s="180"/>
      <c r="AA307" s="180"/>
      <c r="AB307" s="180"/>
      <c r="AC307" s="180"/>
    </row>
    <row r="308" spans="1:29" ht="36.75" customHeight="1" x14ac:dyDescent="0.4">
      <c r="A308" s="214">
        <f t="shared" si="161"/>
        <v>46068</v>
      </c>
      <c r="B308" s="215" t="s">
        <v>165</v>
      </c>
      <c r="C308" s="227">
        <v>5300</v>
      </c>
      <c r="D308" s="210">
        <v>25</v>
      </c>
      <c r="E308" s="171">
        <v>11</v>
      </c>
      <c r="F308" s="171">
        <v>0.8</v>
      </c>
      <c r="G308" s="171">
        <v>6</v>
      </c>
      <c r="H308" s="183">
        <f t="shared" si="1"/>
        <v>0.6741573033707865</v>
      </c>
      <c r="I308" s="183">
        <f t="shared" si="2"/>
        <v>5.0561797752808983</v>
      </c>
      <c r="J308" s="216" t="str">
        <f t="shared" si="114"/>
        <v>HBA II</v>
      </c>
      <c r="K308" s="172">
        <f t="shared" si="162"/>
        <v>47.34</v>
      </c>
      <c r="L308" s="183">
        <f t="shared" si="4"/>
        <v>71.412334397188687</v>
      </c>
      <c r="M308" s="184" t="str">
        <f t="shared" si="5"/>
        <v/>
      </c>
      <c r="N308" s="185">
        <f t="shared" si="115"/>
        <v>2.2391011235955056</v>
      </c>
      <c r="O308" s="175">
        <f t="shared" si="41"/>
        <v>69.173233273593183</v>
      </c>
      <c r="P308" s="186"/>
      <c r="Q308" s="187"/>
      <c r="R308" s="176">
        <f t="shared" si="166"/>
        <v>74.131296296296298</v>
      </c>
      <c r="S308" s="217" t="e">
        <f t="shared" si="164"/>
        <v>#REF!</v>
      </c>
      <c r="T308" s="218" t="s">
        <v>151</v>
      </c>
      <c r="U308" s="230">
        <f t="shared" si="37"/>
        <v>4.9580630227031151</v>
      </c>
      <c r="V308" s="220"/>
      <c r="W308" s="221"/>
      <c r="X308" s="226"/>
      <c r="Y308" s="226"/>
      <c r="Z308" s="180"/>
      <c r="AA308" s="180"/>
      <c r="AB308" s="180"/>
      <c r="AC308" s="180"/>
    </row>
    <row r="309" spans="1:29" ht="36.75" customHeight="1" x14ac:dyDescent="0.4">
      <c r="A309" s="214">
        <f t="shared" si="161"/>
        <v>46068</v>
      </c>
      <c r="B309" s="215" t="s">
        <v>155</v>
      </c>
      <c r="C309" s="227">
        <v>5275</v>
      </c>
      <c r="D309" s="210">
        <v>25</v>
      </c>
      <c r="E309" s="171">
        <v>11</v>
      </c>
      <c r="F309" s="171">
        <v>0.8</v>
      </c>
      <c r="G309" s="171">
        <v>6</v>
      </c>
      <c r="H309" s="183">
        <f t="shared" ref="H309:H326" si="167">((100-D309)/(100-E309))*F309</f>
        <v>0.6741573033707865</v>
      </c>
      <c r="I309" s="183">
        <f t="shared" ref="I309:I326" si="168">((100-D309)/(100-E309))*G309</f>
        <v>5.0561797752808983</v>
      </c>
      <c r="J309" s="216" t="str">
        <f t="shared" si="114"/>
        <v>HBA II</v>
      </c>
      <c r="K309" s="172">
        <f t="shared" si="162"/>
        <v>47.34</v>
      </c>
      <c r="L309" s="183">
        <f t="shared" ref="L309:L326" si="169">IF(J309="HBA 0", K309*C309/6322*((100 - D309)/(100 - 12.26)), IF(J309="HBA I", K309*C309/5300*((100 - D309)/(100 - 21.32)), IF(J309="HBA II", K309*C309/4100*((100 - D309)/(100 - 35.73)), IF(J309="HBA III", K309*C309/3400*((100 - D309)/((100 - 44.3)/M309)), ""))))</f>
        <v>71.075483763239674</v>
      </c>
      <c r="M309" s="184" t="str">
        <f t="shared" ref="M309:M326" si="170">IF(C309&lt;=3400, (((100 - 44.3)/(100 - D309))*D309 + (100 - 44.3))/100, IF(C309&lt;4100, (((100 - 35.73)/(100 - D309))*D309 + (100 - 35.73))/100, ""))</f>
        <v/>
      </c>
      <c r="N309" s="185">
        <f t="shared" si="115"/>
        <v>2.2391011235955056</v>
      </c>
      <c r="O309" s="175">
        <f t="shared" si="41"/>
        <v>68.836382639644171</v>
      </c>
      <c r="P309" s="186"/>
      <c r="Q309" s="187"/>
      <c r="R309" s="176">
        <f>R306*C309/C306</f>
        <v>73.781620370370376</v>
      </c>
      <c r="S309" s="217" t="e">
        <f t="shared" si="164"/>
        <v>#REF!</v>
      </c>
      <c r="T309" s="218" t="s">
        <v>151</v>
      </c>
      <c r="U309" s="230">
        <f t="shared" si="37"/>
        <v>4.9452377307262054</v>
      </c>
      <c r="V309" s="220">
        <f>O309-6.5</f>
        <v>62.336382639644171</v>
      </c>
      <c r="W309" s="221"/>
      <c r="X309" s="226"/>
      <c r="Y309" s="226"/>
      <c r="Z309" s="180"/>
      <c r="AA309" s="180"/>
      <c r="AB309" s="180"/>
      <c r="AC309" s="180"/>
    </row>
    <row r="310" spans="1:29" ht="36.75" customHeight="1" x14ac:dyDescent="0.4">
      <c r="A310" s="214">
        <f t="shared" si="161"/>
        <v>46068</v>
      </c>
      <c r="B310" s="215" t="s">
        <v>157</v>
      </c>
      <c r="C310" s="227">
        <v>5400</v>
      </c>
      <c r="D310" s="182">
        <v>22</v>
      </c>
      <c r="E310" s="182">
        <v>14</v>
      </c>
      <c r="F310" s="208">
        <v>1</v>
      </c>
      <c r="G310" s="182">
        <v>6</v>
      </c>
      <c r="H310" s="183">
        <f t="shared" si="167"/>
        <v>0.90697674418604646</v>
      </c>
      <c r="I310" s="183">
        <f t="shared" si="168"/>
        <v>5.441860465116279</v>
      </c>
      <c r="J310" s="222" t="str">
        <f t="shared" si="114"/>
        <v>HBA I</v>
      </c>
      <c r="K310" s="172">
        <f t="shared" si="162"/>
        <v>71.739999999999995</v>
      </c>
      <c r="L310" s="183">
        <f t="shared" si="169"/>
        <v>72.461866073227114</v>
      </c>
      <c r="M310" s="184" t="str">
        <f t="shared" si="170"/>
        <v/>
      </c>
      <c r="N310" s="185">
        <f t="shared" si="115"/>
        <v>0.38865116279069739</v>
      </c>
      <c r="O310" s="175">
        <f t="shared" si="41"/>
        <v>72.07321491043642</v>
      </c>
      <c r="P310" s="186"/>
      <c r="Q310" s="187"/>
      <c r="R310" s="186">
        <f>R304</f>
        <v>75.53</v>
      </c>
      <c r="S310" s="217" t="e">
        <f>((#REF!*50%)+(#REF!*50%))+R310</f>
        <v>#REF!</v>
      </c>
      <c r="T310" s="218" t="s">
        <v>151</v>
      </c>
      <c r="U310" s="230">
        <f t="shared" si="37"/>
        <v>3.4567850895635814</v>
      </c>
      <c r="V310" s="220"/>
      <c r="W310" s="221"/>
      <c r="X310" s="226"/>
      <c r="Y310" s="226"/>
      <c r="Z310" s="180"/>
      <c r="AA310" s="180"/>
      <c r="AB310" s="180"/>
      <c r="AC310" s="180"/>
    </row>
    <row r="311" spans="1:29" ht="36.75" customHeight="1" x14ac:dyDescent="0.4">
      <c r="A311" s="214">
        <f t="shared" si="161"/>
        <v>46068</v>
      </c>
      <c r="B311" s="215" t="s">
        <v>158</v>
      </c>
      <c r="C311" s="181">
        <v>4200</v>
      </c>
      <c r="D311" s="182">
        <v>36</v>
      </c>
      <c r="E311" s="182">
        <v>16</v>
      </c>
      <c r="F311" s="182">
        <v>0.4</v>
      </c>
      <c r="G311" s="182">
        <v>8</v>
      </c>
      <c r="H311" s="183">
        <f t="shared" si="167"/>
        <v>0.30476190476190479</v>
      </c>
      <c r="I311" s="192">
        <f t="shared" si="168"/>
        <v>6.0952380952380949</v>
      </c>
      <c r="J311" s="216" t="str">
        <f t="shared" si="114"/>
        <v>HBA II</v>
      </c>
      <c r="K311" s="172">
        <f t="shared" si="162"/>
        <v>47.34</v>
      </c>
      <c r="L311" s="183">
        <f t="shared" si="169"/>
        <v>48.290906882929093</v>
      </c>
      <c r="M311" s="188" t="str">
        <f t="shared" si="170"/>
        <v/>
      </c>
      <c r="N311" s="185">
        <f t="shared" si="115"/>
        <v>1.177142857142857</v>
      </c>
      <c r="O311" s="175">
        <f t="shared" si="41"/>
        <v>47.113764025786239</v>
      </c>
      <c r="P311" s="193"/>
      <c r="Q311" s="191"/>
      <c r="R311" s="186">
        <f>'ICI, GNewc, Delta'!E741</f>
        <v>51.59</v>
      </c>
      <c r="S311" s="217" t="e">
        <f>#REF!+'HPB Calculation'!R311</f>
        <v>#REF!</v>
      </c>
      <c r="T311" s="218" t="s">
        <v>4</v>
      </c>
      <c r="U311" s="230">
        <f t="shared" si="37"/>
        <v>4.4762359742137647</v>
      </c>
      <c r="V311" s="220"/>
      <c r="W311" s="221"/>
      <c r="X311" s="226"/>
      <c r="Y311" s="226"/>
      <c r="Z311" s="180"/>
      <c r="AA311" s="180"/>
      <c r="AB311" s="180"/>
      <c r="AC311" s="180"/>
    </row>
    <row r="312" spans="1:29" ht="36.75" customHeight="1" x14ac:dyDescent="0.4">
      <c r="A312" s="214">
        <f t="shared" si="161"/>
        <v>46068</v>
      </c>
      <c r="B312" s="215" t="s">
        <v>159</v>
      </c>
      <c r="C312" s="181">
        <v>4050</v>
      </c>
      <c r="D312" s="182">
        <v>36</v>
      </c>
      <c r="E312" s="182">
        <v>16</v>
      </c>
      <c r="F312" s="182">
        <v>0.4</v>
      </c>
      <c r="G312" s="182">
        <v>8</v>
      </c>
      <c r="H312" s="183">
        <f t="shared" si="167"/>
        <v>0.30476190476190479</v>
      </c>
      <c r="I312" s="192">
        <f t="shared" si="168"/>
        <v>6.0952380952380949</v>
      </c>
      <c r="J312" s="229" t="str">
        <f t="shared" si="114"/>
        <v>HBA III</v>
      </c>
      <c r="K312" s="172">
        <f t="shared" si="162"/>
        <v>33.85</v>
      </c>
      <c r="L312" s="183">
        <f t="shared" si="169"/>
        <v>46.5251609198437</v>
      </c>
      <c r="M312" s="188">
        <f t="shared" si="170"/>
        <v>1.0042187500000002</v>
      </c>
      <c r="N312" s="185">
        <f t="shared" si="115"/>
        <v>1.1451428571428572</v>
      </c>
      <c r="O312" s="175">
        <f t="shared" si="41"/>
        <v>32.151581708048951</v>
      </c>
      <c r="P312" s="193"/>
      <c r="Q312" s="191"/>
      <c r="R312" s="186">
        <f>R311*C312/C311</f>
        <v>49.747500000000002</v>
      </c>
      <c r="S312" s="217" t="e">
        <f>#REF!+'HPB Calculation'!R312</f>
        <v>#REF!</v>
      </c>
      <c r="T312" s="218" t="s">
        <v>160</v>
      </c>
      <c r="U312" s="230">
        <f t="shared" si="37"/>
        <v>17.595918291951051</v>
      </c>
      <c r="V312" s="220"/>
      <c r="W312" s="221"/>
      <c r="X312" s="226"/>
      <c r="Y312" s="226"/>
      <c r="Z312" s="180"/>
      <c r="AA312" s="180"/>
      <c r="AB312" s="180"/>
      <c r="AC312" s="180"/>
    </row>
    <row r="313" spans="1:29" ht="36.75" customHeight="1" x14ac:dyDescent="0.4">
      <c r="A313" s="214">
        <f t="shared" si="161"/>
        <v>46068</v>
      </c>
      <c r="B313" s="215" t="s">
        <v>15</v>
      </c>
      <c r="C313" s="170">
        <v>3600</v>
      </c>
      <c r="D313" s="171">
        <v>40</v>
      </c>
      <c r="E313" s="171">
        <v>15</v>
      </c>
      <c r="F313" s="171">
        <v>0.6</v>
      </c>
      <c r="G313" s="171">
        <v>8</v>
      </c>
      <c r="H313" s="183">
        <f t="shared" si="167"/>
        <v>0.42352941176470588</v>
      </c>
      <c r="I313" s="192">
        <f t="shared" si="168"/>
        <v>5.6470588235294121</v>
      </c>
      <c r="J313" s="229" t="str">
        <f t="shared" si="114"/>
        <v>HBA III</v>
      </c>
      <c r="K313" s="172">
        <f t="shared" si="162"/>
        <v>33.85</v>
      </c>
      <c r="L313" s="183">
        <f t="shared" si="169"/>
        <v>41.355698595416627</v>
      </c>
      <c r="M313" s="200">
        <f t="shared" si="170"/>
        <v>1.0711666666666668</v>
      </c>
      <c r="N313" s="185">
        <f t="shared" si="115"/>
        <v>1.4409411764705884</v>
      </c>
      <c r="O313" s="175">
        <f t="shared" si="41"/>
        <v>39.914757418946039</v>
      </c>
      <c r="P313" s="193"/>
      <c r="Q313" s="191"/>
      <c r="R313" s="186">
        <f>'ICI, GNewc, Delta'!AF741</f>
        <v>42.674999999999997</v>
      </c>
      <c r="S313" s="217" t="e">
        <f>((#REF!*50%)+(#REF!*50%))</f>
        <v>#REF!</v>
      </c>
      <c r="T313" s="218" t="s">
        <v>25</v>
      </c>
      <c r="U313" s="230">
        <f t="shared" si="37"/>
        <v>2.7602425810539586</v>
      </c>
      <c r="V313" s="220"/>
      <c r="W313" s="221"/>
      <c r="X313" s="226"/>
      <c r="Y313" s="226"/>
      <c r="Z313" s="180"/>
      <c r="AA313" s="180"/>
      <c r="AB313" s="180"/>
      <c r="AC313" s="180"/>
    </row>
    <row r="314" spans="1:29" ht="36.75" customHeight="1" x14ac:dyDescent="0.4">
      <c r="A314" s="214">
        <f t="shared" si="161"/>
        <v>46068</v>
      </c>
      <c r="B314" s="257" t="s">
        <v>161</v>
      </c>
      <c r="C314" s="181">
        <v>4800</v>
      </c>
      <c r="D314" s="182">
        <v>30</v>
      </c>
      <c r="E314" s="182">
        <v>14</v>
      </c>
      <c r="F314" s="182">
        <v>0.8</v>
      </c>
      <c r="G314" s="182">
        <v>8</v>
      </c>
      <c r="H314" s="183">
        <f t="shared" si="167"/>
        <v>0.65116279069767447</v>
      </c>
      <c r="I314" s="192">
        <f t="shared" si="168"/>
        <v>6.5116279069767442</v>
      </c>
      <c r="J314" s="216" t="str">
        <f t="shared" si="114"/>
        <v>HBA II</v>
      </c>
      <c r="K314" s="172">
        <f t="shared" si="162"/>
        <v>47.34</v>
      </c>
      <c r="L314" s="183">
        <f t="shared" si="169"/>
        <v>60.363633603661384</v>
      </c>
      <c r="M314" s="188" t="str">
        <f t="shared" si="170"/>
        <v/>
      </c>
      <c r="N314" s="185">
        <f t="shared" si="115"/>
        <v>2.7293023255813957</v>
      </c>
      <c r="O314" s="175">
        <f t="shared" si="41"/>
        <v>57.634331278079991</v>
      </c>
      <c r="P314" s="193"/>
      <c r="Q314" s="191"/>
      <c r="R314" s="186">
        <f>'ICI, GNewc, Delta'!D741*C314/5000</f>
        <v>64.339200000000005</v>
      </c>
      <c r="S314" s="217" t="e">
        <f>(#REF!*C314/5000)+R314</f>
        <v>#REF!</v>
      </c>
      <c r="T314" s="218" t="s">
        <v>162</v>
      </c>
      <c r="U314" s="230">
        <f t="shared" si="37"/>
        <v>6.7048687219200147</v>
      </c>
      <c r="V314" s="220"/>
      <c r="W314" s="221"/>
      <c r="X314" s="221"/>
      <c r="Y314" s="221"/>
      <c r="Z314" s="180"/>
      <c r="AA314" s="180"/>
      <c r="AB314" s="180"/>
      <c r="AC314" s="180"/>
    </row>
    <row r="315" spans="1:29" ht="36.75" customHeight="1" x14ac:dyDescent="0.4">
      <c r="A315" s="307">
        <f t="shared" ref="A315:A326" si="171">A$50</f>
        <v>46082</v>
      </c>
      <c r="B315" s="308" t="s">
        <v>14</v>
      </c>
      <c r="C315" s="309">
        <v>5000</v>
      </c>
      <c r="D315" s="310">
        <v>28</v>
      </c>
      <c r="E315" s="310">
        <v>13</v>
      </c>
      <c r="F315" s="310">
        <v>0.8</v>
      </c>
      <c r="G315" s="310">
        <v>8</v>
      </c>
      <c r="H315" s="311">
        <f t="shared" si="167"/>
        <v>0.66206896551724137</v>
      </c>
      <c r="I315" s="311">
        <f t="shared" si="168"/>
        <v>6.6206896551724137</v>
      </c>
      <c r="J315" s="312" t="str">
        <f t="shared" si="114"/>
        <v>HBA II</v>
      </c>
      <c r="K315" s="311">
        <f t="shared" ref="K315:K326" si="172">IF(J315="", "", INDEX($B$24:$E$50, MATCH(DATE(2026,3,1), $A$24:$A$50, 0), MATCH(J315, $B$23:$E$23, 0)))</f>
        <v>47.64</v>
      </c>
      <c r="L315" s="311">
        <f t="shared" si="169"/>
        <v>65.085178002861397</v>
      </c>
      <c r="M315" s="313" t="str">
        <f t="shared" si="170"/>
        <v/>
      </c>
      <c r="N315" s="314">
        <f t="shared" si="115"/>
        <v>2.8165517241379314</v>
      </c>
      <c r="O315" s="315">
        <f t="shared" si="41"/>
        <v>62.268626278723467</v>
      </c>
      <c r="P315" s="310">
        <v>3.01</v>
      </c>
      <c r="Q315" s="316">
        <f t="shared" ref="Q315:Q317" si="173">O315+P315</f>
        <v>65.278626278723465</v>
      </c>
      <c r="R315" s="317">
        <f>'ICI, GNewc, Delta'!D743</f>
        <v>70.349999999999994</v>
      </c>
      <c r="S315" s="318" t="e">
        <f>AVERAGE(#REF!)+0.75</f>
        <v>#REF!</v>
      </c>
      <c r="T315" s="319" t="s">
        <v>3</v>
      </c>
      <c r="U315" s="320">
        <f t="shared" si="37"/>
        <v>8.0813737212765275</v>
      </c>
      <c r="V315" s="220"/>
      <c r="W315" s="221"/>
      <c r="X315" s="221"/>
      <c r="Y315" s="221"/>
      <c r="Z315" s="180"/>
      <c r="AA315" s="180"/>
      <c r="AB315" s="180"/>
      <c r="AC315" s="180"/>
    </row>
    <row r="316" spans="1:29" ht="36.75" customHeight="1" x14ac:dyDescent="0.4">
      <c r="A316" s="214">
        <f t="shared" si="171"/>
        <v>46082</v>
      </c>
      <c r="B316" s="215" t="s">
        <v>150</v>
      </c>
      <c r="C316" s="181">
        <v>5400</v>
      </c>
      <c r="D316" s="182">
        <v>19</v>
      </c>
      <c r="E316" s="182">
        <v>14</v>
      </c>
      <c r="F316" s="182">
        <v>0.2</v>
      </c>
      <c r="G316" s="182">
        <v>6</v>
      </c>
      <c r="H316" s="183">
        <f t="shared" si="167"/>
        <v>0.18837209302325583</v>
      </c>
      <c r="I316" s="192">
        <f t="shared" si="168"/>
        <v>5.6511627906976747</v>
      </c>
      <c r="J316" s="222" t="str">
        <f t="shared" si="114"/>
        <v>HBA I</v>
      </c>
      <c r="K316" s="172">
        <f t="shared" si="172"/>
        <v>71.290000000000006</v>
      </c>
      <c r="L316" s="183">
        <f t="shared" si="169"/>
        <v>74.776851061380711</v>
      </c>
      <c r="M316" s="188" t="str">
        <f t="shared" si="170"/>
        <v/>
      </c>
      <c r="N316" s="185">
        <f t="shared" si="115"/>
        <v>-2.4020465116279066</v>
      </c>
      <c r="O316" s="175">
        <f t="shared" si="41"/>
        <v>77.178897573008612</v>
      </c>
      <c r="P316" s="193">
        <v>-7.12</v>
      </c>
      <c r="Q316" s="191">
        <f t="shared" si="173"/>
        <v>70.058897573008608</v>
      </c>
      <c r="R316" s="186">
        <f>('ICI, GNewc, Delta'!C743+'ICI, GNewc, Delta'!D743)/2</f>
        <v>78.504999999999995</v>
      </c>
      <c r="S316" s="223"/>
      <c r="T316" s="218" t="s">
        <v>23</v>
      </c>
      <c r="U316" s="230">
        <f t="shared" si="37"/>
        <v>1.3261024269913833</v>
      </c>
      <c r="V316" s="224"/>
      <c r="W316" s="225"/>
      <c r="X316" s="225"/>
      <c r="Y316" s="226"/>
      <c r="Z316" s="180"/>
      <c r="AA316" s="180"/>
      <c r="AB316" s="180"/>
      <c r="AC316" s="180"/>
    </row>
    <row r="317" spans="1:29" ht="36.75" customHeight="1" x14ac:dyDescent="0.4">
      <c r="A317" s="214">
        <f t="shared" si="171"/>
        <v>46082</v>
      </c>
      <c r="B317" s="215" t="s">
        <v>150</v>
      </c>
      <c r="C317" s="181">
        <v>5250</v>
      </c>
      <c r="D317" s="182">
        <v>19</v>
      </c>
      <c r="E317" s="182">
        <v>14</v>
      </c>
      <c r="F317" s="182">
        <v>0.2</v>
      </c>
      <c r="G317" s="182">
        <v>6</v>
      </c>
      <c r="H317" s="183">
        <f t="shared" si="167"/>
        <v>0.18837209302325583</v>
      </c>
      <c r="I317" s="192">
        <f t="shared" si="168"/>
        <v>5.6511627906976747</v>
      </c>
      <c r="J317" s="216" t="str">
        <f t="shared" si="114"/>
        <v>HBA II</v>
      </c>
      <c r="K317" s="172">
        <f t="shared" si="172"/>
        <v>47.64</v>
      </c>
      <c r="L317" s="183">
        <f t="shared" si="169"/>
        <v>76.88186651588002</v>
      </c>
      <c r="M317" s="188" t="str">
        <f t="shared" si="170"/>
        <v/>
      </c>
      <c r="N317" s="185">
        <f t="shared" si="115"/>
        <v>0.53395348837209322</v>
      </c>
      <c r="O317" s="175">
        <f t="shared" si="41"/>
        <v>76.347913027507929</v>
      </c>
      <c r="P317" s="193">
        <v>-7.12</v>
      </c>
      <c r="Q317" s="191">
        <f t="shared" si="173"/>
        <v>69.227913027507924</v>
      </c>
      <c r="R317" s="186">
        <f>R316*C317/C316</f>
        <v>76.324305555555554</v>
      </c>
      <c r="S317" s="223"/>
      <c r="T317" s="218" t="s">
        <v>151</v>
      </c>
      <c r="U317" s="230">
        <f t="shared" si="37"/>
        <v>-2.3607471952374226E-2</v>
      </c>
      <c r="V317" s="224"/>
      <c r="W317" s="225"/>
      <c r="X317" s="225"/>
      <c r="Y317" s="226"/>
      <c r="Z317" s="180"/>
      <c r="AA317" s="180"/>
      <c r="AB317" s="180"/>
      <c r="AC317" s="180"/>
    </row>
    <row r="318" spans="1:29" ht="36.75" customHeight="1" x14ac:dyDescent="0.4">
      <c r="A318" s="214">
        <f t="shared" si="171"/>
        <v>46082</v>
      </c>
      <c r="B318" s="215" t="s">
        <v>152</v>
      </c>
      <c r="C318" s="227">
        <v>5400</v>
      </c>
      <c r="D318" s="210">
        <v>25</v>
      </c>
      <c r="E318" s="171">
        <v>11</v>
      </c>
      <c r="F318" s="171">
        <v>0.8</v>
      </c>
      <c r="G318" s="171">
        <v>6</v>
      </c>
      <c r="H318" s="183">
        <f t="shared" si="167"/>
        <v>0.6741573033707865</v>
      </c>
      <c r="I318" s="183">
        <f t="shared" si="168"/>
        <v>5.0561797752808983</v>
      </c>
      <c r="J318" s="222" t="str">
        <f t="shared" si="114"/>
        <v>HBA I</v>
      </c>
      <c r="K318" s="172">
        <f t="shared" si="172"/>
        <v>71.290000000000006</v>
      </c>
      <c r="L318" s="183">
        <f t="shared" si="169"/>
        <v>69.237825056833984</v>
      </c>
      <c r="M318" s="184" t="str">
        <f t="shared" si="170"/>
        <v/>
      </c>
      <c r="N318" s="185">
        <f t="shared" si="115"/>
        <v>-0.69689887640449477</v>
      </c>
      <c r="O318" s="175">
        <f t="shared" si="41"/>
        <v>69.934723933238473</v>
      </c>
      <c r="P318" s="186"/>
      <c r="Q318" s="187"/>
      <c r="R318" s="176">
        <f>R316</f>
        <v>78.504999999999995</v>
      </c>
      <c r="S318" s="217" t="e">
        <f t="shared" ref="S318:S321" si="174">(((#REF!*50%)+(#REF!*50%))*C318/5400)+R318</f>
        <v>#REF!</v>
      </c>
      <c r="T318" s="218" t="s">
        <v>23</v>
      </c>
      <c r="U318" s="230">
        <f t="shared" si="37"/>
        <v>8.5702760667615223</v>
      </c>
      <c r="V318" s="220">
        <f t="shared" ref="V318:V319" si="175">O318-6.5</f>
        <v>63.434723933238473</v>
      </c>
      <c r="W318" s="221"/>
      <c r="X318" s="226"/>
      <c r="Y318" s="226"/>
      <c r="Z318" s="180"/>
      <c r="AA318" s="180"/>
      <c r="AB318" s="180"/>
      <c r="AC318" s="180"/>
    </row>
    <row r="319" spans="1:29" ht="36.75" customHeight="1" x14ac:dyDescent="0.4">
      <c r="A319" s="214">
        <f t="shared" si="171"/>
        <v>46082</v>
      </c>
      <c r="B319" s="215" t="s">
        <v>164</v>
      </c>
      <c r="C319" s="227">
        <v>5305</v>
      </c>
      <c r="D319" s="210">
        <v>25</v>
      </c>
      <c r="E319" s="171">
        <v>11</v>
      </c>
      <c r="F319" s="171">
        <v>0.8</v>
      </c>
      <c r="G319" s="171">
        <v>6</v>
      </c>
      <c r="H319" s="183">
        <f t="shared" si="167"/>
        <v>0.6741573033707865</v>
      </c>
      <c r="I319" s="183">
        <f t="shared" si="168"/>
        <v>5.0561797752808983</v>
      </c>
      <c r="J319" s="222" t="str">
        <f t="shared" si="114"/>
        <v>HBA I</v>
      </c>
      <c r="K319" s="172">
        <f t="shared" si="172"/>
        <v>71.290000000000006</v>
      </c>
      <c r="L319" s="183">
        <f t="shared" si="169"/>
        <v>68.019752208611891</v>
      </c>
      <c r="M319" s="184" t="str">
        <f t="shared" si="170"/>
        <v/>
      </c>
      <c r="N319" s="185">
        <f t="shared" si="115"/>
        <v>-0.69689887640449477</v>
      </c>
      <c r="O319" s="175">
        <f t="shared" si="41"/>
        <v>68.71665108501638</v>
      </c>
      <c r="P319" s="186"/>
      <c r="Q319" s="187"/>
      <c r="R319" s="176">
        <f t="shared" ref="R319:R320" si="176">R318*C319/C318</f>
        <v>77.123893518518514</v>
      </c>
      <c r="S319" s="217" t="e">
        <f t="shared" si="174"/>
        <v>#REF!</v>
      </c>
      <c r="T319" s="218" t="s">
        <v>151</v>
      </c>
      <c r="U319" s="230">
        <f t="shared" si="37"/>
        <v>8.4072424335021338</v>
      </c>
      <c r="V319" s="220">
        <f t="shared" si="175"/>
        <v>62.21665108501638</v>
      </c>
      <c r="W319" s="221"/>
      <c r="X319" s="226"/>
      <c r="Y319" s="226"/>
      <c r="Z319" s="180"/>
      <c r="AA319" s="180"/>
      <c r="AB319" s="180"/>
      <c r="AC319" s="180"/>
    </row>
    <row r="320" spans="1:29" ht="36.75" customHeight="1" x14ac:dyDescent="0.4">
      <c r="A320" s="214">
        <f t="shared" si="171"/>
        <v>46082</v>
      </c>
      <c r="B320" s="215" t="s">
        <v>165</v>
      </c>
      <c r="C320" s="227">
        <v>5300</v>
      </c>
      <c r="D320" s="210">
        <v>25</v>
      </c>
      <c r="E320" s="171">
        <v>11</v>
      </c>
      <c r="F320" s="171">
        <v>0.8</v>
      </c>
      <c r="G320" s="171">
        <v>6</v>
      </c>
      <c r="H320" s="183">
        <f t="shared" si="167"/>
        <v>0.6741573033707865</v>
      </c>
      <c r="I320" s="183">
        <f t="shared" si="168"/>
        <v>5.0561797752808983</v>
      </c>
      <c r="J320" s="216" t="str">
        <f t="shared" si="114"/>
        <v>HBA II</v>
      </c>
      <c r="K320" s="172">
        <f t="shared" si="172"/>
        <v>47.64</v>
      </c>
      <c r="L320" s="183">
        <f t="shared" si="169"/>
        <v>71.864884044826127</v>
      </c>
      <c r="M320" s="184" t="str">
        <f t="shared" si="170"/>
        <v/>
      </c>
      <c r="N320" s="185">
        <f t="shared" si="115"/>
        <v>2.2391011235955056</v>
      </c>
      <c r="O320" s="175">
        <f t="shared" si="41"/>
        <v>69.625782921230623</v>
      </c>
      <c r="P320" s="186"/>
      <c r="Q320" s="187"/>
      <c r="R320" s="176">
        <f t="shared" si="176"/>
        <v>77.051203703703706</v>
      </c>
      <c r="S320" s="217" t="e">
        <f t="shared" si="174"/>
        <v>#REF!</v>
      </c>
      <c r="T320" s="218" t="s">
        <v>151</v>
      </c>
      <c r="U320" s="230">
        <f t="shared" si="37"/>
        <v>7.4254207824730827</v>
      </c>
      <c r="V320" s="220"/>
      <c r="W320" s="221"/>
      <c r="X320" s="226"/>
      <c r="Y320" s="226"/>
      <c r="Z320" s="180"/>
      <c r="AA320" s="180"/>
      <c r="AB320" s="180"/>
      <c r="AC320" s="180"/>
    </row>
    <row r="321" spans="1:29" ht="36.75" customHeight="1" x14ac:dyDescent="0.4">
      <c r="A321" s="214">
        <f t="shared" si="171"/>
        <v>46082</v>
      </c>
      <c r="B321" s="215" t="s">
        <v>155</v>
      </c>
      <c r="C321" s="227">
        <v>5275</v>
      </c>
      <c r="D321" s="210">
        <v>25</v>
      </c>
      <c r="E321" s="171">
        <v>11</v>
      </c>
      <c r="F321" s="171">
        <v>0.8</v>
      </c>
      <c r="G321" s="171">
        <v>6</v>
      </c>
      <c r="H321" s="183">
        <f t="shared" si="167"/>
        <v>0.6741573033707865</v>
      </c>
      <c r="I321" s="183">
        <f t="shared" si="168"/>
        <v>5.0561797752808983</v>
      </c>
      <c r="J321" s="216" t="str">
        <f t="shared" si="114"/>
        <v>HBA II</v>
      </c>
      <c r="K321" s="172">
        <f t="shared" si="172"/>
        <v>47.64</v>
      </c>
      <c r="L321" s="183">
        <f t="shared" si="169"/>
        <v>71.525898742727875</v>
      </c>
      <c r="M321" s="184" t="str">
        <f t="shared" si="170"/>
        <v/>
      </c>
      <c r="N321" s="185">
        <f t="shared" si="115"/>
        <v>2.2391011235955056</v>
      </c>
      <c r="O321" s="175">
        <f t="shared" si="41"/>
        <v>69.286797619132372</v>
      </c>
      <c r="P321" s="186"/>
      <c r="Q321" s="187"/>
      <c r="R321" s="176">
        <f>R318*C321/C318</f>
        <v>76.687754629629623</v>
      </c>
      <c r="S321" s="217" t="e">
        <f t="shared" si="174"/>
        <v>#REF!</v>
      </c>
      <c r="T321" s="218" t="s">
        <v>151</v>
      </c>
      <c r="U321" s="230">
        <f t="shared" si="37"/>
        <v>7.4009570104972511</v>
      </c>
      <c r="V321" s="220">
        <f>O321-6.5</f>
        <v>62.786797619132372</v>
      </c>
      <c r="W321" s="221"/>
      <c r="X321" s="226"/>
      <c r="Y321" s="226"/>
      <c r="Z321" s="180"/>
      <c r="AA321" s="180"/>
      <c r="AB321" s="180"/>
      <c r="AC321" s="180"/>
    </row>
    <row r="322" spans="1:29" ht="36.75" customHeight="1" x14ac:dyDescent="0.4">
      <c r="A322" s="214">
        <f t="shared" si="171"/>
        <v>46082</v>
      </c>
      <c r="B322" s="215" t="s">
        <v>157</v>
      </c>
      <c r="C322" s="227">
        <v>5400</v>
      </c>
      <c r="D322" s="182">
        <v>22</v>
      </c>
      <c r="E322" s="182">
        <v>14</v>
      </c>
      <c r="F322" s="208">
        <v>1</v>
      </c>
      <c r="G322" s="182">
        <v>6</v>
      </c>
      <c r="H322" s="183">
        <f t="shared" si="167"/>
        <v>0.90697674418604646</v>
      </c>
      <c r="I322" s="183">
        <f t="shared" si="168"/>
        <v>5.441860465116279</v>
      </c>
      <c r="J322" s="222" t="str">
        <f t="shared" si="114"/>
        <v>HBA I</v>
      </c>
      <c r="K322" s="172">
        <f t="shared" si="172"/>
        <v>71.290000000000006</v>
      </c>
      <c r="L322" s="183">
        <f t="shared" si="169"/>
        <v>72.007338059107354</v>
      </c>
      <c r="M322" s="184" t="str">
        <f t="shared" si="170"/>
        <v/>
      </c>
      <c r="N322" s="185">
        <f t="shared" si="115"/>
        <v>0.38865116279069739</v>
      </c>
      <c r="O322" s="175">
        <f t="shared" si="41"/>
        <v>71.61868689631666</v>
      </c>
      <c r="P322" s="186"/>
      <c r="Q322" s="187"/>
      <c r="R322" s="186">
        <f>R316</f>
        <v>78.504999999999995</v>
      </c>
      <c r="S322" s="217" t="e">
        <f>((#REF!*50%)+(#REF!*50%))+R322</f>
        <v>#REF!</v>
      </c>
      <c r="T322" s="218" t="s">
        <v>151</v>
      </c>
      <c r="U322" s="230">
        <f t="shared" si="37"/>
        <v>6.8863131036833352</v>
      </c>
      <c r="V322" s="220"/>
      <c r="W322" s="221"/>
      <c r="X322" s="226"/>
      <c r="Y322" s="226"/>
      <c r="Z322" s="180"/>
      <c r="AA322" s="180"/>
      <c r="AB322" s="180"/>
      <c r="AC322" s="180"/>
    </row>
    <row r="323" spans="1:29" ht="36.75" customHeight="1" x14ac:dyDescent="0.4">
      <c r="A323" s="214">
        <f t="shared" si="171"/>
        <v>46082</v>
      </c>
      <c r="B323" s="215" t="s">
        <v>158</v>
      </c>
      <c r="C323" s="181">
        <v>4200</v>
      </c>
      <c r="D323" s="182">
        <v>36</v>
      </c>
      <c r="E323" s="182">
        <v>16</v>
      </c>
      <c r="F323" s="182">
        <v>0.4</v>
      </c>
      <c r="G323" s="182">
        <v>8</v>
      </c>
      <c r="H323" s="183">
        <f t="shared" si="167"/>
        <v>0.30476190476190479</v>
      </c>
      <c r="I323" s="192">
        <f t="shared" si="168"/>
        <v>6.0952380952380949</v>
      </c>
      <c r="J323" s="216" t="str">
        <f t="shared" si="114"/>
        <v>HBA II</v>
      </c>
      <c r="K323" s="172">
        <f t="shared" si="172"/>
        <v>47.64</v>
      </c>
      <c r="L323" s="183">
        <f t="shared" si="169"/>
        <v>48.596932908803176</v>
      </c>
      <c r="M323" s="188" t="str">
        <f t="shared" si="170"/>
        <v/>
      </c>
      <c r="N323" s="185">
        <f t="shared" si="115"/>
        <v>1.177142857142857</v>
      </c>
      <c r="O323" s="175">
        <f t="shared" si="41"/>
        <v>47.419790051660321</v>
      </c>
      <c r="P323" s="193"/>
      <c r="Q323" s="191"/>
      <c r="R323" s="186">
        <f>'ICI, GNewc, Delta'!E743</f>
        <v>55.39</v>
      </c>
      <c r="S323" s="217" t="e">
        <f>#REF!+'HPB Calculation'!R323</f>
        <v>#REF!</v>
      </c>
      <c r="T323" s="218" t="s">
        <v>4</v>
      </c>
      <c r="U323" s="230">
        <f t="shared" si="37"/>
        <v>7.9702099483396793</v>
      </c>
      <c r="V323" s="220"/>
      <c r="W323" s="221"/>
      <c r="X323" s="226"/>
      <c r="Y323" s="226"/>
      <c r="Z323" s="180"/>
      <c r="AA323" s="180"/>
      <c r="AB323" s="180"/>
      <c r="AC323" s="180"/>
    </row>
    <row r="324" spans="1:29" ht="36.75" customHeight="1" x14ac:dyDescent="0.4">
      <c r="A324" s="214">
        <f t="shared" si="171"/>
        <v>46082</v>
      </c>
      <c r="B324" s="215" t="s">
        <v>159</v>
      </c>
      <c r="C324" s="181">
        <v>4050</v>
      </c>
      <c r="D324" s="182">
        <v>36</v>
      </c>
      <c r="E324" s="182">
        <v>16</v>
      </c>
      <c r="F324" s="182">
        <v>0.4</v>
      </c>
      <c r="G324" s="182">
        <v>8</v>
      </c>
      <c r="H324" s="183">
        <f t="shared" si="167"/>
        <v>0.30476190476190479</v>
      </c>
      <c r="I324" s="192">
        <f t="shared" si="168"/>
        <v>6.0952380952380949</v>
      </c>
      <c r="J324" s="229" t="str">
        <f t="shared" si="114"/>
        <v>HBA III</v>
      </c>
      <c r="K324" s="172">
        <f t="shared" si="172"/>
        <v>34.25</v>
      </c>
      <c r="L324" s="183">
        <f t="shared" si="169"/>
        <v>47.074941255676421</v>
      </c>
      <c r="M324" s="188">
        <f t="shared" si="170"/>
        <v>1.0042187500000002</v>
      </c>
      <c r="N324" s="185">
        <f t="shared" si="115"/>
        <v>1.1451428571428572</v>
      </c>
      <c r="O324" s="175">
        <f t="shared" si="41"/>
        <v>32.545043741315624</v>
      </c>
      <c r="P324" s="193"/>
      <c r="Q324" s="191"/>
      <c r="R324" s="186">
        <f>R323*C324/C323</f>
        <v>53.411785714285713</v>
      </c>
      <c r="S324" s="217" t="e">
        <f>#REF!+'HPB Calculation'!R324</f>
        <v>#REF!</v>
      </c>
      <c r="T324" s="218" t="s">
        <v>160</v>
      </c>
      <c r="U324" s="230">
        <f t="shared" si="37"/>
        <v>20.86674197297009</v>
      </c>
      <c r="V324" s="220"/>
      <c r="W324" s="221"/>
      <c r="X324" s="226"/>
      <c r="Y324" s="226"/>
      <c r="Z324" s="180"/>
      <c r="AA324" s="180"/>
      <c r="AB324" s="180"/>
      <c r="AC324" s="180"/>
    </row>
    <row r="325" spans="1:29" ht="36.75" customHeight="1" x14ac:dyDescent="0.4">
      <c r="A325" s="214">
        <f t="shared" si="171"/>
        <v>46082</v>
      </c>
      <c r="B325" s="215" t="s">
        <v>15</v>
      </c>
      <c r="C325" s="170">
        <v>3600</v>
      </c>
      <c r="D325" s="171">
        <v>40</v>
      </c>
      <c r="E325" s="171">
        <v>15</v>
      </c>
      <c r="F325" s="171">
        <v>0.6</v>
      </c>
      <c r="G325" s="171">
        <v>8</v>
      </c>
      <c r="H325" s="183">
        <f t="shared" si="167"/>
        <v>0.42352941176470588</v>
      </c>
      <c r="I325" s="192">
        <f t="shared" si="168"/>
        <v>5.6470588235294121</v>
      </c>
      <c r="J325" s="229" t="str">
        <f t="shared" si="114"/>
        <v>HBA III</v>
      </c>
      <c r="K325" s="172">
        <f t="shared" si="172"/>
        <v>34.25</v>
      </c>
      <c r="L325" s="183">
        <f t="shared" si="169"/>
        <v>41.844392227267932</v>
      </c>
      <c r="M325" s="200">
        <f t="shared" si="170"/>
        <v>1.0711666666666668</v>
      </c>
      <c r="N325" s="185">
        <f t="shared" si="115"/>
        <v>1.4409411764705884</v>
      </c>
      <c r="O325" s="175">
        <f t="shared" si="41"/>
        <v>40.403451050797344</v>
      </c>
      <c r="P325" s="193"/>
      <c r="Q325" s="191"/>
      <c r="R325" s="186">
        <f>'ICI, GNewc, Delta'!AF743</f>
        <v>45.269999999999996</v>
      </c>
      <c r="S325" s="217" t="e">
        <f>((#REF!*50%)+(#REF!*50%))</f>
        <v>#REF!</v>
      </c>
      <c r="T325" s="218" t="s">
        <v>25</v>
      </c>
      <c r="U325" s="230">
        <f t="shared" si="37"/>
        <v>4.8665489492026524</v>
      </c>
      <c r="V325" s="220"/>
      <c r="W325" s="221"/>
      <c r="X325" s="226"/>
      <c r="Y325" s="226"/>
      <c r="Z325" s="180"/>
      <c r="AA325" s="180"/>
      <c r="AB325" s="180"/>
      <c r="AC325" s="180"/>
    </row>
    <row r="326" spans="1:29" ht="36.75" customHeight="1" x14ac:dyDescent="0.4">
      <c r="A326" s="214">
        <f t="shared" si="171"/>
        <v>46082</v>
      </c>
      <c r="B326" s="257" t="s">
        <v>161</v>
      </c>
      <c r="C326" s="181">
        <v>4800</v>
      </c>
      <c r="D326" s="182">
        <v>30</v>
      </c>
      <c r="E326" s="182">
        <v>14</v>
      </c>
      <c r="F326" s="182">
        <v>0.8</v>
      </c>
      <c r="G326" s="182">
        <v>8</v>
      </c>
      <c r="H326" s="183">
        <f t="shared" si="167"/>
        <v>0.65116279069767447</v>
      </c>
      <c r="I326" s="192">
        <f t="shared" si="168"/>
        <v>6.5116279069767442</v>
      </c>
      <c r="J326" s="216" t="str">
        <f t="shared" si="114"/>
        <v>HBA II</v>
      </c>
      <c r="K326" s="172">
        <f t="shared" si="172"/>
        <v>47.64</v>
      </c>
      <c r="L326" s="183">
        <f t="shared" si="169"/>
        <v>60.746166136003971</v>
      </c>
      <c r="M326" s="188" t="str">
        <f t="shared" si="170"/>
        <v/>
      </c>
      <c r="N326" s="185">
        <f t="shared" si="115"/>
        <v>2.7293023255813957</v>
      </c>
      <c r="O326" s="175">
        <f t="shared" si="41"/>
        <v>58.016863810422578</v>
      </c>
      <c r="P326" s="193"/>
      <c r="Q326" s="191"/>
      <c r="R326" s="186">
        <f>'ICI, GNewc, Delta'!D743*C326/5000</f>
        <v>67.536000000000001</v>
      </c>
      <c r="S326" s="217" t="e">
        <f>(#REF!*C326/5000)+R326</f>
        <v>#REF!</v>
      </c>
      <c r="T326" s="218" t="s">
        <v>162</v>
      </c>
      <c r="U326" s="230">
        <f t="shared" si="37"/>
        <v>9.5191361895774236</v>
      </c>
      <c r="V326" s="220"/>
      <c r="W326" s="221"/>
      <c r="X326" s="221"/>
      <c r="Y326" s="221"/>
      <c r="Z326" s="180"/>
      <c r="AA326" s="180"/>
      <c r="AB326" s="180"/>
      <c r="AC326" s="180"/>
    </row>
    <row r="327" spans="1:29" ht="15.75" customHeight="1" x14ac:dyDescent="0.4"/>
    <row r="328" spans="1:29" ht="15.75" customHeight="1" x14ac:dyDescent="0.4"/>
    <row r="329" spans="1:29" ht="15.75" customHeight="1" x14ac:dyDescent="0.4"/>
    <row r="330" spans="1:29" ht="15.75" customHeight="1" x14ac:dyDescent="0.4">
      <c r="N330" s="121"/>
    </row>
    <row r="331" spans="1:29" ht="15.75" customHeight="1" x14ac:dyDescent="0.4"/>
    <row r="332" spans="1:29" ht="15.75" customHeight="1" x14ac:dyDescent="0.4"/>
    <row r="333" spans="1:29" ht="15.75" customHeight="1" x14ac:dyDescent="0.4"/>
    <row r="334" spans="1:29" ht="15.75" customHeight="1" x14ac:dyDescent="0.4"/>
    <row r="335" spans="1:29" ht="15.75" customHeight="1" x14ac:dyDescent="0.4"/>
    <row r="336" spans="1:29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  <row r="1012" ht="15.75" customHeight="1" x14ac:dyDescent="0.4"/>
    <row r="1013" ht="15.75" customHeight="1" x14ac:dyDescent="0.4"/>
    <row r="1014" ht="15.75" customHeight="1" x14ac:dyDescent="0.4"/>
    <row r="1015" ht="15.75" customHeight="1" x14ac:dyDescent="0.4"/>
    <row r="1016" ht="15.75" customHeight="1" x14ac:dyDescent="0.4"/>
    <row r="1017" ht="15.75" customHeight="1" x14ac:dyDescent="0.4"/>
    <row r="1018" ht="15.75" customHeight="1" x14ac:dyDescent="0.4"/>
    <row r="1019" ht="15.75" customHeight="1" x14ac:dyDescent="0.4"/>
    <row r="1020" ht="15.75" customHeight="1" x14ac:dyDescent="0.4"/>
    <row r="1021" ht="15.75" customHeight="1" x14ac:dyDescent="0.4"/>
    <row r="1022" ht="15.75" customHeight="1" x14ac:dyDescent="0.4"/>
    <row r="1023" ht="15.75" customHeight="1" x14ac:dyDescent="0.4"/>
    <row r="1024" ht="15.75" customHeight="1" x14ac:dyDescent="0.4"/>
    <row r="1025" ht="15.75" customHeight="1" x14ac:dyDescent="0.4"/>
    <row r="1026" ht="15.75" customHeight="1" x14ac:dyDescent="0.4"/>
    <row r="1027" ht="15.75" customHeight="1" x14ac:dyDescent="0.4"/>
    <row r="1028" ht="15.75" customHeight="1" x14ac:dyDescent="0.4"/>
    <row r="1029" ht="15.75" customHeight="1" x14ac:dyDescent="0.4"/>
    <row r="1030" ht="15.75" customHeight="1" x14ac:dyDescent="0.4"/>
    <row r="1031" ht="15.75" customHeight="1" x14ac:dyDescent="0.4"/>
    <row r="1032" ht="15.75" customHeight="1" x14ac:dyDescent="0.4"/>
    <row r="1033" ht="15.75" customHeight="1" x14ac:dyDescent="0.4"/>
    <row r="1034" ht="15.75" customHeight="1" x14ac:dyDescent="0.4"/>
    <row r="1035" ht="15.75" customHeight="1" x14ac:dyDescent="0.4"/>
    <row r="1036" ht="15.75" customHeight="1" x14ac:dyDescent="0.4"/>
    <row r="1037" ht="15.75" customHeight="1" x14ac:dyDescent="0.4"/>
    <row r="1038" ht="15.75" customHeight="1" x14ac:dyDescent="0.4"/>
    <row r="1039" ht="15.75" customHeight="1" x14ac:dyDescent="0.4"/>
    <row r="1040" ht="15.75" customHeight="1" x14ac:dyDescent="0.4"/>
    <row r="1041" ht="15.75" customHeight="1" x14ac:dyDescent="0.4"/>
  </sheetData>
  <mergeCells count="5">
    <mergeCell ref="A51:B51"/>
    <mergeCell ref="A52:B53"/>
    <mergeCell ref="C52:G52"/>
    <mergeCell ref="Z52:Z53"/>
    <mergeCell ref="AA52:AA53"/>
  </mergeCell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1.25" defaultRowHeight="15" customHeight="1" x14ac:dyDescent="0.4"/>
  <cols>
    <col min="1" max="19" width="10.6640625" customWidth="1"/>
    <col min="20" max="26" width="10.33203125" customWidth="1"/>
  </cols>
  <sheetData>
    <row r="1" spans="1:26" ht="15.75" customHeight="1" x14ac:dyDescent="0.45">
      <c r="A1" s="325" t="s">
        <v>59</v>
      </c>
      <c r="B1" s="120"/>
      <c r="C1" s="120"/>
      <c r="D1" s="120"/>
      <c r="E1" s="120"/>
      <c r="F1" s="120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5.75" customHeight="1" x14ac:dyDescent="0.4">
      <c r="A2" s="122" t="s">
        <v>176</v>
      </c>
      <c r="B2" s="120"/>
      <c r="C2" s="120"/>
      <c r="D2" s="120"/>
      <c r="E2" s="120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5.75" customHeight="1" x14ac:dyDescent="0.4">
      <c r="A3" s="123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5.75" customHeight="1" x14ac:dyDescent="0.4">
      <c r="A4" s="124" t="s">
        <v>61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5.75" customHeight="1" x14ac:dyDescent="0.4">
      <c r="A5" s="121" t="s">
        <v>62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5.75" customHeight="1" x14ac:dyDescent="0.4">
      <c r="A6" s="125" t="s">
        <v>63</v>
      </c>
      <c r="B6" s="121" t="s">
        <v>64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5.75" customHeight="1" x14ac:dyDescent="0.4">
      <c r="A7" s="125" t="s">
        <v>65</v>
      </c>
      <c r="B7" s="121" t="s">
        <v>66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5.75" customHeight="1" x14ac:dyDescent="0.4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5.75" customHeight="1" x14ac:dyDescent="0.4">
      <c r="A9" s="124" t="s">
        <v>67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5.75" customHeight="1" x14ac:dyDescent="0.4">
      <c r="A10" s="121" t="s">
        <v>62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5.75" customHeight="1" x14ac:dyDescent="0.4">
      <c r="A11" s="125" t="s">
        <v>63</v>
      </c>
      <c r="B11" s="121" t="s">
        <v>68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5.75" customHeight="1" x14ac:dyDescent="0.4">
      <c r="A12" s="125" t="s">
        <v>65</v>
      </c>
      <c r="B12" s="121" t="s">
        <v>69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5.75" customHeight="1" x14ac:dyDescent="0.4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5.75" customHeight="1" x14ac:dyDescent="0.4">
      <c r="A14" s="126" t="s">
        <v>70</v>
      </c>
      <c r="B14" s="126" t="s">
        <v>71</v>
      </c>
      <c r="C14" s="126" t="s">
        <v>72</v>
      </c>
      <c r="D14" s="126" t="s">
        <v>73</v>
      </c>
      <c r="E14" s="126" t="s">
        <v>74</v>
      </c>
      <c r="F14" s="126" t="s">
        <v>75</v>
      </c>
      <c r="G14" s="127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5.75" customHeight="1" x14ac:dyDescent="0.4">
      <c r="A15" s="127" t="s">
        <v>76</v>
      </c>
      <c r="B15" s="128">
        <v>6322</v>
      </c>
      <c r="C15" s="128">
        <v>12.26</v>
      </c>
      <c r="D15" s="128">
        <v>0.66</v>
      </c>
      <c r="E15" s="128">
        <v>7.94</v>
      </c>
      <c r="F15" s="127" t="s">
        <v>77</v>
      </c>
      <c r="G15" s="127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5.75" customHeight="1" x14ac:dyDescent="0.4">
      <c r="A16" s="127" t="s">
        <v>78</v>
      </c>
      <c r="B16" s="128">
        <v>5300</v>
      </c>
      <c r="C16" s="128">
        <v>21.32</v>
      </c>
      <c r="D16" s="128">
        <v>0.75</v>
      </c>
      <c r="E16" s="128">
        <v>6.04</v>
      </c>
      <c r="F16" s="127" t="s">
        <v>79</v>
      </c>
      <c r="G16" s="127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5.75" customHeight="1" x14ac:dyDescent="0.4">
      <c r="A17" s="127" t="s">
        <v>80</v>
      </c>
      <c r="B17" s="128">
        <v>4100</v>
      </c>
      <c r="C17" s="128">
        <v>35.729999999999997</v>
      </c>
      <c r="D17" s="128">
        <v>0.23</v>
      </c>
      <c r="E17" s="128">
        <v>3.9</v>
      </c>
      <c r="F17" s="127" t="s">
        <v>81</v>
      </c>
      <c r="G17" s="127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5.75" customHeight="1" x14ac:dyDescent="0.4">
      <c r="A18" s="127"/>
      <c r="B18" s="128"/>
      <c r="C18" s="128"/>
      <c r="D18" s="128"/>
      <c r="E18" s="128"/>
      <c r="F18" s="127" t="s">
        <v>82</v>
      </c>
      <c r="G18" s="127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5.75" customHeight="1" x14ac:dyDescent="0.4">
      <c r="A19" s="127" t="s">
        <v>83</v>
      </c>
      <c r="B19" s="128">
        <v>3400</v>
      </c>
      <c r="C19" s="128">
        <v>44.3</v>
      </c>
      <c r="D19" s="128">
        <v>0.24</v>
      </c>
      <c r="E19" s="128">
        <v>3.88</v>
      </c>
      <c r="F19" s="127" t="s">
        <v>84</v>
      </c>
      <c r="G19" s="127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5.75" customHeight="1" x14ac:dyDescent="0.4">
      <c r="A20" s="127" t="s">
        <v>85</v>
      </c>
      <c r="B20" s="128">
        <v>6322</v>
      </c>
      <c r="C20" s="128">
        <v>12.26</v>
      </c>
      <c r="D20" s="128">
        <v>0.66</v>
      </c>
      <c r="E20" s="128">
        <v>7.94</v>
      </c>
      <c r="F20" s="127" t="s">
        <v>86</v>
      </c>
      <c r="G20" s="127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5.75" customHeight="1" x14ac:dyDescent="0.4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5.75" customHeight="1" x14ac:dyDescent="0.4">
      <c r="A22" s="129" t="s">
        <v>87</v>
      </c>
      <c r="B22" s="130"/>
      <c r="C22" s="130"/>
      <c r="D22" s="130"/>
      <c r="E22" s="130"/>
      <c r="F22" s="130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5.75" customHeight="1" x14ac:dyDescent="0.4">
      <c r="A23" s="326" t="s">
        <v>88</v>
      </c>
      <c r="B23" s="326" t="s">
        <v>76</v>
      </c>
      <c r="C23" s="326" t="s">
        <v>78</v>
      </c>
      <c r="D23" s="326" t="s">
        <v>80</v>
      </c>
      <c r="E23" s="326" t="s">
        <v>83</v>
      </c>
      <c r="F23" s="327" t="s">
        <v>85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5.75" customHeight="1" x14ac:dyDescent="0.4">
      <c r="A24" s="328">
        <v>45658</v>
      </c>
      <c r="B24" s="120">
        <v>124.24</v>
      </c>
      <c r="C24" s="120">
        <v>82.26</v>
      </c>
      <c r="D24" s="120">
        <v>52.75</v>
      </c>
      <c r="E24" s="120">
        <v>34.380000000000003</v>
      </c>
      <c r="F24" s="329">
        <v>124.24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5.75" customHeight="1" x14ac:dyDescent="0.4">
      <c r="A25" s="328">
        <v>45689</v>
      </c>
      <c r="B25" s="120">
        <v>124.01</v>
      </c>
      <c r="C25" s="120">
        <v>83.95</v>
      </c>
      <c r="D25" s="120">
        <v>50.52</v>
      </c>
      <c r="E25" s="120">
        <v>34.700000000000003</v>
      </c>
      <c r="F25" s="329">
        <v>124.01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5.75" customHeight="1" x14ac:dyDescent="0.4">
      <c r="A26" s="330">
        <v>45717</v>
      </c>
      <c r="B26" s="120">
        <v>128.24</v>
      </c>
      <c r="C26" s="120">
        <v>82.66</v>
      </c>
      <c r="D26" s="331">
        <v>50.7</v>
      </c>
      <c r="E26" s="120">
        <v>34.14</v>
      </c>
      <c r="F26" s="329">
        <v>128.24</v>
      </c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5.75" customHeight="1" x14ac:dyDescent="0.4">
      <c r="A27" s="330">
        <v>45731</v>
      </c>
      <c r="B27" s="120">
        <v>117.76</v>
      </c>
      <c r="C27" s="120">
        <v>80.7</v>
      </c>
      <c r="D27" s="120">
        <v>49.44</v>
      </c>
      <c r="E27" s="120">
        <v>33.17</v>
      </c>
      <c r="F27" s="329">
        <v>117.76</v>
      </c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5.75" customHeight="1" x14ac:dyDescent="0.4">
      <c r="A28" s="330">
        <v>45748</v>
      </c>
      <c r="B28" s="120">
        <v>123.32</v>
      </c>
      <c r="C28" s="120">
        <v>78.400000000000006</v>
      </c>
      <c r="D28" s="120">
        <v>49.54</v>
      </c>
      <c r="E28" s="120"/>
      <c r="F28" s="329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5.75" customHeight="1" x14ac:dyDescent="0.4">
      <c r="A29" s="121"/>
      <c r="B29" s="121">
        <f>B26-B27</f>
        <v>10.480000000000004</v>
      </c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5.75" customHeight="1" x14ac:dyDescent="0.4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5.75" customHeight="1" x14ac:dyDescent="0.4">
      <c r="A31" s="478" t="s">
        <v>90</v>
      </c>
      <c r="B31" s="463"/>
      <c r="C31" s="481" t="s">
        <v>91</v>
      </c>
      <c r="D31" s="468"/>
      <c r="E31" s="468"/>
      <c r="F31" s="468"/>
      <c r="G31" s="469"/>
      <c r="H31" s="150" t="s">
        <v>92</v>
      </c>
      <c r="I31" s="150" t="s">
        <v>92</v>
      </c>
      <c r="J31" s="150" t="s">
        <v>93</v>
      </c>
      <c r="K31" s="150" t="s">
        <v>93</v>
      </c>
      <c r="L31" s="151" t="s">
        <v>94</v>
      </c>
      <c r="M31" s="151" t="s">
        <v>95</v>
      </c>
      <c r="N31" s="151" t="s">
        <v>96</v>
      </c>
      <c r="O31" s="152" t="s">
        <v>97</v>
      </c>
      <c r="P31" s="152" t="s">
        <v>99</v>
      </c>
      <c r="Q31" s="332" t="s">
        <v>177</v>
      </c>
      <c r="R31" s="332" t="s">
        <v>178</v>
      </c>
      <c r="S31" s="332" t="s">
        <v>179</v>
      </c>
      <c r="T31" s="121"/>
      <c r="U31" s="121"/>
      <c r="V31" s="121"/>
      <c r="W31" s="121"/>
      <c r="X31" s="121"/>
      <c r="Y31" s="121"/>
      <c r="Z31" s="121"/>
    </row>
    <row r="32" spans="1:26" ht="15.75" customHeight="1" x14ac:dyDescent="0.4">
      <c r="A32" s="473"/>
      <c r="B32" s="475"/>
      <c r="C32" s="333" t="s">
        <v>71</v>
      </c>
      <c r="D32" s="333" t="s">
        <v>108</v>
      </c>
      <c r="E32" s="333" t="s">
        <v>109</v>
      </c>
      <c r="F32" s="333" t="s">
        <v>110</v>
      </c>
      <c r="G32" s="333" t="s">
        <v>111</v>
      </c>
      <c r="H32" s="334" t="s">
        <v>112</v>
      </c>
      <c r="I32" s="333" t="s">
        <v>113</v>
      </c>
      <c r="J32" s="335" t="s">
        <v>114</v>
      </c>
      <c r="K32" s="335" t="s">
        <v>115</v>
      </c>
      <c r="L32" s="335"/>
      <c r="M32" s="335"/>
      <c r="N32" s="335"/>
      <c r="O32" s="336"/>
      <c r="P32" s="336" t="s">
        <v>180</v>
      </c>
      <c r="Q32" s="337" t="s">
        <v>181</v>
      </c>
      <c r="R32" s="337" t="s">
        <v>182</v>
      </c>
      <c r="S32" s="337" t="s">
        <v>181</v>
      </c>
      <c r="T32" s="121"/>
      <c r="U32" s="121"/>
      <c r="V32" s="121"/>
      <c r="W32" s="121"/>
      <c r="X32" s="121"/>
      <c r="Y32" s="121"/>
      <c r="Z32" s="121"/>
    </row>
    <row r="33" spans="1:26" ht="15.75" customHeight="1" x14ac:dyDescent="0.4">
      <c r="A33" s="338" t="s">
        <v>14</v>
      </c>
      <c r="B33" s="339"/>
      <c r="C33" s="340">
        <v>5000</v>
      </c>
      <c r="D33" s="341">
        <v>28</v>
      </c>
      <c r="E33" s="341">
        <v>13</v>
      </c>
      <c r="F33" s="341">
        <v>0.8</v>
      </c>
      <c r="G33" s="341">
        <v>8</v>
      </c>
      <c r="H33" s="342">
        <f t="shared" ref="H33:H35" si="0">((100-D33)/(100-E33))*F33</f>
        <v>0.66206896551724137</v>
      </c>
      <c r="I33" s="342">
        <f t="shared" ref="I33:I35" si="1">((100-D33)/(100-E33))*G33</f>
        <v>6.6206896551724137</v>
      </c>
      <c r="J33" s="342"/>
      <c r="K33" s="342"/>
      <c r="L33" s="343">
        <f>D27*(C33/B15)*((100-D33)/(100-C15))</f>
        <v>32.086979829609312</v>
      </c>
      <c r="M33" s="344">
        <v>0</v>
      </c>
      <c r="N33" s="345">
        <f>((H33-D$15)*4+(I33-E$15)*0.4)</f>
        <v>-0.51944827586206932</v>
      </c>
      <c r="O33" s="346">
        <f t="shared" ref="O33:O35" si="2">L33-N33</f>
        <v>32.60642810547138</v>
      </c>
      <c r="P33" s="346"/>
      <c r="Q33" s="347" t="e">
        <f>#REF!</f>
        <v>#REF!</v>
      </c>
      <c r="R33" s="347" t="e">
        <f t="shared" ref="R33:R35" si="3">Q33*0.977</f>
        <v>#REF!</v>
      </c>
      <c r="S33" s="348" t="e">
        <f t="shared" ref="S33:S35" si="4">O33-R33</f>
        <v>#REF!</v>
      </c>
      <c r="T33" s="121"/>
      <c r="U33" s="121"/>
      <c r="V33" s="121"/>
      <c r="W33" s="121"/>
      <c r="X33" s="121"/>
      <c r="Y33" s="121"/>
      <c r="Z33" s="121"/>
    </row>
    <row r="34" spans="1:26" ht="15.75" customHeight="1" x14ac:dyDescent="0.4">
      <c r="A34" s="349" t="s">
        <v>183</v>
      </c>
      <c r="B34" s="350"/>
      <c r="C34" s="340">
        <v>5280</v>
      </c>
      <c r="D34" s="341">
        <v>22</v>
      </c>
      <c r="E34" s="341">
        <v>14</v>
      </c>
      <c r="F34" s="341">
        <v>1</v>
      </c>
      <c r="G34" s="341">
        <v>6</v>
      </c>
      <c r="H34" s="342">
        <f t="shared" si="0"/>
        <v>0.90697674418604646</v>
      </c>
      <c r="I34" s="342">
        <f t="shared" si="1"/>
        <v>5.441860465116279</v>
      </c>
      <c r="J34" s="342"/>
      <c r="K34" s="342"/>
      <c r="L34" s="343">
        <f>C27*(C34/B16)*((100-D34)/(100-C16))</f>
        <v>79.700645557356765</v>
      </c>
      <c r="M34" s="344">
        <v>0</v>
      </c>
      <c r="N34" s="345">
        <f t="shared" ref="N34:N35" si="5">((H34-D$16)*4+(I34-E$16)*0.4)</f>
        <v>0.38865116279069739</v>
      </c>
      <c r="O34" s="346">
        <f t="shared" si="2"/>
        <v>79.311994394566071</v>
      </c>
      <c r="P34" s="346"/>
      <c r="Q34" s="347" t="e">
        <f>#REF!*HPB!C34/5800</f>
        <v>#REF!</v>
      </c>
      <c r="R34" s="347" t="e">
        <f t="shared" si="3"/>
        <v>#REF!</v>
      </c>
      <c r="S34" s="347" t="e">
        <f t="shared" si="4"/>
        <v>#REF!</v>
      </c>
      <c r="T34" s="121"/>
      <c r="U34" s="121"/>
      <c r="V34" s="121"/>
      <c r="W34" s="121"/>
      <c r="X34" s="121"/>
      <c r="Y34" s="121"/>
      <c r="Z34" s="121"/>
    </row>
    <row r="35" spans="1:26" ht="15.75" customHeight="1" x14ac:dyDescent="0.4">
      <c r="A35" s="349" t="s">
        <v>13</v>
      </c>
      <c r="B35" s="350"/>
      <c r="C35" s="340">
        <v>5400</v>
      </c>
      <c r="D35" s="341">
        <v>25</v>
      </c>
      <c r="E35" s="341">
        <v>11</v>
      </c>
      <c r="F35" s="341">
        <v>0.8</v>
      </c>
      <c r="G35" s="341">
        <v>6</v>
      </c>
      <c r="H35" s="342">
        <f t="shared" si="0"/>
        <v>0.6741573033707865</v>
      </c>
      <c r="I35" s="342">
        <f t="shared" si="1"/>
        <v>5.0561797752808983</v>
      </c>
      <c r="J35" s="342"/>
      <c r="K35" s="342"/>
      <c r="L35" s="343">
        <f>C27*(C35/B16)*((100-D35)/(100-C16))</f>
        <v>78.376946024498565</v>
      </c>
      <c r="M35" s="344">
        <v>0</v>
      </c>
      <c r="N35" s="345">
        <f t="shared" si="5"/>
        <v>-0.69689887640449477</v>
      </c>
      <c r="O35" s="346">
        <f t="shared" si="2"/>
        <v>79.073844900903055</v>
      </c>
      <c r="P35" s="346"/>
      <c r="Q35" s="347" t="e">
        <f>#REF!*HPB!C35/5800</f>
        <v>#REF!</v>
      </c>
      <c r="R35" s="347" t="e">
        <f t="shared" si="3"/>
        <v>#REF!</v>
      </c>
      <c r="S35" s="347" t="e">
        <f t="shared" si="4"/>
        <v>#REF!</v>
      </c>
      <c r="T35" s="121"/>
      <c r="U35" s="121"/>
      <c r="V35" s="121"/>
      <c r="W35" s="121"/>
      <c r="X35" s="121"/>
      <c r="Y35" s="121"/>
      <c r="Z35" s="121"/>
    </row>
    <row r="36" spans="1:26" ht="15.75" customHeight="1" x14ac:dyDescent="0.4">
      <c r="A36" s="349" t="s">
        <v>150</v>
      </c>
      <c r="B36" s="350"/>
      <c r="C36" s="340"/>
      <c r="D36" s="341"/>
      <c r="E36" s="341"/>
      <c r="F36" s="341"/>
      <c r="G36" s="341"/>
      <c r="H36" s="344"/>
      <c r="I36" s="344"/>
      <c r="J36" s="344"/>
      <c r="K36" s="344"/>
      <c r="L36" s="344"/>
      <c r="M36" s="344"/>
      <c r="N36" s="344"/>
      <c r="O36" s="351"/>
      <c r="P36" s="351"/>
      <c r="Q36" s="352"/>
      <c r="R36" s="352"/>
      <c r="S36" s="352"/>
      <c r="T36" s="121"/>
      <c r="U36" s="121"/>
      <c r="V36" s="121"/>
      <c r="W36" s="121"/>
      <c r="X36" s="121"/>
      <c r="Y36" s="121"/>
      <c r="Z36" s="121"/>
    </row>
    <row r="37" spans="1:26" ht="15.75" customHeight="1" x14ac:dyDescent="0.4">
      <c r="A37" s="349" t="s">
        <v>184</v>
      </c>
      <c r="B37" s="350"/>
      <c r="C37" s="340">
        <v>4600</v>
      </c>
      <c r="D37" s="341">
        <v>32</v>
      </c>
      <c r="E37" s="341">
        <v>18</v>
      </c>
      <c r="F37" s="341">
        <v>0.3</v>
      </c>
      <c r="G37" s="341">
        <v>6</v>
      </c>
      <c r="H37" s="342">
        <f t="shared" ref="H37:H38" si="6">((100-D37)/(100-E37))*F37</f>
        <v>0.24878048780487802</v>
      </c>
      <c r="I37" s="353">
        <f t="shared" ref="I37:I38" si="7">((100-D37)/(100-E37))*G37</f>
        <v>4.975609756097561</v>
      </c>
      <c r="J37" s="353"/>
      <c r="K37" s="353"/>
      <c r="L37" s="343">
        <f>D27*(C37/B17)*((100-D37)/(100-C17))</f>
        <v>58.688505428698285</v>
      </c>
      <c r="M37" s="344">
        <v>0</v>
      </c>
      <c r="N37" s="345">
        <f>((H37-D$19)*4+(I37-E$19)*0.4)</f>
        <v>0.47336585365853656</v>
      </c>
      <c r="O37" s="346">
        <f>L37-N37</f>
        <v>58.21513957503975</v>
      </c>
      <c r="P37" s="351"/>
      <c r="Q37" s="352"/>
      <c r="R37" s="352"/>
      <c r="S37" s="352"/>
      <c r="T37" s="121"/>
      <c r="U37" s="121"/>
      <c r="V37" s="121"/>
      <c r="W37" s="121"/>
      <c r="X37" s="121"/>
      <c r="Y37" s="121"/>
      <c r="Z37" s="121"/>
    </row>
    <row r="38" spans="1:26" ht="15.75" customHeight="1" x14ac:dyDescent="0.4">
      <c r="A38" s="349" t="s">
        <v>185</v>
      </c>
      <c r="B38" s="350"/>
      <c r="C38" s="340">
        <v>5000</v>
      </c>
      <c r="D38" s="341">
        <v>28</v>
      </c>
      <c r="E38" s="341">
        <v>13</v>
      </c>
      <c r="F38" s="341">
        <v>0.8</v>
      </c>
      <c r="G38" s="341">
        <v>8</v>
      </c>
      <c r="H38" s="342">
        <f t="shared" si="6"/>
        <v>0.66206896551724137</v>
      </c>
      <c r="I38" s="353">
        <f t="shared" si="7"/>
        <v>6.6206896551724137</v>
      </c>
      <c r="J38" s="353"/>
      <c r="K38" s="353"/>
      <c r="L38" s="343"/>
      <c r="M38" s="344"/>
      <c r="N38" s="345"/>
      <c r="O38" s="346"/>
      <c r="P38" s="351"/>
      <c r="Q38" s="352"/>
      <c r="R38" s="352"/>
      <c r="S38" s="352"/>
      <c r="T38" s="121"/>
      <c r="U38" s="121"/>
      <c r="V38" s="121"/>
      <c r="W38" s="121"/>
      <c r="X38" s="121"/>
      <c r="Y38" s="121"/>
      <c r="Z38" s="121"/>
    </row>
    <row r="39" spans="1:26" ht="15.75" customHeight="1" x14ac:dyDescent="0.4">
      <c r="A39" s="349"/>
      <c r="B39" s="350"/>
      <c r="C39" s="340"/>
      <c r="D39" s="341"/>
      <c r="E39" s="341"/>
      <c r="F39" s="341"/>
      <c r="G39" s="341"/>
      <c r="H39" s="344"/>
      <c r="I39" s="344"/>
      <c r="J39" s="344"/>
      <c r="K39" s="344"/>
      <c r="L39" s="344"/>
      <c r="M39" s="344"/>
      <c r="N39" s="344"/>
      <c r="O39" s="351"/>
      <c r="P39" s="351"/>
      <c r="Q39" s="352"/>
      <c r="R39" s="352"/>
      <c r="S39" s="352"/>
      <c r="T39" s="121"/>
      <c r="U39" s="121"/>
      <c r="V39" s="121"/>
      <c r="W39" s="121"/>
      <c r="X39" s="121"/>
      <c r="Y39" s="121"/>
      <c r="Z39" s="121"/>
    </row>
    <row r="40" spans="1:26" ht="15.75" customHeight="1" x14ac:dyDescent="0.4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5.75" customHeight="1" x14ac:dyDescent="0.4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5.75" customHeight="1" x14ac:dyDescent="0.4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5.75" customHeight="1" x14ac:dyDescent="0.4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5.75" customHeight="1" x14ac:dyDescent="0.4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5.75" customHeight="1" x14ac:dyDescent="0.4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5.75" customHeight="1" x14ac:dyDescent="0.4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5.75" customHeight="1" x14ac:dyDescent="0.4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5.75" customHeight="1" x14ac:dyDescent="0.4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5.75" customHeight="1" x14ac:dyDescent="0.4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5.75" customHeight="1" x14ac:dyDescent="0.4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5.75" customHeight="1" x14ac:dyDescent="0.4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5.75" customHeight="1" x14ac:dyDescent="0.4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5.75" customHeight="1" x14ac:dyDescent="0.4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5.75" customHeight="1" x14ac:dyDescent="0.4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5.75" customHeight="1" x14ac:dyDescent="0.4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5.75" customHeight="1" x14ac:dyDescent="0.4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5.75" customHeight="1" x14ac:dyDescent="0.4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5.75" customHeight="1" x14ac:dyDescent="0.4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5.75" customHeight="1" x14ac:dyDescent="0.4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5.75" customHeight="1" x14ac:dyDescent="0.4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5.75" customHeight="1" x14ac:dyDescent="0.4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5.75" customHeight="1" x14ac:dyDescent="0.4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5.75" customHeight="1" x14ac:dyDescent="0.4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5.75" customHeight="1" x14ac:dyDescent="0.4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5.75" customHeight="1" x14ac:dyDescent="0.4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5.75" customHeight="1" x14ac:dyDescent="0.4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5.75" customHeight="1" x14ac:dyDescent="0.4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5.75" customHeight="1" x14ac:dyDescent="0.4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5.75" customHeight="1" x14ac:dyDescent="0.4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5.75" customHeight="1" x14ac:dyDescent="0.4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5.75" customHeight="1" x14ac:dyDescent="0.4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5.75" customHeight="1" x14ac:dyDescent="0.4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5.75" customHeight="1" x14ac:dyDescent="0.4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5.75" customHeight="1" x14ac:dyDescent="0.4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5.75" customHeight="1" x14ac:dyDescent="0.4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5.75" customHeight="1" x14ac:dyDescent="0.4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5.75" customHeight="1" x14ac:dyDescent="0.4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5.75" customHeight="1" x14ac:dyDescent="0.4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5.75" customHeight="1" x14ac:dyDescent="0.4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5.75" customHeight="1" x14ac:dyDescent="0.4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5.75" customHeight="1" x14ac:dyDescent="0.4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5.75" customHeight="1" x14ac:dyDescent="0.4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5.75" customHeight="1" x14ac:dyDescent="0.4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5.75" customHeight="1" x14ac:dyDescent="0.4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5.75" customHeight="1" x14ac:dyDescent="0.4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5.75" customHeight="1" x14ac:dyDescent="0.4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5.75" customHeight="1" x14ac:dyDescent="0.4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5.75" customHeight="1" x14ac:dyDescent="0.4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5.75" customHeight="1" x14ac:dyDescent="0.4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5.75" customHeight="1" x14ac:dyDescent="0.4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5.75" customHeight="1" x14ac:dyDescent="0.4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5.75" customHeight="1" x14ac:dyDescent="0.4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5.75" customHeight="1" x14ac:dyDescent="0.4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5.75" customHeight="1" x14ac:dyDescent="0.4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5.75" customHeight="1" x14ac:dyDescent="0.4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5.75" customHeight="1" x14ac:dyDescent="0.4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5.75" customHeight="1" x14ac:dyDescent="0.4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5.75" customHeight="1" x14ac:dyDescent="0.4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5.75" customHeight="1" x14ac:dyDescent="0.4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5.75" customHeight="1" x14ac:dyDescent="0.4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5.75" customHeight="1" x14ac:dyDescent="0.4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5.75" customHeight="1" x14ac:dyDescent="0.4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5.75" customHeight="1" x14ac:dyDescent="0.4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5.75" customHeight="1" x14ac:dyDescent="0.4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5.75" customHeight="1" x14ac:dyDescent="0.4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5.75" customHeight="1" x14ac:dyDescent="0.4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5.75" customHeight="1" x14ac:dyDescent="0.4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5.75" customHeight="1" x14ac:dyDescent="0.4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5.75" customHeight="1" x14ac:dyDescent="0.4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5.75" customHeight="1" x14ac:dyDescent="0.4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5.75" customHeight="1" x14ac:dyDescent="0.4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5.75" customHeight="1" x14ac:dyDescent="0.4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5.75" customHeight="1" x14ac:dyDescent="0.4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5.75" customHeight="1" x14ac:dyDescent="0.4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5.75" customHeight="1" x14ac:dyDescent="0.4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5.75" customHeight="1" x14ac:dyDescent="0.4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5.75" customHeight="1" x14ac:dyDescent="0.4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5.75" customHeight="1" x14ac:dyDescent="0.4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5.75" customHeight="1" x14ac:dyDescent="0.4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5.75" customHeight="1" x14ac:dyDescent="0.4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5.75" customHeight="1" x14ac:dyDescent="0.4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5.75" customHeight="1" x14ac:dyDescent="0.4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5.75" customHeight="1" x14ac:dyDescent="0.4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5.75" customHeight="1" x14ac:dyDescent="0.4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5.75" customHeight="1" x14ac:dyDescent="0.4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5.75" customHeight="1" x14ac:dyDescent="0.4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5.75" customHeight="1" x14ac:dyDescent="0.4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5.75" customHeight="1" x14ac:dyDescent="0.4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5.75" customHeight="1" x14ac:dyDescent="0.4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5.75" customHeight="1" x14ac:dyDescent="0.4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5.75" customHeight="1" x14ac:dyDescent="0.4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5.75" customHeight="1" x14ac:dyDescent="0.4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5.75" customHeight="1" x14ac:dyDescent="0.4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5.75" customHeight="1" x14ac:dyDescent="0.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5.75" customHeight="1" x14ac:dyDescent="0.4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5.75" customHeight="1" x14ac:dyDescent="0.4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5.75" customHeight="1" x14ac:dyDescent="0.4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5.75" customHeight="1" x14ac:dyDescent="0.4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5.75" customHeight="1" x14ac:dyDescent="0.4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5.75" customHeight="1" x14ac:dyDescent="0.4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5.75" customHeight="1" x14ac:dyDescent="0.4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5.75" customHeight="1" x14ac:dyDescent="0.4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5.75" customHeight="1" x14ac:dyDescent="0.4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5.75" customHeight="1" x14ac:dyDescent="0.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5.75" customHeight="1" x14ac:dyDescent="0.4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5.75" customHeight="1" x14ac:dyDescent="0.4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5.75" customHeight="1" x14ac:dyDescent="0.4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5.75" customHeight="1" x14ac:dyDescent="0.4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5.75" customHeight="1" x14ac:dyDescent="0.4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5.75" customHeight="1" x14ac:dyDescent="0.4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5.75" customHeight="1" x14ac:dyDescent="0.4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5.75" customHeight="1" x14ac:dyDescent="0.4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5.75" customHeight="1" x14ac:dyDescent="0.4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5.75" customHeight="1" x14ac:dyDescent="0.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5.75" customHeight="1" x14ac:dyDescent="0.4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5.75" customHeight="1" x14ac:dyDescent="0.4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5.75" customHeight="1" x14ac:dyDescent="0.4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5.75" customHeight="1" x14ac:dyDescent="0.4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5.75" customHeight="1" x14ac:dyDescent="0.4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5.75" customHeight="1" x14ac:dyDescent="0.4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5.75" customHeight="1" x14ac:dyDescent="0.4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5.75" customHeight="1" x14ac:dyDescent="0.4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5.75" customHeight="1" x14ac:dyDescent="0.4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5.75" customHeight="1" x14ac:dyDescent="0.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5.75" customHeight="1" x14ac:dyDescent="0.4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5.75" customHeight="1" x14ac:dyDescent="0.4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5.75" customHeight="1" x14ac:dyDescent="0.4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5.75" customHeight="1" x14ac:dyDescent="0.4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5.75" customHeight="1" x14ac:dyDescent="0.4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5.75" customHeight="1" x14ac:dyDescent="0.4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5.75" customHeight="1" x14ac:dyDescent="0.4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5.75" customHeight="1" x14ac:dyDescent="0.4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5.75" customHeight="1" x14ac:dyDescent="0.4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5.75" customHeight="1" x14ac:dyDescent="0.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5.75" customHeight="1" x14ac:dyDescent="0.4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5.75" customHeight="1" x14ac:dyDescent="0.4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5.75" customHeight="1" x14ac:dyDescent="0.4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5.75" customHeight="1" x14ac:dyDescent="0.4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5.75" customHeight="1" x14ac:dyDescent="0.4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5.75" customHeight="1" x14ac:dyDescent="0.4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5.75" customHeight="1" x14ac:dyDescent="0.4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5.75" customHeight="1" x14ac:dyDescent="0.4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5.75" customHeight="1" x14ac:dyDescent="0.4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5.75" customHeight="1" x14ac:dyDescent="0.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5.75" customHeight="1" x14ac:dyDescent="0.4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5.75" customHeight="1" x14ac:dyDescent="0.4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5.75" customHeight="1" x14ac:dyDescent="0.4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5.75" customHeight="1" x14ac:dyDescent="0.4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5.75" customHeight="1" x14ac:dyDescent="0.4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5.75" customHeight="1" x14ac:dyDescent="0.4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5.75" customHeight="1" x14ac:dyDescent="0.4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5.75" customHeight="1" x14ac:dyDescent="0.4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5.75" customHeight="1" x14ac:dyDescent="0.4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5.75" customHeight="1" x14ac:dyDescent="0.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5.75" customHeight="1" x14ac:dyDescent="0.4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5.75" customHeight="1" x14ac:dyDescent="0.4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5.75" customHeight="1" x14ac:dyDescent="0.4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5.75" customHeight="1" x14ac:dyDescent="0.4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5.75" customHeight="1" x14ac:dyDescent="0.4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5.75" customHeight="1" x14ac:dyDescent="0.4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5.75" customHeight="1" x14ac:dyDescent="0.4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5.75" customHeight="1" x14ac:dyDescent="0.4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5.75" customHeight="1" x14ac:dyDescent="0.4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5.75" customHeight="1" x14ac:dyDescent="0.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5.75" customHeight="1" x14ac:dyDescent="0.4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5.75" customHeight="1" x14ac:dyDescent="0.4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5.75" customHeight="1" x14ac:dyDescent="0.4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5.75" customHeight="1" x14ac:dyDescent="0.4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5.75" customHeight="1" x14ac:dyDescent="0.4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5.75" customHeight="1" x14ac:dyDescent="0.4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5.75" customHeight="1" x14ac:dyDescent="0.4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5.75" customHeight="1" x14ac:dyDescent="0.4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5.75" customHeight="1" x14ac:dyDescent="0.4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5.75" customHeight="1" x14ac:dyDescent="0.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5.75" customHeight="1" x14ac:dyDescent="0.4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5.75" customHeight="1" x14ac:dyDescent="0.4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5.75" customHeight="1" x14ac:dyDescent="0.4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5.75" customHeight="1" x14ac:dyDescent="0.4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5.75" customHeight="1" x14ac:dyDescent="0.4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5.75" customHeight="1" x14ac:dyDescent="0.4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5.75" customHeight="1" x14ac:dyDescent="0.4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5.75" customHeight="1" x14ac:dyDescent="0.4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5.75" customHeight="1" x14ac:dyDescent="0.4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5.75" customHeight="1" x14ac:dyDescent="0.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5.75" customHeight="1" x14ac:dyDescent="0.4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5.75" customHeight="1" x14ac:dyDescent="0.4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5.75" customHeight="1" x14ac:dyDescent="0.4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5.75" customHeight="1" x14ac:dyDescent="0.4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5.75" customHeight="1" x14ac:dyDescent="0.4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5.75" customHeight="1" x14ac:dyDescent="0.4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5.75" customHeight="1" x14ac:dyDescent="0.4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5.75" customHeight="1" x14ac:dyDescent="0.4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5.75" customHeight="1" x14ac:dyDescent="0.4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5.75" customHeight="1" x14ac:dyDescent="0.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5.75" customHeight="1" x14ac:dyDescent="0.4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5.75" customHeight="1" x14ac:dyDescent="0.4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5.75" customHeight="1" x14ac:dyDescent="0.4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5.75" customHeight="1" x14ac:dyDescent="0.4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5.75" customHeight="1" x14ac:dyDescent="0.4"/>
    <row r="240" spans="1:26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2">
    <mergeCell ref="A31:B32"/>
    <mergeCell ref="C31:G3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11.25" defaultRowHeight="15" customHeight="1" x14ac:dyDescent="0.4"/>
  <cols>
    <col min="1" max="2" width="10.6640625" customWidth="1"/>
    <col min="3" max="4" width="9" customWidth="1"/>
    <col min="5" max="9" width="7.6640625" customWidth="1"/>
    <col min="10" max="11" width="9" customWidth="1"/>
    <col min="12" max="12" width="7.6640625" customWidth="1"/>
    <col min="13" max="13" width="12" customWidth="1"/>
    <col min="14" max="21" width="10.6640625" customWidth="1"/>
    <col min="22" max="22" width="10.33203125" customWidth="1"/>
    <col min="23" max="24" width="10.6640625" customWidth="1"/>
    <col min="25" max="26" width="10.33203125" customWidth="1"/>
  </cols>
  <sheetData>
    <row r="1" spans="1:26" ht="16" x14ac:dyDescent="0.4">
      <c r="A1" s="354" t="s">
        <v>70</v>
      </c>
      <c r="B1" s="354" t="s">
        <v>71</v>
      </c>
      <c r="C1" s="354" t="s">
        <v>72</v>
      </c>
      <c r="D1" s="354" t="s">
        <v>73</v>
      </c>
      <c r="E1" s="354" t="s">
        <v>74</v>
      </c>
      <c r="F1" s="354" t="s">
        <v>75</v>
      </c>
      <c r="G1" s="355"/>
      <c r="H1" s="356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spans="1:26" ht="16" x14ac:dyDescent="0.4">
      <c r="A2" s="355" t="s">
        <v>76</v>
      </c>
      <c r="B2" s="358">
        <v>6322</v>
      </c>
      <c r="C2" s="358">
        <v>12.26</v>
      </c>
      <c r="D2" s="358">
        <v>0.66</v>
      </c>
      <c r="E2" s="358">
        <v>7.94</v>
      </c>
      <c r="F2" s="355" t="s">
        <v>77</v>
      </c>
      <c r="G2" s="355"/>
      <c r="H2" s="356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</row>
    <row r="3" spans="1:26" ht="16" x14ac:dyDescent="0.4">
      <c r="A3" s="355" t="s">
        <v>78</v>
      </c>
      <c r="B3" s="358">
        <v>5300</v>
      </c>
      <c r="C3" s="358">
        <v>21.32</v>
      </c>
      <c r="D3" s="358">
        <v>0.75</v>
      </c>
      <c r="E3" s="358">
        <v>6.04</v>
      </c>
      <c r="F3" s="355" t="s">
        <v>79</v>
      </c>
      <c r="G3" s="355"/>
      <c r="H3" s="356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</row>
    <row r="4" spans="1:26" ht="16" x14ac:dyDescent="0.4">
      <c r="A4" s="355" t="s">
        <v>80</v>
      </c>
      <c r="B4" s="358">
        <v>4100</v>
      </c>
      <c r="C4" s="358">
        <v>35.729999999999997</v>
      </c>
      <c r="D4" s="358">
        <v>0.23</v>
      </c>
      <c r="E4" s="358">
        <v>3.9</v>
      </c>
      <c r="F4" s="355" t="s">
        <v>81</v>
      </c>
      <c r="G4" s="355"/>
      <c r="H4" s="356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</row>
    <row r="5" spans="1:26" ht="16" x14ac:dyDescent="0.4">
      <c r="A5" s="355"/>
      <c r="B5" s="358"/>
      <c r="C5" s="358"/>
      <c r="D5" s="358"/>
      <c r="E5" s="358"/>
      <c r="F5" s="355" t="s">
        <v>82</v>
      </c>
      <c r="G5" s="355"/>
      <c r="H5" s="356"/>
      <c r="I5" s="357"/>
      <c r="J5" s="357"/>
      <c r="K5" s="357"/>
      <c r="L5" s="357"/>
      <c r="M5" s="357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</row>
    <row r="6" spans="1:26" ht="16" x14ac:dyDescent="0.4">
      <c r="A6" s="355"/>
      <c r="B6" s="358">
        <v>3400</v>
      </c>
      <c r="C6" s="358">
        <v>44.3</v>
      </c>
      <c r="D6" s="358">
        <v>0.24</v>
      </c>
      <c r="E6" s="358">
        <v>3.88</v>
      </c>
      <c r="F6" s="355" t="s">
        <v>81</v>
      </c>
      <c r="G6" s="355"/>
      <c r="H6" s="356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9" t="s">
        <v>186</v>
      </c>
      <c r="W6" s="357"/>
      <c r="X6" s="357"/>
      <c r="Y6" s="357"/>
      <c r="Z6" s="357"/>
    </row>
    <row r="7" spans="1:26" ht="16" x14ac:dyDescent="0.4">
      <c r="A7" s="355"/>
      <c r="B7" s="358">
        <v>6322</v>
      </c>
      <c r="C7" s="358">
        <v>12.26</v>
      </c>
      <c r="D7" s="358">
        <v>0.66</v>
      </c>
      <c r="E7" s="358">
        <v>7.94</v>
      </c>
      <c r="F7" s="355" t="s">
        <v>86</v>
      </c>
      <c r="G7" s="355"/>
      <c r="H7" s="356"/>
      <c r="I7" s="357"/>
      <c r="J7" s="357"/>
      <c r="K7" s="357"/>
      <c r="L7" s="357"/>
      <c r="M7" s="357"/>
      <c r="N7" s="357"/>
      <c r="O7" s="357"/>
      <c r="P7" s="357"/>
      <c r="Q7" s="360" t="s">
        <v>187</v>
      </c>
      <c r="R7" s="357"/>
      <c r="S7" s="361" t="s">
        <v>188</v>
      </c>
      <c r="T7" s="357"/>
      <c r="U7" s="357"/>
      <c r="V7" s="359" t="s">
        <v>189</v>
      </c>
      <c r="W7" s="357"/>
      <c r="X7" s="357"/>
      <c r="Y7" s="357"/>
      <c r="Z7" s="357"/>
    </row>
    <row r="8" spans="1:26" ht="16" x14ac:dyDescent="0.4">
      <c r="A8" s="484" t="s">
        <v>190</v>
      </c>
      <c r="B8" s="484" t="s">
        <v>191</v>
      </c>
      <c r="C8" s="362" t="s">
        <v>1</v>
      </c>
      <c r="D8" s="485" t="s">
        <v>91</v>
      </c>
      <c r="E8" s="468"/>
      <c r="F8" s="468"/>
      <c r="G8" s="468"/>
      <c r="H8" s="469"/>
      <c r="I8" s="363" t="s">
        <v>92</v>
      </c>
      <c r="J8" s="363" t="s">
        <v>92</v>
      </c>
      <c r="K8" s="364" t="s">
        <v>94</v>
      </c>
      <c r="L8" s="364" t="s">
        <v>95</v>
      </c>
      <c r="M8" s="364" t="s">
        <v>96</v>
      </c>
      <c r="N8" s="365" t="s">
        <v>97</v>
      </c>
      <c r="O8" s="365" t="s">
        <v>3</v>
      </c>
      <c r="P8" s="365" t="s">
        <v>105</v>
      </c>
      <c r="Q8" s="366" t="s">
        <v>178</v>
      </c>
      <c r="R8" s="366" t="s">
        <v>192</v>
      </c>
      <c r="S8" s="150" t="s">
        <v>21</v>
      </c>
      <c r="T8" s="333" t="s">
        <v>193</v>
      </c>
      <c r="U8" s="367" t="s">
        <v>194</v>
      </c>
      <c r="V8" s="368" t="s">
        <v>195</v>
      </c>
      <c r="W8" s="368" t="s">
        <v>196</v>
      </c>
      <c r="X8" s="369" t="s">
        <v>197</v>
      </c>
      <c r="Y8" s="357"/>
      <c r="Z8" s="357"/>
    </row>
    <row r="9" spans="1:26" ht="16" x14ac:dyDescent="0.4">
      <c r="A9" s="465"/>
      <c r="B9" s="465"/>
      <c r="C9" s="370">
        <v>6500</v>
      </c>
      <c r="D9" s="370" t="s">
        <v>71</v>
      </c>
      <c r="E9" s="370" t="s">
        <v>108</v>
      </c>
      <c r="F9" s="370" t="s">
        <v>109</v>
      </c>
      <c r="G9" s="370" t="s">
        <v>110</v>
      </c>
      <c r="H9" s="370" t="s">
        <v>111</v>
      </c>
      <c r="I9" s="197" t="s">
        <v>112</v>
      </c>
      <c r="J9" s="370" t="s">
        <v>113</v>
      </c>
      <c r="K9" s="371"/>
      <c r="L9" s="371"/>
      <c r="M9" s="371"/>
      <c r="N9" s="372">
        <f>D10</f>
        <v>5000</v>
      </c>
      <c r="O9" s="372">
        <v>5000</v>
      </c>
      <c r="P9" s="372" t="s">
        <v>179</v>
      </c>
      <c r="Q9" s="373" t="s">
        <v>198</v>
      </c>
      <c r="R9" s="373" t="s">
        <v>179</v>
      </c>
      <c r="S9" s="374">
        <v>6000</v>
      </c>
      <c r="T9" s="333">
        <v>5000</v>
      </c>
      <c r="U9" s="375" t="s">
        <v>179</v>
      </c>
      <c r="V9" s="368"/>
      <c r="W9" s="368">
        <v>23.5</v>
      </c>
      <c r="X9" s="376" t="s">
        <v>179</v>
      </c>
      <c r="Y9" s="357"/>
      <c r="Z9" s="357"/>
    </row>
    <row r="10" spans="1:26" ht="16" x14ac:dyDescent="0.4">
      <c r="A10" s="377" t="s">
        <v>199</v>
      </c>
      <c r="B10" s="378">
        <v>63.84</v>
      </c>
      <c r="C10" s="379">
        <v>65.475999999999999</v>
      </c>
      <c r="D10" s="341">
        <v>5000</v>
      </c>
      <c r="E10" s="341">
        <v>28</v>
      </c>
      <c r="F10" s="341">
        <v>13</v>
      </c>
      <c r="G10" s="341">
        <v>0.8</v>
      </c>
      <c r="H10" s="341">
        <v>8</v>
      </c>
      <c r="I10" s="342">
        <f t="shared" ref="I10:I132" si="0">((100-E10)/(100-F10))*G10</f>
        <v>0.66206896551724137</v>
      </c>
      <c r="J10" s="342">
        <f t="shared" ref="J10:J132" si="1">((100-E10)/(100-F10))*H10</f>
        <v>6.6206896551724137</v>
      </c>
      <c r="K10" s="343">
        <f t="shared" ref="K10:K112" si="2">B10*(D10/$B$2)*((100-E10)/(100-$C$2))</f>
        <v>41.432702110078047</v>
      </c>
      <c r="L10" s="380">
        <v>0</v>
      </c>
      <c r="M10" s="345">
        <f t="shared" ref="M10:M112" si="3">((I10-$D$2)*4+(J10-$E$2)*0.4)</f>
        <v>-0.51944827586206932</v>
      </c>
      <c r="N10" s="381">
        <f t="shared" ref="N10:N132" si="4">K10-M10</f>
        <v>41.952150385940115</v>
      </c>
      <c r="O10" s="381">
        <v>48.38</v>
      </c>
      <c r="P10" s="382">
        <f t="shared" ref="P10:P132" si="5">O10-N10</f>
        <v>6.4278496140598875</v>
      </c>
      <c r="Q10" s="383">
        <f t="shared" ref="Q10:Q132" si="6">O10*0.9777</f>
        <v>47.301126000000004</v>
      </c>
      <c r="R10" s="384">
        <f t="shared" ref="R10:R132" si="7">Q10-N10</f>
        <v>5.3489756140598885</v>
      </c>
      <c r="S10" s="378">
        <v>62.802</v>
      </c>
      <c r="T10" s="385">
        <f t="shared" ref="T10:T132" si="8">(S10*$T$9/$S$9)*0.707</f>
        <v>37.000844999999998</v>
      </c>
      <c r="U10" s="386">
        <f t="shared" ref="U10:U132" si="9">T10-N10</f>
        <v>-4.9513053859401168</v>
      </c>
      <c r="V10" s="385">
        <f t="shared" ref="V10:V132" si="10">(O10*0.5)+(T10*0.5)</f>
        <v>42.690422499999997</v>
      </c>
      <c r="W10" s="385">
        <f t="shared" ref="W10:W132" si="11">V10+$W$9</f>
        <v>66.190422499999997</v>
      </c>
      <c r="X10" s="387">
        <f t="shared" ref="X10:X132" si="12">V10-N10</f>
        <v>0.7382721140598818</v>
      </c>
      <c r="Y10" s="357"/>
      <c r="Z10" s="357"/>
    </row>
    <row r="11" spans="1:26" ht="16" x14ac:dyDescent="0.4">
      <c r="A11" s="377" t="s">
        <v>200</v>
      </c>
      <c r="B11" s="378">
        <v>62.92</v>
      </c>
      <c r="C11" s="378">
        <v>68.125</v>
      </c>
      <c r="D11" s="341">
        <f t="shared" ref="D11:H11" si="13">D10</f>
        <v>5000</v>
      </c>
      <c r="E11" s="341">
        <f t="shared" si="13"/>
        <v>28</v>
      </c>
      <c r="F11" s="341">
        <f t="shared" si="13"/>
        <v>13</v>
      </c>
      <c r="G11" s="341">
        <f t="shared" si="13"/>
        <v>0.8</v>
      </c>
      <c r="H11" s="341">
        <f t="shared" si="13"/>
        <v>8</v>
      </c>
      <c r="I11" s="342">
        <f t="shared" si="0"/>
        <v>0.66206896551724137</v>
      </c>
      <c r="J11" s="342">
        <f t="shared" si="1"/>
        <v>6.6206896551724137</v>
      </c>
      <c r="K11" s="343">
        <f t="shared" si="2"/>
        <v>40.83561429771477</v>
      </c>
      <c r="L11" s="380">
        <v>0</v>
      </c>
      <c r="M11" s="345">
        <f t="shared" si="3"/>
        <v>-0.51944827586206932</v>
      </c>
      <c r="N11" s="381">
        <f t="shared" si="4"/>
        <v>41.355062573576838</v>
      </c>
      <c r="O11" s="381">
        <v>48.7575</v>
      </c>
      <c r="P11" s="382">
        <f t="shared" si="5"/>
        <v>7.4024374264231625</v>
      </c>
      <c r="Q11" s="383">
        <f t="shared" si="6"/>
        <v>47.670207750000003</v>
      </c>
      <c r="R11" s="384">
        <f t="shared" si="7"/>
        <v>6.3151451764231652</v>
      </c>
      <c r="S11" s="378">
        <v>71.774999999999991</v>
      </c>
      <c r="T11" s="385">
        <f t="shared" si="8"/>
        <v>42.287437499999996</v>
      </c>
      <c r="U11" s="386">
        <f t="shared" si="9"/>
        <v>0.932374926423158</v>
      </c>
      <c r="V11" s="385">
        <f t="shared" si="10"/>
        <v>45.522468750000002</v>
      </c>
      <c r="W11" s="385">
        <f t="shared" si="11"/>
        <v>69.022468750000002</v>
      </c>
      <c r="X11" s="387">
        <f t="shared" si="12"/>
        <v>4.1674061764231638</v>
      </c>
      <c r="Y11" s="357"/>
      <c r="Z11" s="357"/>
    </row>
    <row r="12" spans="1:26" ht="16" x14ac:dyDescent="0.4">
      <c r="A12" s="377" t="s">
        <v>201</v>
      </c>
      <c r="B12" s="378">
        <v>67.760000000000005</v>
      </c>
      <c r="C12" s="378">
        <v>67.844999999999999</v>
      </c>
      <c r="D12" s="341">
        <f t="shared" ref="D12:H12" si="14">D11</f>
        <v>5000</v>
      </c>
      <c r="E12" s="341">
        <f t="shared" si="14"/>
        <v>28</v>
      </c>
      <c r="F12" s="341">
        <f t="shared" si="14"/>
        <v>13</v>
      </c>
      <c r="G12" s="341">
        <f t="shared" si="14"/>
        <v>0.8</v>
      </c>
      <c r="H12" s="341">
        <f t="shared" si="14"/>
        <v>8</v>
      </c>
      <c r="I12" s="342">
        <f t="shared" si="0"/>
        <v>0.66206896551724137</v>
      </c>
      <c r="J12" s="342">
        <f t="shared" si="1"/>
        <v>6.6206896551724137</v>
      </c>
      <c r="K12" s="343">
        <f t="shared" si="2"/>
        <v>43.976815397538978</v>
      </c>
      <c r="L12" s="380">
        <v>0</v>
      </c>
      <c r="M12" s="345">
        <f t="shared" si="3"/>
        <v>-0.51944827586206932</v>
      </c>
      <c r="N12" s="381">
        <f t="shared" si="4"/>
        <v>44.496263673401046</v>
      </c>
      <c r="O12" s="381">
        <v>48.43</v>
      </c>
      <c r="P12" s="382">
        <f t="shared" si="5"/>
        <v>3.9337363265989538</v>
      </c>
      <c r="Q12" s="383">
        <f t="shared" si="6"/>
        <v>47.350011000000002</v>
      </c>
      <c r="R12" s="384">
        <f t="shared" si="7"/>
        <v>2.8537473265989561</v>
      </c>
      <c r="S12" s="378">
        <v>62.87</v>
      </c>
      <c r="T12" s="385">
        <f t="shared" si="8"/>
        <v>37.040908333333334</v>
      </c>
      <c r="U12" s="386">
        <f t="shared" si="9"/>
        <v>-7.4553553400677117</v>
      </c>
      <c r="V12" s="385">
        <f t="shared" si="10"/>
        <v>42.735454166666671</v>
      </c>
      <c r="W12" s="385">
        <f t="shared" si="11"/>
        <v>66.235454166666671</v>
      </c>
      <c r="X12" s="387">
        <f t="shared" si="12"/>
        <v>-1.7608095067343754</v>
      </c>
      <c r="Y12" s="357"/>
      <c r="Z12" s="357"/>
    </row>
    <row r="13" spans="1:26" ht="16" x14ac:dyDescent="0.4">
      <c r="A13" s="377" t="s">
        <v>202</v>
      </c>
      <c r="B13" s="378">
        <v>64.48</v>
      </c>
      <c r="C13" s="378">
        <v>64.257500000000007</v>
      </c>
      <c r="D13" s="341">
        <f t="shared" ref="D13:H13" si="15">D12</f>
        <v>5000</v>
      </c>
      <c r="E13" s="341">
        <f t="shared" si="15"/>
        <v>28</v>
      </c>
      <c r="F13" s="341">
        <f t="shared" si="15"/>
        <v>13</v>
      </c>
      <c r="G13" s="341">
        <f t="shared" si="15"/>
        <v>0.8</v>
      </c>
      <c r="H13" s="341">
        <f t="shared" si="15"/>
        <v>8</v>
      </c>
      <c r="I13" s="342">
        <f t="shared" si="0"/>
        <v>0.66206896551724137</v>
      </c>
      <c r="J13" s="342">
        <f t="shared" si="1"/>
        <v>6.6206896551724137</v>
      </c>
      <c r="K13" s="343">
        <f t="shared" si="2"/>
        <v>41.848067544765541</v>
      </c>
      <c r="L13" s="380">
        <v>0</v>
      </c>
      <c r="M13" s="345">
        <f t="shared" si="3"/>
        <v>-0.51944827586206932</v>
      </c>
      <c r="N13" s="381">
        <f t="shared" si="4"/>
        <v>42.367515820627609</v>
      </c>
      <c r="O13" s="381">
        <v>47.45</v>
      </c>
      <c r="P13" s="382">
        <f t="shared" si="5"/>
        <v>5.0824841793723934</v>
      </c>
      <c r="Q13" s="383">
        <f t="shared" si="6"/>
        <v>46.391865000000003</v>
      </c>
      <c r="R13" s="384">
        <f t="shared" si="7"/>
        <v>4.0243491793723933</v>
      </c>
      <c r="S13" s="378">
        <v>58.547499999999999</v>
      </c>
      <c r="T13" s="385">
        <f t="shared" si="8"/>
        <v>34.494235416666662</v>
      </c>
      <c r="U13" s="386">
        <f t="shared" si="9"/>
        <v>-7.8732804039609476</v>
      </c>
      <c r="V13" s="385">
        <f t="shared" si="10"/>
        <v>40.972117708333329</v>
      </c>
      <c r="W13" s="385">
        <f t="shared" si="11"/>
        <v>64.472117708333329</v>
      </c>
      <c r="X13" s="387">
        <f t="shared" si="12"/>
        <v>-1.3953981122942807</v>
      </c>
      <c r="Y13" s="357"/>
      <c r="Z13" s="357"/>
    </row>
    <row r="14" spans="1:26" ht="16" x14ac:dyDescent="0.4">
      <c r="A14" s="377" t="s">
        <v>203</v>
      </c>
      <c r="B14" s="378">
        <v>61.08</v>
      </c>
      <c r="C14" s="378">
        <v>63.125999999999998</v>
      </c>
      <c r="D14" s="341">
        <f t="shared" ref="D14:H14" si="16">D13</f>
        <v>5000</v>
      </c>
      <c r="E14" s="341">
        <f t="shared" si="16"/>
        <v>28</v>
      </c>
      <c r="F14" s="341">
        <f t="shared" si="16"/>
        <v>13</v>
      </c>
      <c r="G14" s="341">
        <f t="shared" si="16"/>
        <v>0.8</v>
      </c>
      <c r="H14" s="341">
        <f t="shared" si="16"/>
        <v>8</v>
      </c>
      <c r="I14" s="342">
        <f t="shared" si="0"/>
        <v>0.66206896551724137</v>
      </c>
      <c r="J14" s="342">
        <f t="shared" si="1"/>
        <v>6.6206896551724137</v>
      </c>
      <c r="K14" s="343">
        <f t="shared" si="2"/>
        <v>39.641438672988201</v>
      </c>
      <c r="L14" s="380">
        <v>0</v>
      </c>
      <c r="M14" s="345">
        <f t="shared" si="3"/>
        <v>-0.51944827586206932</v>
      </c>
      <c r="N14" s="381">
        <f t="shared" si="4"/>
        <v>40.160886948850269</v>
      </c>
      <c r="O14" s="381">
        <v>45.694000000000003</v>
      </c>
      <c r="P14" s="382">
        <f t="shared" si="5"/>
        <v>5.5331130511497335</v>
      </c>
      <c r="Q14" s="383">
        <f t="shared" si="6"/>
        <v>44.675023800000005</v>
      </c>
      <c r="R14" s="384">
        <f t="shared" si="7"/>
        <v>4.5141368511497362</v>
      </c>
      <c r="S14" s="378">
        <v>60.065999999999995</v>
      </c>
      <c r="T14" s="385">
        <f t="shared" si="8"/>
        <v>35.388884999999995</v>
      </c>
      <c r="U14" s="386">
        <f t="shared" si="9"/>
        <v>-4.7720019488502743</v>
      </c>
      <c r="V14" s="385">
        <f t="shared" si="10"/>
        <v>40.541442500000002</v>
      </c>
      <c r="W14" s="385">
        <f t="shared" si="11"/>
        <v>64.041442500000002</v>
      </c>
      <c r="X14" s="387">
        <f t="shared" si="12"/>
        <v>0.38055555114973316</v>
      </c>
      <c r="Y14" s="357"/>
      <c r="Z14" s="357"/>
    </row>
    <row r="15" spans="1:26" ht="16" x14ac:dyDescent="0.4">
      <c r="A15" s="377" t="s">
        <v>204</v>
      </c>
      <c r="B15" s="378">
        <v>59.59</v>
      </c>
      <c r="C15" s="378">
        <v>62.135000000000005</v>
      </c>
      <c r="D15" s="341">
        <f t="shared" ref="D15:H15" si="17">D14</f>
        <v>5000</v>
      </c>
      <c r="E15" s="341">
        <f t="shared" si="17"/>
        <v>28</v>
      </c>
      <c r="F15" s="341">
        <f t="shared" si="17"/>
        <v>13</v>
      </c>
      <c r="G15" s="341">
        <f t="shared" si="17"/>
        <v>0.8</v>
      </c>
      <c r="H15" s="341">
        <f t="shared" si="17"/>
        <v>8</v>
      </c>
      <c r="I15" s="342">
        <f t="shared" si="0"/>
        <v>0.66206896551724137</v>
      </c>
      <c r="J15" s="342">
        <f t="shared" si="1"/>
        <v>6.6206896551724137</v>
      </c>
      <c r="K15" s="343">
        <f t="shared" si="2"/>
        <v>38.674416020356375</v>
      </c>
      <c r="L15" s="380">
        <v>0</v>
      </c>
      <c r="M15" s="345">
        <f t="shared" si="3"/>
        <v>-0.51944827586206932</v>
      </c>
      <c r="N15" s="381">
        <f t="shared" si="4"/>
        <v>39.193864296218443</v>
      </c>
      <c r="O15" s="381">
        <v>43.332500000000003</v>
      </c>
      <c r="P15" s="382">
        <f t="shared" si="5"/>
        <v>4.13863570378156</v>
      </c>
      <c r="Q15" s="383">
        <f t="shared" si="6"/>
        <v>42.366185250000001</v>
      </c>
      <c r="R15" s="384">
        <f t="shared" si="7"/>
        <v>3.1723209537815578</v>
      </c>
      <c r="S15" s="378">
        <v>60.097500000000004</v>
      </c>
      <c r="T15" s="385">
        <f t="shared" si="8"/>
        <v>35.407443749999999</v>
      </c>
      <c r="U15" s="386">
        <f t="shared" si="9"/>
        <v>-3.7864205462184444</v>
      </c>
      <c r="V15" s="385">
        <f t="shared" si="10"/>
        <v>39.369971875000005</v>
      </c>
      <c r="W15" s="385">
        <f t="shared" si="11"/>
        <v>62.869971875000005</v>
      </c>
      <c r="X15" s="387">
        <f t="shared" si="12"/>
        <v>0.17610757878156136</v>
      </c>
      <c r="Y15" s="357"/>
      <c r="Z15" s="357"/>
    </row>
    <row r="16" spans="1:26" ht="16" x14ac:dyDescent="0.4">
      <c r="A16" s="377" t="s">
        <v>205</v>
      </c>
      <c r="B16" s="378">
        <v>59.19</v>
      </c>
      <c r="C16" s="378">
        <v>61.262</v>
      </c>
      <c r="D16" s="341">
        <f t="shared" ref="D16:H16" si="18">D15</f>
        <v>5000</v>
      </c>
      <c r="E16" s="341">
        <f t="shared" si="18"/>
        <v>28</v>
      </c>
      <c r="F16" s="341">
        <f t="shared" si="18"/>
        <v>13</v>
      </c>
      <c r="G16" s="341">
        <f t="shared" si="18"/>
        <v>0.8</v>
      </c>
      <c r="H16" s="341">
        <f t="shared" si="18"/>
        <v>8</v>
      </c>
      <c r="I16" s="342">
        <f t="shared" si="0"/>
        <v>0.66206896551724137</v>
      </c>
      <c r="J16" s="342">
        <f t="shared" si="1"/>
        <v>6.6206896551724137</v>
      </c>
      <c r="K16" s="343">
        <f t="shared" si="2"/>
        <v>38.414812623676681</v>
      </c>
      <c r="L16" s="380">
        <v>0</v>
      </c>
      <c r="M16" s="345">
        <f t="shared" si="3"/>
        <v>-0.51944827586206932</v>
      </c>
      <c r="N16" s="381">
        <f t="shared" si="4"/>
        <v>38.934260899538749</v>
      </c>
      <c r="O16" s="381">
        <v>41.81</v>
      </c>
      <c r="P16" s="382">
        <f t="shared" si="5"/>
        <v>2.8757391004612529</v>
      </c>
      <c r="Q16" s="383">
        <f t="shared" si="6"/>
        <v>40.877637</v>
      </c>
      <c r="R16" s="384">
        <f t="shared" si="7"/>
        <v>1.9433761004612506</v>
      </c>
      <c r="S16" s="378">
        <v>60.346000000000004</v>
      </c>
      <c r="T16" s="385">
        <f t="shared" si="8"/>
        <v>35.553851666666667</v>
      </c>
      <c r="U16" s="386">
        <f t="shared" si="9"/>
        <v>-3.3804092328720827</v>
      </c>
      <c r="V16" s="385">
        <f t="shared" si="10"/>
        <v>38.681925833333338</v>
      </c>
      <c r="W16" s="385">
        <f t="shared" si="11"/>
        <v>62.181925833333338</v>
      </c>
      <c r="X16" s="387">
        <f t="shared" si="12"/>
        <v>-0.25233506620541135</v>
      </c>
      <c r="Y16" s="357"/>
      <c r="Z16" s="357"/>
    </row>
    <row r="17" spans="1:26" ht="16" x14ac:dyDescent="0.4">
      <c r="A17" s="377" t="s">
        <v>206</v>
      </c>
      <c r="B17" s="378">
        <v>59.14</v>
      </c>
      <c r="C17" s="378">
        <v>60.592500000000001</v>
      </c>
      <c r="D17" s="341">
        <f t="shared" ref="D17:H17" si="19">D16</f>
        <v>5000</v>
      </c>
      <c r="E17" s="341">
        <f t="shared" si="19"/>
        <v>28</v>
      </c>
      <c r="F17" s="341">
        <f t="shared" si="19"/>
        <v>13</v>
      </c>
      <c r="G17" s="341">
        <f t="shared" si="19"/>
        <v>0.8</v>
      </c>
      <c r="H17" s="341">
        <f t="shared" si="19"/>
        <v>8</v>
      </c>
      <c r="I17" s="342">
        <f t="shared" si="0"/>
        <v>0.66206896551724137</v>
      </c>
      <c r="J17" s="342">
        <f t="shared" si="1"/>
        <v>6.6206896551724137</v>
      </c>
      <c r="K17" s="343">
        <f t="shared" si="2"/>
        <v>38.382362199091723</v>
      </c>
      <c r="L17" s="380">
        <v>0</v>
      </c>
      <c r="M17" s="345">
        <f t="shared" si="3"/>
        <v>-0.51944827586206932</v>
      </c>
      <c r="N17" s="381">
        <f t="shared" si="4"/>
        <v>38.901810474953791</v>
      </c>
      <c r="O17" s="381">
        <v>41.195</v>
      </c>
      <c r="P17" s="382">
        <f t="shared" si="5"/>
        <v>2.2931895250462091</v>
      </c>
      <c r="Q17" s="383">
        <f t="shared" si="6"/>
        <v>40.276351500000004</v>
      </c>
      <c r="R17" s="384">
        <f t="shared" si="7"/>
        <v>1.3745410250462129</v>
      </c>
      <c r="S17" s="378">
        <v>58.602499999999999</v>
      </c>
      <c r="T17" s="385">
        <f t="shared" si="8"/>
        <v>34.526639583333335</v>
      </c>
      <c r="U17" s="386">
        <f t="shared" si="9"/>
        <v>-4.3751708916204564</v>
      </c>
      <c r="V17" s="385">
        <f t="shared" si="10"/>
        <v>37.860819791666671</v>
      </c>
      <c r="W17" s="385">
        <f t="shared" si="11"/>
        <v>61.360819791666671</v>
      </c>
      <c r="X17" s="387">
        <f t="shared" si="12"/>
        <v>-1.0409906832871201</v>
      </c>
      <c r="Y17" s="357"/>
      <c r="Z17" s="357"/>
    </row>
    <row r="18" spans="1:26" ht="16" x14ac:dyDescent="0.4">
      <c r="A18" s="377" t="s">
        <v>207</v>
      </c>
      <c r="B18" s="378">
        <v>58.21</v>
      </c>
      <c r="C18" s="378">
        <v>60.902500000000003</v>
      </c>
      <c r="D18" s="341">
        <f t="shared" ref="D18:H18" si="20">D17</f>
        <v>5000</v>
      </c>
      <c r="E18" s="341">
        <f t="shared" si="20"/>
        <v>28</v>
      </c>
      <c r="F18" s="341">
        <f t="shared" si="20"/>
        <v>13</v>
      </c>
      <c r="G18" s="341">
        <f t="shared" si="20"/>
        <v>0.8</v>
      </c>
      <c r="H18" s="341">
        <f t="shared" si="20"/>
        <v>8</v>
      </c>
      <c r="I18" s="342">
        <f t="shared" si="0"/>
        <v>0.66206896551724137</v>
      </c>
      <c r="J18" s="342">
        <f t="shared" si="1"/>
        <v>6.6206896551724137</v>
      </c>
      <c r="K18" s="343">
        <f t="shared" si="2"/>
        <v>37.778784301811449</v>
      </c>
      <c r="L18" s="380">
        <v>0</v>
      </c>
      <c r="M18" s="345">
        <f t="shared" si="3"/>
        <v>-0.51944827586206932</v>
      </c>
      <c r="N18" s="381">
        <f t="shared" si="4"/>
        <v>38.298232577673517</v>
      </c>
      <c r="O18" s="381">
        <v>40.917499999999997</v>
      </c>
      <c r="P18" s="382">
        <f t="shared" si="5"/>
        <v>2.6192674223264802</v>
      </c>
      <c r="Q18" s="383">
        <f t="shared" si="6"/>
        <v>40.005039749999995</v>
      </c>
      <c r="R18" s="384">
        <f t="shared" si="7"/>
        <v>1.7068071723264779</v>
      </c>
      <c r="S18" s="378">
        <v>57.585000000000001</v>
      </c>
      <c r="T18" s="385">
        <f t="shared" si="8"/>
        <v>33.927162499999994</v>
      </c>
      <c r="U18" s="386">
        <f t="shared" si="9"/>
        <v>-4.3710700776735223</v>
      </c>
      <c r="V18" s="385">
        <f t="shared" si="10"/>
        <v>37.422331249999999</v>
      </c>
      <c r="W18" s="385">
        <f t="shared" si="11"/>
        <v>60.922331249999999</v>
      </c>
      <c r="X18" s="387">
        <f t="shared" si="12"/>
        <v>-0.87590132767351747</v>
      </c>
      <c r="Y18" s="357"/>
      <c r="Z18" s="357"/>
    </row>
    <row r="19" spans="1:26" ht="16" x14ac:dyDescent="0.4">
      <c r="A19" s="377" t="s">
        <v>208</v>
      </c>
      <c r="B19" s="378">
        <v>57.39</v>
      </c>
      <c r="C19" s="378">
        <v>60.177999999999997</v>
      </c>
      <c r="D19" s="341">
        <f t="shared" ref="D19:H19" si="21">D18</f>
        <v>5000</v>
      </c>
      <c r="E19" s="341">
        <f t="shared" si="21"/>
        <v>28</v>
      </c>
      <c r="F19" s="341">
        <f t="shared" si="21"/>
        <v>13</v>
      </c>
      <c r="G19" s="341">
        <f t="shared" si="21"/>
        <v>0.8</v>
      </c>
      <c r="H19" s="341">
        <f t="shared" si="21"/>
        <v>8</v>
      </c>
      <c r="I19" s="342">
        <f t="shared" si="0"/>
        <v>0.66206896551724137</v>
      </c>
      <c r="J19" s="342">
        <f t="shared" si="1"/>
        <v>6.6206896551724137</v>
      </c>
      <c r="K19" s="343">
        <f t="shared" si="2"/>
        <v>37.246597338618088</v>
      </c>
      <c r="L19" s="380">
        <v>0</v>
      </c>
      <c r="M19" s="345">
        <f t="shared" si="3"/>
        <v>-0.51944827586206932</v>
      </c>
      <c r="N19" s="381">
        <f t="shared" si="4"/>
        <v>37.766045614480156</v>
      </c>
      <c r="O19" s="381">
        <v>39.32</v>
      </c>
      <c r="P19" s="382">
        <f t="shared" si="5"/>
        <v>1.5539543855198445</v>
      </c>
      <c r="Q19" s="383">
        <f t="shared" si="6"/>
        <v>38.443164000000003</v>
      </c>
      <c r="R19" s="384">
        <f t="shared" si="7"/>
        <v>0.67711838551984727</v>
      </c>
      <c r="S19" s="378">
        <v>52.972000000000001</v>
      </c>
      <c r="T19" s="385">
        <f t="shared" si="8"/>
        <v>31.209336666666662</v>
      </c>
      <c r="U19" s="386">
        <f t="shared" si="9"/>
        <v>-6.5567089478134939</v>
      </c>
      <c r="V19" s="385">
        <f t="shared" si="10"/>
        <v>35.264668333333333</v>
      </c>
      <c r="W19" s="385">
        <f t="shared" si="11"/>
        <v>58.764668333333333</v>
      </c>
      <c r="X19" s="387">
        <f t="shared" si="12"/>
        <v>-2.5013772811468229</v>
      </c>
      <c r="Y19" s="357"/>
      <c r="Z19" s="357"/>
    </row>
    <row r="20" spans="1:26" ht="16" x14ac:dyDescent="0.4">
      <c r="A20" s="377" t="s">
        <v>209</v>
      </c>
      <c r="B20" s="378">
        <v>54.43</v>
      </c>
      <c r="C20" s="378">
        <v>59.220000000000006</v>
      </c>
      <c r="D20" s="341">
        <f t="shared" ref="D20:H20" si="22">D19</f>
        <v>5000</v>
      </c>
      <c r="E20" s="341">
        <f t="shared" si="22"/>
        <v>28</v>
      </c>
      <c r="F20" s="341">
        <f t="shared" si="22"/>
        <v>13</v>
      </c>
      <c r="G20" s="341">
        <f t="shared" si="22"/>
        <v>0.8</v>
      </c>
      <c r="H20" s="341">
        <f t="shared" si="22"/>
        <v>8</v>
      </c>
      <c r="I20" s="342">
        <f t="shared" si="0"/>
        <v>0.66206896551724137</v>
      </c>
      <c r="J20" s="342">
        <f t="shared" si="1"/>
        <v>6.6206896551724137</v>
      </c>
      <c r="K20" s="343">
        <f t="shared" si="2"/>
        <v>35.325532203188409</v>
      </c>
      <c r="L20" s="380">
        <v>0</v>
      </c>
      <c r="M20" s="345">
        <f t="shared" si="3"/>
        <v>-0.51944827586206932</v>
      </c>
      <c r="N20" s="381">
        <f t="shared" si="4"/>
        <v>35.844980479050477</v>
      </c>
      <c r="O20" s="381">
        <v>38.327500000000001</v>
      </c>
      <c r="P20" s="382">
        <f t="shared" si="5"/>
        <v>2.4825195209495234</v>
      </c>
      <c r="Q20" s="383">
        <f t="shared" si="6"/>
        <v>37.472796750000001</v>
      </c>
      <c r="R20" s="384">
        <f t="shared" si="7"/>
        <v>1.6278162709495234</v>
      </c>
      <c r="S20" s="378">
        <v>52.7575</v>
      </c>
      <c r="T20" s="385">
        <f t="shared" si="8"/>
        <v>31.082960416666662</v>
      </c>
      <c r="U20" s="386">
        <f t="shared" si="9"/>
        <v>-4.7620200623838151</v>
      </c>
      <c r="V20" s="385">
        <f t="shared" si="10"/>
        <v>34.705230208333333</v>
      </c>
      <c r="W20" s="385">
        <f t="shared" si="11"/>
        <v>58.205230208333333</v>
      </c>
      <c r="X20" s="387">
        <f t="shared" si="12"/>
        <v>-1.1397502707171441</v>
      </c>
      <c r="Y20" s="357"/>
      <c r="Z20" s="357"/>
    </row>
    <row r="21" spans="1:26" ht="15.75" customHeight="1" x14ac:dyDescent="0.4">
      <c r="A21" s="377" t="s">
        <v>210</v>
      </c>
      <c r="B21" s="378">
        <v>53.51</v>
      </c>
      <c r="C21" s="378">
        <v>58.7</v>
      </c>
      <c r="D21" s="341">
        <f t="shared" ref="D21:H21" si="23">D20</f>
        <v>5000</v>
      </c>
      <c r="E21" s="341">
        <f t="shared" si="23"/>
        <v>28</v>
      </c>
      <c r="F21" s="341">
        <f t="shared" si="23"/>
        <v>13</v>
      </c>
      <c r="G21" s="341">
        <f t="shared" si="23"/>
        <v>0.8</v>
      </c>
      <c r="H21" s="341">
        <f t="shared" si="23"/>
        <v>8</v>
      </c>
      <c r="I21" s="342">
        <f t="shared" si="0"/>
        <v>0.66206896551724137</v>
      </c>
      <c r="J21" s="342">
        <f t="shared" si="1"/>
        <v>6.6206896551724137</v>
      </c>
      <c r="K21" s="343">
        <f t="shared" si="2"/>
        <v>34.728444390825125</v>
      </c>
      <c r="L21" s="380">
        <v>0</v>
      </c>
      <c r="M21" s="345">
        <f t="shared" si="3"/>
        <v>-0.51944827586206932</v>
      </c>
      <c r="N21" s="381">
        <f t="shared" si="4"/>
        <v>35.247892666687193</v>
      </c>
      <c r="O21" s="381">
        <v>38.335000000000001</v>
      </c>
      <c r="P21" s="382">
        <f t="shared" si="5"/>
        <v>3.0871073333128081</v>
      </c>
      <c r="Q21" s="383">
        <f t="shared" si="6"/>
        <v>37.480129500000004</v>
      </c>
      <c r="R21" s="384">
        <f t="shared" si="7"/>
        <v>2.2322368333128111</v>
      </c>
      <c r="S21" s="378">
        <v>51.957499999999996</v>
      </c>
      <c r="T21" s="385">
        <f t="shared" si="8"/>
        <v>30.611627083333325</v>
      </c>
      <c r="U21" s="386">
        <f t="shared" si="9"/>
        <v>-4.6362655833538682</v>
      </c>
      <c r="V21" s="385">
        <f t="shared" si="10"/>
        <v>34.473313541666663</v>
      </c>
      <c r="W21" s="385">
        <f t="shared" si="11"/>
        <v>57.973313541666663</v>
      </c>
      <c r="X21" s="387">
        <f t="shared" si="12"/>
        <v>-0.77457912502053006</v>
      </c>
      <c r="Y21" s="357"/>
      <c r="Z21" s="357"/>
    </row>
    <row r="22" spans="1:26" ht="15.75" customHeight="1" x14ac:dyDescent="0.4">
      <c r="A22" s="377" t="s">
        <v>211</v>
      </c>
      <c r="B22" s="378">
        <v>53.2</v>
      </c>
      <c r="C22" s="378">
        <v>57.955999999999996</v>
      </c>
      <c r="D22" s="341">
        <f t="shared" ref="D22:H22" si="24">D21</f>
        <v>5000</v>
      </c>
      <c r="E22" s="341">
        <f t="shared" si="24"/>
        <v>28</v>
      </c>
      <c r="F22" s="341">
        <f t="shared" si="24"/>
        <v>13</v>
      </c>
      <c r="G22" s="341">
        <f t="shared" si="24"/>
        <v>0.8</v>
      </c>
      <c r="H22" s="341">
        <f t="shared" si="24"/>
        <v>8</v>
      </c>
      <c r="I22" s="342">
        <f t="shared" si="0"/>
        <v>0.66206896551724137</v>
      </c>
      <c r="J22" s="342">
        <f t="shared" si="1"/>
        <v>6.6206896551724137</v>
      </c>
      <c r="K22" s="343">
        <f t="shared" si="2"/>
        <v>34.527251758398371</v>
      </c>
      <c r="L22" s="380">
        <v>0</v>
      </c>
      <c r="M22" s="345">
        <f t="shared" si="3"/>
        <v>-0.51944827586206932</v>
      </c>
      <c r="N22" s="381">
        <f t="shared" si="4"/>
        <v>35.046700034260439</v>
      </c>
      <c r="O22" s="381">
        <v>37.786000000000001</v>
      </c>
      <c r="P22" s="382">
        <f t="shared" si="5"/>
        <v>2.739299965739562</v>
      </c>
      <c r="Q22" s="383">
        <f t="shared" si="6"/>
        <v>36.943372199999999</v>
      </c>
      <c r="R22" s="384">
        <f t="shared" si="7"/>
        <v>1.8966721657395595</v>
      </c>
      <c r="S22" s="378">
        <v>48.802</v>
      </c>
      <c r="T22" s="385">
        <f t="shared" si="8"/>
        <v>28.752511666666667</v>
      </c>
      <c r="U22" s="386">
        <f t="shared" si="9"/>
        <v>-6.2941883675937724</v>
      </c>
      <c r="V22" s="385">
        <f t="shared" si="10"/>
        <v>33.269255833333332</v>
      </c>
      <c r="W22" s="385">
        <f t="shared" si="11"/>
        <v>56.769255833333332</v>
      </c>
      <c r="X22" s="387">
        <f t="shared" si="12"/>
        <v>-1.777444200927107</v>
      </c>
      <c r="Y22" s="357"/>
      <c r="Z22" s="357"/>
    </row>
    <row r="23" spans="1:26" ht="15.75" customHeight="1" x14ac:dyDescent="0.4">
      <c r="A23" s="377" t="s">
        <v>212</v>
      </c>
      <c r="B23" s="378">
        <v>50.92</v>
      </c>
      <c r="C23" s="378">
        <v>57.322499999999998</v>
      </c>
      <c r="D23" s="341">
        <f t="shared" ref="D23:H23" si="25">D22</f>
        <v>5000</v>
      </c>
      <c r="E23" s="341">
        <f t="shared" si="25"/>
        <v>28</v>
      </c>
      <c r="F23" s="341">
        <f t="shared" si="25"/>
        <v>13</v>
      </c>
      <c r="G23" s="341">
        <f t="shared" si="25"/>
        <v>0.8</v>
      </c>
      <c r="H23" s="341">
        <f t="shared" si="25"/>
        <v>8</v>
      </c>
      <c r="I23" s="342">
        <f t="shared" si="0"/>
        <v>0.66206896551724137</v>
      </c>
      <c r="J23" s="342">
        <f t="shared" si="1"/>
        <v>6.6206896551724137</v>
      </c>
      <c r="K23" s="343">
        <f t="shared" si="2"/>
        <v>33.047512397324155</v>
      </c>
      <c r="L23" s="380">
        <v>0</v>
      </c>
      <c r="M23" s="345">
        <f t="shared" si="3"/>
        <v>-0.51944827586206932</v>
      </c>
      <c r="N23" s="381">
        <f t="shared" si="4"/>
        <v>33.566960673186223</v>
      </c>
      <c r="O23" s="381">
        <v>37.61</v>
      </c>
      <c r="P23" s="382">
        <f t="shared" si="5"/>
        <v>4.0430393268137763</v>
      </c>
      <c r="Q23" s="383">
        <f t="shared" si="6"/>
        <v>36.771296999999997</v>
      </c>
      <c r="R23" s="384">
        <f t="shared" si="7"/>
        <v>3.2043363268137739</v>
      </c>
      <c r="S23" s="378">
        <v>50.3825</v>
      </c>
      <c r="T23" s="385">
        <f t="shared" si="8"/>
        <v>29.683689583333329</v>
      </c>
      <c r="U23" s="386">
        <f t="shared" si="9"/>
        <v>-3.8832710898528937</v>
      </c>
      <c r="V23" s="385">
        <f t="shared" si="10"/>
        <v>33.646844791666666</v>
      </c>
      <c r="W23" s="385">
        <f t="shared" si="11"/>
        <v>57.146844791666666</v>
      </c>
      <c r="X23" s="387">
        <f t="shared" si="12"/>
        <v>7.9884118480443078E-2</v>
      </c>
      <c r="Y23" s="357"/>
      <c r="Z23" s="357"/>
    </row>
    <row r="24" spans="1:26" ht="15.75" customHeight="1" x14ac:dyDescent="0.4">
      <c r="A24" s="377" t="s">
        <v>213</v>
      </c>
      <c r="B24" s="378">
        <v>51.62</v>
      </c>
      <c r="C24" s="378">
        <v>57.212499999999999</v>
      </c>
      <c r="D24" s="341">
        <f t="shared" ref="D24:H24" si="26">D23</f>
        <v>5000</v>
      </c>
      <c r="E24" s="341">
        <f t="shared" si="26"/>
        <v>28</v>
      </c>
      <c r="F24" s="341">
        <f t="shared" si="26"/>
        <v>13</v>
      </c>
      <c r="G24" s="341">
        <f t="shared" si="26"/>
        <v>0.8</v>
      </c>
      <c r="H24" s="341">
        <f t="shared" si="26"/>
        <v>8</v>
      </c>
      <c r="I24" s="342">
        <f t="shared" si="0"/>
        <v>0.66206896551724137</v>
      </c>
      <c r="J24" s="342">
        <f t="shared" si="1"/>
        <v>6.6206896551724137</v>
      </c>
      <c r="K24" s="343">
        <f t="shared" si="2"/>
        <v>33.501818341513605</v>
      </c>
      <c r="L24" s="380">
        <v>0</v>
      </c>
      <c r="M24" s="345">
        <f t="shared" si="3"/>
        <v>-0.51944827586206932</v>
      </c>
      <c r="N24" s="381">
        <f t="shared" si="4"/>
        <v>34.021266617375673</v>
      </c>
      <c r="O24" s="381">
        <v>37.997500000000002</v>
      </c>
      <c r="P24" s="382">
        <f t="shared" si="5"/>
        <v>3.9762333826243292</v>
      </c>
      <c r="Q24" s="383">
        <f t="shared" si="6"/>
        <v>37.150155750000003</v>
      </c>
      <c r="R24" s="384">
        <f t="shared" si="7"/>
        <v>3.1288891326243302</v>
      </c>
      <c r="S24" s="378">
        <v>52.207500000000003</v>
      </c>
      <c r="T24" s="385">
        <f t="shared" si="8"/>
        <v>30.758918749999999</v>
      </c>
      <c r="U24" s="386">
        <f t="shared" si="9"/>
        <v>-3.2623478673756736</v>
      </c>
      <c r="V24" s="385">
        <f t="shared" si="10"/>
        <v>34.378209374999997</v>
      </c>
      <c r="W24" s="385">
        <f t="shared" si="11"/>
        <v>57.878209374999997</v>
      </c>
      <c r="X24" s="387">
        <f t="shared" si="12"/>
        <v>0.35694275762432426</v>
      </c>
      <c r="Y24" s="357"/>
      <c r="Z24" s="357"/>
    </row>
    <row r="25" spans="1:26" ht="15.75" customHeight="1" x14ac:dyDescent="0.4">
      <c r="A25" s="377" t="s">
        <v>214</v>
      </c>
      <c r="B25" s="378">
        <v>52.32</v>
      </c>
      <c r="C25" s="378">
        <v>56.788000000000011</v>
      </c>
      <c r="D25" s="341">
        <f t="shared" ref="D25:H25" si="27">D24</f>
        <v>5000</v>
      </c>
      <c r="E25" s="341">
        <f t="shared" si="27"/>
        <v>28</v>
      </c>
      <c r="F25" s="341">
        <f t="shared" si="27"/>
        <v>13</v>
      </c>
      <c r="G25" s="341">
        <f t="shared" si="27"/>
        <v>0.8</v>
      </c>
      <c r="H25" s="341">
        <f t="shared" si="27"/>
        <v>8</v>
      </c>
      <c r="I25" s="342">
        <f t="shared" si="0"/>
        <v>0.66206896551724137</v>
      </c>
      <c r="J25" s="342">
        <f t="shared" si="1"/>
        <v>6.6206896551724137</v>
      </c>
      <c r="K25" s="343">
        <f t="shared" si="2"/>
        <v>33.956124285703062</v>
      </c>
      <c r="L25" s="380">
        <v>0</v>
      </c>
      <c r="M25" s="345">
        <f t="shared" si="3"/>
        <v>-0.51944827586206932</v>
      </c>
      <c r="N25" s="381">
        <f t="shared" si="4"/>
        <v>34.47557256156513</v>
      </c>
      <c r="O25" s="381">
        <v>38.073999999999998</v>
      </c>
      <c r="P25" s="382">
        <f t="shared" si="5"/>
        <v>3.598427438434868</v>
      </c>
      <c r="Q25" s="383">
        <f t="shared" si="6"/>
        <v>37.224949799999997</v>
      </c>
      <c r="R25" s="384">
        <f t="shared" si="7"/>
        <v>2.7493772384348674</v>
      </c>
      <c r="S25" s="378">
        <v>50.682000000000002</v>
      </c>
      <c r="T25" s="385">
        <f t="shared" si="8"/>
        <v>29.860144999999999</v>
      </c>
      <c r="U25" s="386">
        <f t="shared" si="9"/>
        <v>-4.6154275615651308</v>
      </c>
      <c r="V25" s="385">
        <f t="shared" si="10"/>
        <v>33.9670725</v>
      </c>
      <c r="W25" s="385">
        <f t="shared" si="11"/>
        <v>57.4670725</v>
      </c>
      <c r="X25" s="387">
        <f t="shared" si="12"/>
        <v>-0.50850006156512961</v>
      </c>
      <c r="Y25" s="357"/>
      <c r="Z25" s="357"/>
    </row>
    <row r="26" spans="1:26" ht="15.75" customHeight="1" x14ac:dyDescent="0.4">
      <c r="A26" s="377" t="s">
        <v>215</v>
      </c>
      <c r="B26" s="378">
        <v>51.2</v>
      </c>
      <c r="C26" s="378">
        <v>56.867499999999993</v>
      </c>
      <c r="D26" s="341">
        <f t="shared" ref="D26:H26" si="28">D25</f>
        <v>5000</v>
      </c>
      <c r="E26" s="341">
        <f t="shared" si="28"/>
        <v>28</v>
      </c>
      <c r="F26" s="341">
        <f t="shared" si="28"/>
        <v>13</v>
      </c>
      <c r="G26" s="341">
        <f t="shared" si="28"/>
        <v>0.8</v>
      </c>
      <c r="H26" s="341">
        <f t="shared" si="28"/>
        <v>8</v>
      </c>
      <c r="I26" s="342">
        <f t="shared" si="0"/>
        <v>0.66206896551724137</v>
      </c>
      <c r="J26" s="342">
        <f t="shared" si="1"/>
        <v>6.6206896551724137</v>
      </c>
      <c r="K26" s="343">
        <f t="shared" si="2"/>
        <v>33.229234774999938</v>
      </c>
      <c r="L26" s="380">
        <v>0</v>
      </c>
      <c r="M26" s="345">
        <f t="shared" si="3"/>
        <v>-0.51944827586206932</v>
      </c>
      <c r="N26" s="381">
        <f t="shared" si="4"/>
        <v>33.748683050862006</v>
      </c>
      <c r="O26" s="381">
        <v>38.46</v>
      </c>
      <c r="P26" s="382">
        <f t="shared" si="5"/>
        <v>4.7113169491379949</v>
      </c>
      <c r="Q26" s="383">
        <f t="shared" si="6"/>
        <v>37.602342</v>
      </c>
      <c r="R26" s="384">
        <f t="shared" si="7"/>
        <v>3.8536589491379942</v>
      </c>
      <c r="S26" s="378">
        <v>51.3125</v>
      </c>
      <c r="T26" s="385">
        <f t="shared" si="8"/>
        <v>30.231614583333329</v>
      </c>
      <c r="U26" s="386">
        <f t="shared" si="9"/>
        <v>-3.5170684675286772</v>
      </c>
      <c r="V26" s="385">
        <f t="shared" si="10"/>
        <v>34.345807291666667</v>
      </c>
      <c r="W26" s="385">
        <f t="shared" si="11"/>
        <v>57.845807291666667</v>
      </c>
      <c r="X26" s="387">
        <f t="shared" si="12"/>
        <v>0.59712424080466064</v>
      </c>
      <c r="Y26" s="357"/>
      <c r="Z26" s="357"/>
    </row>
    <row r="27" spans="1:26" ht="15.75" customHeight="1" x14ac:dyDescent="0.4">
      <c r="A27" s="377" t="s">
        <v>216</v>
      </c>
      <c r="B27" s="378">
        <v>51.81</v>
      </c>
      <c r="C27" s="378">
        <v>57.230000000000004</v>
      </c>
      <c r="D27" s="341">
        <f t="shared" ref="D27:H27" si="29">D26</f>
        <v>5000</v>
      </c>
      <c r="E27" s="341">
        <f t="shared" si="29"/>
        <v>28</v>
      </c>
      <c r="F27" s="341">
        <f t="shared" si="29"/>
        <v>13</v>
      </c>
      <c r="G27" s="341">
        <f t="shared" si="29"/>
        <v>0.8</v>
      </c>
      <c r="H27" s="341">
        <f t="shared" si="29"/>
        <v>8</v>
      </c>
      <c r="I27" s="342">
        <f t="shared" si="0"/>
        <v>0.66206896551724137</v>
      </c>
      <c r="J27" s="342">
        <f t="shared" si="1"/>
        <v>6.6206896551724137</v>
      </c>
      <c r="K27" s="343">
        <f t="shared" si="2"/>
        <v>33.625129954936462</v>
      </c>
      <c r="L27" s="380">
        <v>0</v>
      </c>
      <c r="M27" s="345">
        <f t="shared" si="3"/>
        <v>-0.51944827586206932</v>
      </c>
      <c r="N27" s="381">
        <f t="shared" si="4"/>
        <v>34.14457823079853</v>
      </c>
      <c r="O27" s="381">
        <v>39.252499999999998</v>
      </c>
      <c r="P27" s="382">
        <f t="shared" si="5"/>
        <v>5.107921769201468</v>
      </c>
      <c r="Q27" s="383">
        <f t="shared" si="6"/>
        <v>38.377169250000001</v>
      </c>
      <c r="R27" s="384">
        <f t="shared" si="7"/>
        <v>4.2325910192014717</v>
      </c>
      <c r="S27" s="378">
        <v>52.850000000000009</v>
      </c>
      <c r="T27" s="385">
        <f t="shared" si="8"/>
        <v>31.137458333333338</v>
      </c>
      <c r="U27" s="386">
        <f t="shared" si="9"/>
        <v>-3.0071198974651914</v>
      </c>
      <c r="V27" s="385">
        <f t="shared" si="10"/>
        <v>35.19497916666667</v>
      </c>
      <c r="W27" s="385">
        <f t="shared" si="11"/>
        <v>58.69497916666667</v>
      </c>
      <c r="X27" s="387">
        <f t="shared" si="12"/>
        <v>1.0504009358681401</v>
      </c>
      <c r="Y27" s="357"/>
      <c r="Z27" s="357"/>
    </row>
    <row r="28" spans="1:26" ht="15.75" customHeight="1" x14ac:dyDescent="0.4">
      <c r="A28" s="377" t="s">
        <v>217</v>
      </c>
      <c r="B28" s="378">
        <v>53</v>
      </c>
      <c r="C28" s="378">
        <v>58.652000000000001</v>
      </c>
      <c r="D28" s="341">
        <f t="shared" ref="D28:H28" si="30">D27</f>
        <v>5000</v>
      </c>
      <c r="E28" s="341">
        <f t="shared" si="30"/>
        <v>28</v>
      </c>
      <c r="F28" s="341">
        <f t="shared" si="30"/>
        <v>13</v>
      </c>
      <c r="G28" s="341">
        <f t="shared" si="30"/>
        <v>0.8</v>
      </c>
      <c r="H28" s="341">
        <f t="shared" si="30"/>
        <v>8</v>
      </c>
      <c r="I28" s="342">
        <f t="shared" si="0"/>
        <v>0.66206896551724137</v>
      </c>
      <c r="J28" s="342">
        <f t="shared" si="1"/>
        <v>6.6206896551724137</v>
      </c>
      <c r="K28" s="343">
        <f t="shared" si="2"/>
        <v>34.397450060058524</v>
      </c>
      <c r="L28" s="380">
        <v>0</v>
      </c>
      <c r="M28" s="345">
        <f t="shared" si="3"/>
        <v>-0.51944827586206932</v>
      </c>
      <c r="N28" s="381">
        <f t="shared" si="4"/>
        <v>34.916898335920592</v>
      </c>
      <c r="O28" s="381">
        <v>41.344000000000008</v>
      </c>
      <c r="P28" s="382">
        <f t="shared" si="5"/>
        <v>6.4271016640794159</v>
      </c>
      <c r="Q28" s="383">
        <f t="shared" si="6"/>
        <v>40.422028800000007</v>
      </c>
      <c r="R28" s="384">
        <f t="shared" si="7"/>
        <v>5.5051304640794143</v>
      </c>
      <c r="S28" s="378">
        <v>61.239999999999995</v>
      </c>
      <c r="T28" s="385">
        <f t="shared" si="8"/>
        <v>36.080566666666662</v>
      </c>
      <c r="U28" s="386">
        <f t="shared" si="9"/>
        <v>1.16366833074607</v>
      </c>
      <c r="V28" s="385">
        <f t="shared" si="10"/>
        <v>38.712283333333332</v>
      </c>
      <c r="W28" s="385">
        <f t="shared" si="11"/>
        <v>62.212283333333332</v>
      </c>
      <c r="X28" s="387">
        <f t="shared" si="12"/>
        <v>3.7953849974127394</v>
      </c>
      <c r="Y28" s="357"/>
      <c r="Z28" s="357"/>
    </row>
    <row r="29" spans="1:26" ht="15.75" customHeight="1" x14ac:dyDescent="0.4">
      <c r="A29" s="377" t="s">
        <v>218</v>
      </c>
      <c r="B29" s="378">
        <v>58.37</v>
      </c>
      <c r="C29" s="378">
        <v>61.864999999999995</v>
      </c>
      <c r="D29" s="341">
        <f t="shared" ref="D29:H29" si="31">D28</f>
        <v>5000</v>
      </c>
      <c r="E29" s="341">
        <f t="shared" si="31"/>
        <v>28</v>
      </c>
      <c r="F29" s="341">
        <f t="shared" si="31"/>
        <v>13</v>
      </c>
      <c r="G29" s="341">
        <f t="shared" si="31"/>
        <v>0.8</v>
      </c>
      <c r="H29" s="341">
        <f t="shared" si="31"/>
        <v>8</v>
      </c>
      <c r="I29" s="342">
        <f t="shared" si="0"/>
        <v>0.66206896551724137</v>
      </c>
      <c r="J29" s="342">
        <f t="shared" si="1"/>
        <v>6.6206896551724137</v>
      </c>
      <c r="K29" s="343">
        <f t="shared" si="2"/>
        <v>37.882625660483328</v>
      </c>
      <c r="L29" s="380">
        <v>0</v>
      </c>
      <c r="M29" s="345">
        <f t="shared" si="3"/>
        <v>-0.51944827586206932</v>
      </c>
      <c r="N29" s="381">
        <f t="shared" si="4"/>
        <v>38.402073936345396</v>
      </c>
      <c r="O29" s="381">
        <v>45.407499999999999</v>
      </c>
      <c r="P29" s="382">
        <f t="shared" si="5"/>
        <v>7.0054260636546033</v>
      </c>
      <c r="Q29" s="383">
        <f t="shared" si="6"/>
        <v>44.394912749999996</v>
      </c>
      <c r="R29" s="384">
        <f t="shared" si="7"/>
        <v>5.9928388136546005</v>
      </c>
      <c r="S29" s="378">
        <v>67.412499999999994</v>
      </c>
      <c r="T29" s="385">
        <f t="shared" si="8"/>
        <v>39.717197916666663</v>
      </c>
      <c r="U29" s="386">
        <f t="shared" si="9"/>
        <v>1.3151239803212675</v>
      </c>
      <c r="V29" s="385">
        <f t="shared" si="10"/>
        <v>42.562348958333331</v>
      </c>
      <c r="W29" s="385">
        <f t="shared" si="11"/>
        <v>66.062348958333331</v>
      </c>
      <c r="X29" s="387">
        <f t="shared" si="12"/>
        <v>4.1602750219879354</v>
      </c>
      <c r="Y29" s="357"/>
      <c r="Z29" s="357"/>
    </row>
    <row r="30" spans="1:26" ht="15.75" customHeight="1" x14ac:dyDescent="0.4">
      <c r="A30" s="377" t="s">
        <v>219</v>
      </c>
      <c r="B30" s="378">
        <v>63.93</v>
      </c>
      <c r="C30" s="378">
        <v>66.936000000000007</v>
      </c>
      <c r="D30" s="341">
        <f t="shared" ref="D30:H30" si="32">D29</f>
        <v>5000</v>
      </c>
      <c r="E30" s="341">
        <f t="shared" si="32"/>
        <v>28</v>
      </c>
      <c r="F30" s="341">
        <f t="shared" si="32"/>
        <v>13</v>
      </c>
      <c r="G30" s="341">
        <f t="shared" si="32"/>
        <v>0.8</v>
      </c>
      <c r="H30" s="341">
        <f t="shared" si="32"/>
        <v>8</v>
      </c>
      <c r="I30" s="342">
        <f t="shared" si="0"/>
        <v>0.66206896551724137</v>
      </c>
      <c r="J30" s="342">
        <f t="shared" si="1"/>
        <v>6.6206896551724137</v>
      </c>
      <c r="K30" s="343">
        <f t="shared" si="2"/>
        <v>41.491112874330973</v>
      </c>
      <c r="L30" s="380">
        <v>0</v>
      </c>
      <c r="M30" s="345">
        <f t="shared" si="3"/>
        <v>-0.51944827586206932</v>
      </c>
      <c r="N30" s="381">
        <f t="shared" si="4"/>
        <v>42.010561150193041</v>
      </c>
      <c r="O30" s="381">
        <v>50.841999999999999</v>
      </c>
      <c r="P30" s="382">
        <f t="shared" si="5"/>
        <v>8.8314388498069576</v>
      </c>
      <c r="Q30" s="383">
        <f t="shared" si="6"/>
        <v>49.708223400000001</v>
      </c>
      <c r="R30" s="384">
        <f t="shared" si="7"/>
        <v>7.6976622498069602</v>
      </c>
      <c r="S30" s="378">
        <v>72.703999999999994</v>
      </c>
      <c r="T30" s="385">
        <f t="shared" si="8"/>
        <v>42.834773333333324</v>
      </c>
      <c r="U30" s="386">
        <f t="shared" si="9"/>
        <v>0.82421218314028266</v>
      </c>
      <c r="V30" s="385">
        <f t="shared" si="10"/>
        <v>46.838386666666665</v>
      </c>
      <c r="W30" s="385">
        <f t="shared" si="11"/>
        <v>70.338386666666665</v>
      </c>
      <c r="X30" s="387">
        <f t="shared" si="12"/>
        <v>4.8278255164736237</v>
      </c>
      <c r="Y30" s="357"/>
      <c r="Z30" s="357"/>
    </row>
    <row r="31" spans="1:26" ht="15.75" customHeight="1" x14ac:dyDescent="0.4">
      <c r="A31" s="377" t="s">
        <v>220</v>
      </c>
      <c r="B31" s="378">
        <v>69.069999999999993</v>
      </c>
      <c r="C31" s="378">
        <v>79.814999999999998</v>
      </c>
      <c r="D31" s="341">
        <f t="shared" ref="D31:H31" si="33">D30</f>
        <v>5000</v>
      </c>
      <c r="E31" s="341">
        <f t="shared" si="33"/>
        <v>28</v>
      </c>
      <c r="F31" s="341">
        <f t="shared" si="33"/>
        <v>13</v>
      </c>
      <c r="G31" s="341">
        <f t="shared" si="33"/>
        <v>0.8</v>
      </c>
      <c r="H31" s="341">
        <f t="shared" si="33"/>
        <v>8</v>
      </c>
      <c r="I31" s="342">
        <f t="shared" si="0"/>
        <v>0.66206896551724137</v>
      </c>
      <c r="J31" s="342">
        <f t="shared" si="1"/>
        <v>6.6206896551724137</v>
      </c>
      <c r="K31" s="343">
        <f t="shared" si="2"/>
        <v>44.827016521664952</v>
      </c>
      <c r="L31" s="380">
        <v>0</v>
      </c>
      <c r="M31" s="345">
        <f t="shared" si="3"/>
        <v>-0.51944827586206932</v>
      </c>
      <c r="N31" s="381">
        <f t="shared" si="4"/>
        <v>45.34646479752702</v>
      </c>
      <c r="O31" s="381">
        <v>59.407499999999999</v>
      </c>
      <c r="P31" s="382">
        <f t="shared" si="5"/>
        <v>14.061035202472979</v>
      </c>
      <c r="Q31" s="383">
        <f t="shared" si="6"/>
        <v>58.082712749999999</v>
      </c>
      <c r="R31" s="384">
        <f t="shared" si="7"/>
        <v>12.736247952472979</v>
      </c>
      <c r="S31" s="378">
        <v>94.185000000000002</v>
      </c>
      <c r="T31" s="385">
        <f t="shared" si="8"/>
        <v>55.490662499999992</v>
      </c>
      <c r="U31" s="386">
        <f t="shared" si="9"/>
        <v>10.144197702472972</v>
      </c>
      <c r="V31" s="385">
        <f t="shared" si="10"/>
        <v>57.449081249999992</v>
      </c>
      <c r="W31" s="385">
        <f t="shared" si="11"/>
        <v>80.949081249999992</v>
      </c>
      <c r="X31" s="387">
        <f t="shared" si="12"/>
        <v>12.102616452472972</v>
      </c>
      <c r="Y31" s="357"/>
      <c r="Z31" s="357"/>
    </row>
    <row r="32" spans="1:26" ht="15.75" customHeight="1" x14ac:dyDescent="0.4">
      <c r="A32" s="377" t="s">
        <v>221</v>
      </c>
      <c r="B32" s="378">
        <v>84.89</v>
      </c>
      <c r="C32" s="378">
        <v>103.71000000000001</v>
      </c>
      <c r="D32" s="341">
        <f t="shared" ref="D32:H32" si="34">D31</f>
        <v>5000</v>
      </c>
      <c r="E32" s="341">
        <f t="shared" si="34"/>
        <v>28</v>
      </c>
      <c r="F32" s="341">
        <f t="shared" si="34"/>
        <v>13</v>
      </c>
      <c r="G32" s="341">
        <f t="shared" si="34"/>
        <v>0.8</v>
      </c>
      <c r="H32" s="341">
        <f t="shared" si="34"/>
        <v>8</v>
      </c>
      <c r="I32" s="342">
        <f t="shared" si="0"/>
        <v>0.66206896551724137</v>
      </c>
      <c r="J32" s="342">
        <f t="shared" si="1"/>
        <v>6.6206896551724137</v>
      </c>
      <c r="K32" s="343">
        <f t="shared" si="2"/>
        <v>55.094330860346567</v>
      </c>
      <c r="L32" s="380">
        <v>0</v>
      </c>
      <c r="M32" s="345">
        <f t="shared" si="3"/>
        <v>-0.51944827586206932</v>
      </c>
      <c r="N32" s="381">
        <f t="shared" si="4"/>
        <v>55.613779136208635</v>
      </c>
      <c r="O32" s="381">
        <v>72.615000000000009</v>
      </c>
      <c r="P32" s="382">
        <f t="shared" si="5"/>
        <v>17.001220863791374</v>
      </c>
      <c r="Q32" s="383">
        <f t="shared" si="6"/>
        <v>70.995685500000008</v>
      </c>
      <c r="R32" s="384">
        <f t="shared" si="7"/>
        <v>15.381906363791373</v>
      </c>
      <c r="S32" s="378">
        <v>103.4375</v>
      </c>
      <c r="T32" s="385">
        <f t="shared" si="8"/>
        <v>60.941927083333333</v>
      </c>
      <c r="U32" s="386">
        <f t="shared" si="9"/>
        <v>5.3281479471246982</v>
      </c>
      <c r="V32" s="385">
        <f t="shared" si="10"/>
        <v>66.778463541666667</v>
      </c>
      <c r="W32" s="385">
        <f t="shared" si="11"/>
        <v>90.278463541666667</v>
      </c>
      <c r="X32" s="387">
        <f t="shared" si="12"/>
        <v>11.164684405458033</v>
      </c>
      <c r="Y32" s="357"/>
      <c r="Z32" s="357"/>
    </row>
    <row r="33" spans="1:26" ht="15.75" customHeight="1" x14ac:dyDescent="0.4">
      <c r="A33" s="377" t="s">
        <v>222</v>
      </c>
      <c r="B33" s="378">
        <v>101.69</v>
      </c>
      <c r="C33" s="378">
        <v>89.24799999999999</v>
      </c>
      <c r="D33" s="341">
        <f t="shared" ref="D33:H33" si="35">D32</f>
        <v>5000</v>
      </c>
      <c r="E33" s="341">
        <f t="shared" si="35"/>
        <v>28</v>
      </c>
      <c r="F33" s="341">
        <f t="shared" si="35"/>
        <v>13</v>
      </c>
      <c r="G33" s="341">
        <f t="shared" si="35"/>
        <v>0.8</v>
      </c>
      <c r="H33" s="341">
        <f t="shared" si="35"/>
        <v>8</v>
      </c>
      <c r="I33" s="342">
        <f t="shared" si="0"/>
        <v>0.66206896551724137</v>
      </c>
      <c r="J33" s="342">
        <f t="shared" si="1"/>
        <v>6.6206896551724137</v>
      </c>
      <c r="K33" s="343">
        <f t="shared" si="2"/>
        <v>65.997673520893429</v>
      </c>
      <c r="L33" s="380">
        <v>0</v>
      </c>
      <c r="M33" s="345">
        <f t="shared" si="3"/>
        <v>-0.51944827586206932</v>
      </c>
      <c r="N33" s="381">
        <f t="shared" si="4"/>
        <v>66.517121796755504</v>
      </c>
      <c r="O33" s="381">
        <v>58.911999999999999</v>
      </c>
      <c r="P33" s="382">
        <f t="shared" si="5"/>
        <v>-7.6051217967555047</v>
      </c>
      <c r="Q33" s="383">
        <f t="shared" si="6"/>
        <v>57.598262400000003</v>
      </c>
      <c r="R33" s="384">
        <f t="shared" si="7"/>
        <v>-8.9188593967555008</v>
      </c>
      <c r="S33" s="378">
        <v>88.141999999999996</v>
      </c>
      <c r="T33" s="385">
        <f t="shared" si="8"/>
        <v>51.930328333333328</v>
      </c>
      <c r="U33" s="386">
        <f t="shared" si="9"/>
        <v>-14.586793463422175</v>
      </c>
      <c r="V33" s="385">
        <f t="shared" si="10"/>
        <v>55.421164166666664</v>
      </c>
      <c r="W33" s="385">
        <f t="shared" si="11"/>
        <v>78.921164166666671</v>
      </c>
      <c r="X33" s="387">
        <f t="shared" si="12"/>
        <v>-11.09595763008884</v>
      </c>
      <c r="Y33" s="357"/>
      <c r="Z33" s="357"/>
    </row>
    <row r="34" spans="1:26" ht="15.75" customHeight="1" x14ac:dyDescent="0.4">
      <c r="A34" s="377" t="s">
        <v>223</v>
      </c>
      <c r="B34" s="378">
        <v>86.23</v>
      </c>
      <c r="C34" s="378">
        <v>88.740000000000009</v>
      </c>
      <c r="D34" s="341">
        <f t="shared" ref="D34:H34" si="36">D33</f>
        <v>5000</v>
      </c>
      <c r="E34" s="341">
        <f t="shared" si="36"/>
        <v>28</v>
      </c>
      <c r="F34" s="341">
        <f t="shared" si="36"/>
        <v>13</v>
      </c>
      <c r="G34" s="341">
        <f t="shared" si="36"/>
        <v>0.8</v>
      </c>
      <c r="H34" s="341">
        <f t="shared" si="36"/>
        <v>8</v>
      </c>
      <c r="I34" s="342">
        <f t="shared" si="0"/>
        <v>0.66206896551724137</v>
      </c>
      <c r="J34" s="342">
        <f t="shared" si="1"/>
        <v>6.6206896551724137</v>
      </c>
      <c r="K34" s="343">
        <f t="shared" si="2"/>
        <v>55.964002239223525</v>
      </c>
      <c r="L34" s="380">
        <v>0</v>
      </c>
      <c r="M34" s="345">
        <f t="shared" si="3"/>
        <v>-0.51944827586206932</v>
      </c>
      <c r="N34" s="381">
        <f t="shared" si="4"/>
        <v>56.483450515085593</v>
      </c>
      <c r="O34" s="381">
        <v>57.755000000000003</v>
      </c>
      <c r="P34" s="382">
        <f t="shared" si="5"/>
        <v>1.2715494849144093</v>
      </c>
      <c r="Q34" s="383">
        <f t="shared" si="6"/>
        <v>56.467063500000002</v>
      </c>
      <c r="R34" s="384">
        <f t="shared" si="7"/>
        <v>-1.6387015085591372E-2</v>
      </c>
      <c r="S34" s="378">
        <v>83.722499999999997</v>
      </c>
      <c r="T34" s="385">
        <f t="shared" si="8"/>
        <v>49.326506249999994</v>
      </c>
      <c r="U34" s="386">
        <f t="shared" si="9"/>
        <v>-7.156944265085599</v>
      </c>
      <c r="V34" s="385">
        <f t="shared" si="10"/>
        <v>53.540753124999995</v>
      </c>
      <c r="W34" s="385">
        <f t="shared" si="11"/>
        <v>77.040753124999995</v>
      </c>
      <c r="X34" s="387">
        <f t="shared" si="12"/>
        <v>-2.9426973900855984</v>
      </c>
      <c r="Y34" s="357"/>
      <c r="Z34" s="357"/>
    </row>
    <row r="35" spans="1:26" ht="15.75" customHeight="1" x14ac:dyDescent="0.4">
      <c r="A35" s="377" t="s">
        <v>224</v>
      </c>
      <c r="B35" s="378">
        <v>83.32</v>
      </c>
      <c r="C35" s="378">
        <v>89.092500000000001</v>
      </c>
      <c r="D35" s="341">
        <f t="shared" ref="D35:H35" si="37">D34</f>
        <v>5000</v>
      </c>
      <c r="E35" s="341">
        <f t="shared" si="37"/>
        <v>28</v>
      </c>
      <c r="F35" s="341">
        <f t="shared" si="37"/>
        <v>13</v>
      </c>
      <c r="G35" s="341">
        <f t="shared" si="37"/>
        <v>0.8</v>
      </c>
      <c r="H35" s="341">
        <f t="shared" si="37"/>
        <v>8</v>
      </c>
      <c r="I35" s="342">
        <f t="shared" si="0"/>
        <v>0.66206896551724137</v>
      </c>
      <c r="J35" s="342">
        <f t="shared" si="1"/>
        <v>6.6206896551724137</v>
      </c>
      <c r="K35" s="343">
        <f t="shared" si="2"/>
        <v>54.075387528378798</v>
      </c>
      <c r="L35" s="380">
        <v>0</v>
      </c>
      <c r="M35" s="345">
        <f t="shared" si="3"/>
        <v>-0.51944827586206932</v>
      </c>
      <c r="N35" s="381">
        <f t="shared" si="4"/>
        <v>54.594835804240866</v>
      </c>
      <c r="O35" s="381">
        <v>60.822499999999998</v>
      </c>
      <c r="P35" s="382">
        <f t="shared" si="5"/>
        <v>6.2276641957591323</v>
      </c>
      <c r="Q35" s="383">
        <f t="shared" si="6"/>
        <v>59.466158249999999</v>
      </c>
      <c r="R35" s="384">
        <f t="shared" si="7"/>
        <v>4.8713224457591338</v>
      </c>
      <c r="S35" s="378">
        <v>79.989999999999995</v>
      </c>
      <c r="T35" s="385">
        <f t="shared" si="8"/>
        <v>47.127441666666662</v>
      </c>
      <c r="U35" s="386">
        <f t="shared" si="9"/>
        <v>-7.4673941375742032</v>
      </c>
      <c r="V35" s="385">
        <f t="shared" si="10"/>
        <v>53.97497083333333</v>
      </c>
      <c r="W35" s="385">
        <f t="shared" si="11"/>
        <v>77.47497083333333</v>
      </c>
      <c r="X35" s="387">
        <f t="shared" si="12"/>
        <v>-0.61986497090753545</v>
      </c>
      <c r="Y35" s="357"/>
      <c r="Z35" s="357"/>
    </row>
    <row r="36" spans="1:26" ht="15.75" customHeight="1" x14ac:dyDescent="0.4">
      <c r="A36" s="377" t="s">
        <v>225</v>
      </c>
      <c r="B36" s="378">
        <v>81.900000000000006</v>
      </c>
      <c r="C36" s="378">
        <v>88.835999999999999</v>
      </c>
      <c r="D36" s="341">
        <f t="shared" ref="D36:H36" si="38">D35</f>
        <v>5000</v>
      </c>
      <c r="E36" s="341">
        <f t="shared" si="38"/>
        <v>28</v>
      </c>
      <c r="F36" s="341">
        <f t="shared" si="38"/>
        <v>13</v>
      </c>
      <c r="G36" s="341">
        <f t="shared" si="38"/>
        <v>0.8</v>
      </c>
      <c r="H36" s="341">
        <f t="shared" si="38"/>
        <v>8</v>
      </c>
      <c r="I36" s="342">
        <f t="shared" si="0"/>
        <v>0.66206896551724137</v>
      </c>
      <c r="J36" s="342">
        <f t="shared" si="1"/>
        <v>6.6206896551724137</v>
      </c>
      <c r="K36" s="343">
        <f t="shared" si="2"/>
        <v>53.15379547016591</v>
      </c>
      <c r="L36" s="380">
        <v>0</v>
      </c>
      <c r="M36" s="345">
        <f t="shared" si="3"/>
        <v>-0.51944827586206932</v>
      </c>
      <c r="N36" s="381">
        <f t="shared" si="4"/>
        <v>53.673243746027978</v>
      </c>
      <c r="O36" s="381">
        <v>62.326000000000001</v>
      </c>
      <c r="P36" s="382">
        <f t="shared" si="5"/>
        <v>8.6527562539720222</v>
      </c>
      <c r="Q36" s="383">
        <f t="shared" si="6"/>
        <v>60.936130200000001</v>
      </c>
      <c r="R36" s="384">
        <f t="shared" si="7"/>
        <v>7.2628864539720226</v>
      </c>
      <c r="S36" s="378">
        <v>80.899999999999991</v>
      </c>
      <c r="T36" s="385">
        <f t="shared" si="8"/>
        <v>47.663583333333321</v>
      </c>
      <c r="U36" s="386">
        <f t="shared" si="9"/>
        <v>-6.0096604126946573</v>
      </c>
      <c r="V36" s="385">
        <f t="shared" si="10"/>
        <v>54.994791666666657</v>
      </c>
      <c r="W36" s="385">
        <f t="shared" si="11"/>
        <v>78.494791666666657</v>
      </c>
      <c r="X36" s="387">
        <f t="shared" si="12"/>
        <v>1.3215479206386789</v>
      </c>
      <c r="Y36" s="357"/>
      <c r="Z36" s="357"/>
    </row>
    <row r="37" spans="1:26" ht="15.75" customHeight="1" x14ac:dyDescent="0.4">
      <c r="A37" s="377" t="s">
        <v>226</v>
      </c>
      <c r="B37" s="378">
        <v>82.51</v>
      </c>
      <c r="C37" s="378">
        <v>87.740000000000009</v>
      </c>
      <c r="D37" s="341">
        <f t="shared" ref="D37:H37" si="39">D36</f>
        <v>5000</v>
      </c>
      <c r="E37" s="341">
        <f t="shared" si="39"/>
        <v>28</v>
      </c>
      <c r="F37" s="341">
        <f t="shared" si="39"/>
        <v>13</v>
      </c>
      <c r="G37" s="341">
        <f t="shared" si="39"/>
        <v>0.8</v>
      </c>
      <c r="H37" s="341">
        <f t="shared" si="39"/>
        <v>8</v>
      </c>
      <c r="I37" s="342">
        <f t="shared" si="0"/>
        <v>0.66206896551724137</v>
      </c>
      <c r="J37" s="342">
        <f t="shared" si="1"/>
        <v>6.6206896551724137</v>
      </c>
      <c r="K37" s="343">
        <f t="shared" si="2"/>
        <v>53.549690650102441</v>
      </c>
      <c r="L37" s="380">
        <v>0</v>
      </c>
      <c r="M37" s="345">
        <f t="shared" si="3"/>
        <v>-0.51944827586206932</v>
      </c>
      <c r="N37" s="381">
        <f t="shared" si="4"/>
        <v>54.069138925964509</v>
      </c>
      <c r="O37" s="381">
        <v>62.327499999999993</v>
      </c>
      <c r="P37" s="382">
        <f t="shared" si="5"/>
        <v>8.2583610740354843</v>
      </c>
      <c r="Q37" s="383">
        <f t="shared" si="6"/>
        <v>60.937596749999997</v>
      </c>
      <c r="R37" s="384">
        <f t="shared" si="7"/>
        <v>6.8684578240354881</v>
      </c>
      <c r="S37" s="378">
        <v>83.654999999999987</v>
      </c>
      <c r="T37" s="385">
        <f t="shared" si="8"/>
        <v>49.286737499999994</v>
      </c>
      <c r="U37" s="386">
        <f t="shared" si="9"/>
        <v>-4.7824014259645153</v>
      </c>
      <c r="V37" s="385">
        <f t="shared" si="10"/>
        <v>55.807118749999994</v>
      </c>
      <c r="W37" s="385">
        <f t="shared" si="11"/>
        <v>79.307118750000001</v>
      </c>
      <c r="X37" s="387">
        <f t="shared" si="12"/>
        <v>1.7379798240354845</v>
      </c>
      <c r="Y37" s="357"/>
      <c r="Z37" s="357"/>
    </row>
    <row r="38" spans="1:26" ht="15.75" customHeight="1" x14ac:dyDescent="0.4">
      <c r="A38" s="377" t="s">
        <v>227</v>
      </c>
      <c r="B38" s="378">
        <v>83.81</v>
      </c>
      <c r="C38" s="378">
        <v>79.592500000000001</v>
      </c>
      <c r="D38" s="341">
        <f t="shared" ref="D38:H38" si="40">D37</f>
        <v>5000</v>
      </c>
      <c r="E38" s="341">
        <f t="shared" si="40"/>
        <v>28</v>
      </c>
      <c r="F38" s="341">
        <f t="shared" si="40"/>
        <v>13</v>
      </c>
      <c r="G38" s="341">
        <f t="shared" si="40"/>
        <v>0.8</v>
      </c>
      <c r="H38" s="341">
        <f t="shared" si="40"/>
        <v>8</v>
      </c>
      <c r="I38" s="342">
        <f t="shared" si="0"/>
        <v>0.66206896551724137</v>
      </c>
      <c r="J38" s="342">
        <f t="shared" si="1"/>
        <v>6.6206896551724137</v>
      </c>
      <c r="K38" s="343">
        <f t="shared" si="2"/>
        <v>54.393401689311418</v>
      </c>
      <c r="L38" s="380">
        <v>0</v>
      </c>
      <c r="M38" s="345">
        <f t="shared" si="3"/>
        <v>-0.51944827586206932</v>
      </c>
      <c r="N38" s="381">
        <f t="shared" si="4"/>
        <v>54.912849965173486</v>
      </c>
      <c r="O38" s="381">
        <v>56.747500000000002</v>
      </c>
      <c r="P38" s="382">
        <f t="shared" si="5"/>
        <v>1.8346500348265167</v>
      </c>
      <c r="Q38" s="383">
        <f t="shared" si="6"/>
        <v>55.48203075</v>
      </c>
      <c r="R38" s="384">
        <f t="shared" si="7"/>
        <v>0.56918078482651424</v>
      </c>
      <c r="S38" s="378">
        <v>74.237500000000011</v>
      </c>
      <c r="T38" s="385">
        <f t="shared" si="8"/>
        <v>43.73826041666667</v>
      </c>
      <c r="U38" s="386">
        <f t="shared" si="9"/>
        <v>-11.174589548506816</v>
      </c>
      <c r="V38" s="385">
        <f t="shared" si="10"/>
        <v>50.242880208333332</v>
      </c>
      <c r="W38" s="385">
        <f t="shared" si="11"/>
        <v>73.742880208333332</v>
      </c>
      <c r="X38" s="387">
        <f t="shared" si="12"/>
        <v>-4.6699697568401533</v>
      </c>
      <c r="Y38" s="357"/>
      <c r="Z38" s="357"/>
    </row>
    <row r="39" spans="1:26" ht="15.75" customHeight="1" x14ac:dyDescent="0.4">
      <c r="A39" s="377" t="s">
        <v>228</v>
      </c>
      <c r="B39" s="378">
        <v>75.459999999999994</v>
      </c>
      <c r="C39" s="378">
        <v>80.309999999999988</v>
      </c>
      <c r="D39" s="341">
        <f t="shared" ref="D39:H39" si="41">D38</f>
        <v>5000</v>
      </c>
      <c r="E39" s="341">
        <f t="shared" si="41"/>
        <v>28</v>
      </c>
      <c r="F39" s="341">
        <f t="shared" si="41"/>
        <v>13</v>
      </c>
      <c r="G39" s="341">
        <f t="shared" si="41"/>
        <v>0.8</v>
      </c>
      <c r="H39" s="341">
        <f t="shared" si="41"/>
        <v>8</v>
      </c>
      <c r="I39" s="342">
        <f t="shared" si="0"/>
        <v>0.66206896551724137</v>
      </c>
      <c r="J39" s="342">
        <f t="shared" si="1"/>
        <v>6.6206896551724137</v>
      </c>
      <c r="K39" s="343">
        <f t="shared" si="2"/>
        <v>48.974180783622941</v>
      </c>
      <c r="L39" s="380">
        <v>0</v>
      </c>
      <c r="M39" s="345">
        <f t="shared" si="3"/>
        <v>-0.51944827586206932</v>
      </c>
      <c r="N39" s="381">
        <f t="shared" si="4"/>
        <v>49.493629059485009</v>
      </c>
      <c r="O39" s="381">
        <v>55.803999999999995</v>
      </c>
      <c r="P39" s="382">
        <f t="shared" si="5"/>
        <v>6.3103709405149857</v>
      </c>
      <c r="Q39" s="383">
        <f t="shared" si="6"/>
        <v>54.559570799999996</v>
      </c>
      <c r="R39" s="384">
        <f t="shared" si="7"/>
        <v>5.0659417405149867</v>
      </c>
      <c r="S39" s="378">
        <v>81.09</v>
      </c>
      <c r="T39" s="385">
        <f t="shared" si="8"/>
        <v>47.775525000000002</v>
      </c>
      <c r="U39" s="386">
        <f t="shared" si="9"/>
        <v>-1.7181040594850074</v>
      </c>
      <c r="V39" s="385">
        <f t="shared" si="10"/>
        <v>51.789762499999995</v>
      </c>
      <c r="W39" s="385">
        <f t="shared" si="11"/>
        <v>75.289762499999995</v>
      </c>
      <c r="X39" s="387">
        <f t="shared" si="12"/>
        <v>2.2961334405149856</v>
      </c>
      <c r="Y39" s="357"/>
      <c r="Z39" s="357"/>
    </row>
    <row r="40" spans="1:26" ht="15.75" customHeight="1" x14ac:dyDescent="0.4">
      <c r="A40" s="377" t="s">
        <v>229</v>
      </c>
      <c r="B40" s="378">
        <v>78.95</v>
      </c>
      <c r="C40" s="378">
        <v>85.24</v>
      </c>
      <c r="D40" s="341">
        <f t="shared" ref="D40:H40" si="42">D39</f>
        <v>5000</v>
      </c>
      <c r="E40" s="341">
        <f t="shared" si="42"/>
        <v>28</v>
      </c>
      <c r="F40" s="341">
        <f t="shared" si="42"/>
        <v>13</v>
      </c>
      <c r="G40" s="341">
        <f t="shared" si="42"/>
        <v>0.8</v>
      </c>
      <c r="H40" s="341">
        <f t="shared" si="42"/>
        <v>8</v>
      </c>
      <c r="I40" s="342">
        <f t="shared" si="0"/>
        <v>0.66206896551724137</v>
      </c>
      <c r="J40" s="342">
        <f t="shared" si="1"/>
        <v>6.6206896551724137</v>
      </c>
      <c r="K40" s="343">
        <f t="shared" si="2"/>
        <v>51.239220419653222</v>
      </c>
      <c r="L40" s="380">
        <v>0</v>
      </c>
      <c r="M40" s="345">
        <f t="shared" si="3"/>
        <v>-0.51944827586206932</v>
      </c>
      <c r="N40" s="381">
        <f t="shared" si="4"/>
        <v>51.75866869551529</v>
      </c>
      <c r="O40" s="381">
        <v>57.72</v>
      </c>
      <c r="P40" s="382">
        <f t="shared" si="5"/>
        <v>5.9613313044847089</v>
      </c>
      <c r="Q40" s="383">
        <f t="shared" si="6"/>
        <v>56.432844000000003</v>
      </c>
      <c r="R40" s="384">
        <f t="shared" si="7"/>
        <v>4.674175304484713</v>
      </c>
      <c r="S40" s="378">
        <v>87.492500000000007</v>
      </c>
      <c r="T40" s="385">
        <f t="shared" si="8"/>
        <v>51.547664583333336</v>
      </c>
      <c r="U40" s="386">
        <f t="shared" si="9"/>
        <v>-0.21100411218195347</v>
      </c>
      <c r="V40" s="385">
        <f t="shared" si="10"/>
        <v>54.633832291666664</v>
      </c>
      <c r="W40" s="385">
        <f t="shared" si="11"/>
        <v>78.133832291666664</v>
      </c>
      <c r="X40" s="387">
        <f t="shared" si="12"/>
        <v>2.8751635961513742</v>
      </c>
      <c r="Y40" s="357"/>
      <c r="Z40" s="357"/>
    </row>
    <row r="41" spans="1:26" ht="15.75" customHeight="1" x14ac:dyDescent="0.4">
      <c r="A41" s="377" t="s">
        <v>230</v>
      </c>
      <c r="B41" s="378">
        <v>83.97</v>
      </c>
      <c r="C41" s="378">
        <v>92.949999999999989</v>
      </c>
      <c r="D41" s="341">
        <f t="shared" ref="D41:H41" si="43">D40</f>
        <v>5000</v>
      </c>
      <c r="E41" s="341">
        <f t="shared" si="43"/>
        <v>28</v>
      </c>
      <c r="F41" s="341">
        <f t="shared" si="43"/>
        <v>13</v>
      </c>
      <c r="G41" s="341">
        <f t="shared" si="43"/>
        <v>0.8</v>
      </c>
      <c r="H41" s="341">
        <f t="shared" si="43"/>
        <v>8</v>
      </c>
      <c r="I41" s="342">
        <f t="shared" si="0"/>
        <v>0.66206896551724137</v>
      </c>
      <c r="J41" s="342">
        <f t="shared" si="1"/>
        <v>6.6206896551724137</v>
      </c>
      <c r="K41" s="343">
        <f t="shared" si="2"/>
        <v>54.497243047983289</v>
      </c>
      <c r="L41" s="380">
        <v>0</v>
      </c>
      <c r="M41" s="345">
        <f t="shared" si="3"/>
        <v>-0.51944827586206932</v>
      </c>
      <c r="N41" s="381">
        <f t="shared" si="4"/>
        <v>55.016691323845357</v>
      </c>
      <c r="O41" s="381">
        <v>61.085000000000001</v>
      </c>
      <c r="P41" s="382">
        <f t="shared" si="5"/>
        <v>6.0683086761546434</v>
      </c>
      <c r="Q41" s="383">
        <f t="shared" si="6"/>
        <v>59.722804500000002</v>
      </c>
      <c r="R41" s="384">
        <f t="shared" si="7"/>
        <v>4.7061131761546449</v>
      </c>
      <c r="S41" s="378">
        <v>98.582499999999996</v>
      </c>
      <c r="T41" s="385">
        <f t="shared" si="8"/>
        <v>58.081522916666664</v>
      </c>
      <c r="U41" s="386">
        <f t="shared" si="9"/>
        <v>3.0648315928213066</v>
      </c>
      <c r="V41" s="385">
        <f t="shared" si="10"/>
        <v>59.583261458333332</v>
      </c>
      <c r="W41" s="385">
        <f t="shared" si="11"/>
        <v>83.08326145833334</v>
      </c>
      <c r="X41" s="387">
        <f t="shared" si="12"/>
        <v>4.566570134487975</v>
      </c>
      <c r="Y41" s="357"/>
      <c r="Z41" s="357"/>
    </row>
    <row r="42" spans="1:26" ht="15.75" customHeight="1" x14ac:dyDescent="0.4">
      <c r="A42" s="377" t="s">
        <v>231</v>
      </c>
      <c r="B42" s="378">
        <v>92.03</v>
      </c>
      <c r="C42" s="378">
        <v>97.061999999999983</v>
      </c>
      <c r="D42" s="341">
        <f t="shared" ref="D42:H42" si="44">D41</f>
        <v>5000</v>
      </c>
      <c r="E42" s="341">
        <f t="shared" si="44"/>
        <v>28</v>
      </c>
      <c r="F42" s="341">
        <f t="shared" si="44"/>
        <v>13</v>
      </c>
      <c r="G42" s="341">
        <f t="shared" si="44"/>
        <v>0.8</v>
      </c>
      <c r="H42" s="341">
        <f t="shared" si="44"/>
        <v>8</v>
      </c>
      <c r="I42" s="342">
        <f t="shared" si="0"/>
        <v>0.66206896551724137</v>
      </c>
      <c r="J42" s="342">
        <f t="shared" si="1"/>
        <v>6.6206896551724137</v>
      </c>
      <c r="K42" s="343">
        <f t="shared" si="2"/>
        <v>59.728251491078979</v>
      </c>
      <c r="L42" s="380">
        <v>0</v>
      </c>
      <c r="M42" s="345">
        <f t="shared" si="3"/>
        <v>-0.51944827586206932</v>
      </c>
      <c r="N42" s="381">
        <f t="shared" si="4"/>
        <v>60.247699766941047</v>
      </c>
      <c r="O42" s="381">
        <v>64.656000000000006</v>
      </c>
      <c r="P42" s="382">
        <f t="shared" si="5"/>
        <v>4.4083002330589593</v>
      </c>
      <c r="Q42" s="383">
        <f t="shared" si="6"/>
        <v>63.21417120000001</v>
      </c>
      <c r="R42" s="384">
        <f t="shared" si="7"/>
        <v>2.9664714330589632</v>
      </c>
      <c r="S42" s="378">
        <v>97.33</v>
      </c>
      <c r="T42" s="385">
        <f t="shared" si="8"/>
        <v>57.343591666666661</v>
      </c>
      <c r="U42" s="386">
        <f t="shared" si="9"/>
        <v>-2.9041081002743852</v>
      </c>
      <c r="V42" s="385">
        <f t="shared" si="10"/>
        <v>60.999795833333337</v>
      </c>
      <c r="W42" s="385">
        <f t="shared" si="11"/>
        <v>84.499795833333337</v>
      </c>
      <c r="X42" s="387">
        <f t="shared" si="12"/>
        <v>0.75209606639229065</v>
      </c>
      <c r="Y42" s="357"/>
      <c r="Z42" s="357"/>
    </row>
    <row r="43" spans="1:26" ht="15.75" customHeight="1" x14ac:dyDescent="0.4">
      <c r="A43" s="377" t="s">
        <v>232</v>
      </c>
      <c r="B43" s="378">
        <v>93.99</v>
      </c>
      <c r="C43" s="378">
        <v>97.5</v>
      </c>
      <c r="D43" s="341">
        <f t="shared" ref="D43:H43" si="45">D42</f>
        <v>5000</v>
      </c>
      <c r="E43" s="341">
        <f t="shared" si="45"/>
        <v>28</v>
      </c>
      <c r="F43" s="341">
        <f t="shared" si="45"/>
        <v>13</v>
      </c>
      <c r="G43" s="341">
        <f t="shared" si="45"/>
        <v>0.8</v>
      </c>
      <c r="H43" s="341">
        <f t="shared" si="45"/>
        <v>8</v>
      </c>
      <c r="I43" s="342">
        <f t="shared" si="0"/>
        <v>0.66206896551724137</v>
      </c>
      <c r="J43" s="342">
        <f t="shared" si="1"/>
        <v>6.6206896551724137</v>
      </c>
      <c r="K43" s="343">
        <f t="shared" si="2"/>
        <v>61.000308134809451</v>
      </c>
      <c r="L43" s="380">
        <v>0</v>
      </c>
      <c r="M43" s="345">
        <f t="shared" si="3"/>
        <v>-0.51944827586206932</v>
      </c>
      <c r="N43" s="381">
        <f t="shared" si="4"/>
        <v>61.519756410671519</v>
      </c>
      <c r="O43" s="381">
        <v>67.515000000000001</v>
      </c>
      <c r="P43" s="382">
        <f t="shared" si="5"/>
        <v>5.9952435893284814</v>
      </c>
      <c r="Q43" s="383">
        <f t="shared" si="6"/>
        <v>66.009415500000003</v>
      </c>
      <c r="R43" s="384">
        <f t="shared" si="7"/>
        <v>4.4896590893284838</v>
      </c>
      <c r="S43" s="378">
        <v>97.11</v>
      </c>
      <c r="T43" s="385">
        <f t="shared" si="8"/>
        <v>57.213974999999998</v>
      </c>
      <c r="U43" s="386">
        <f t="shared" si="9"/>
        <v>-4.3057814106715213</v>
      </c>
      <c r="V43" s="385">
        <f t="shared" si="10"/>
        <v>62.364487499999996</v>
      </c>
      <c r="W43" s="385">
        <f t="shared" si="11"/>
        <v>85.864487499999996</v>
      </c>
      <c r="X43" s="387">
        <f t="shared" si="12"/>
        <v>0.84473108932847651</v>
      </c>
      <c r="Y43" s="357"/>
      <c r="Z43" s="357"/>
    </row>
    <row r="44" spans="1:26" ht="15.75" customHeight="1" x14ac:dyDescent="0.4">
      <c r="A44" s="377" t="s">
        <v>233</v>
      </c>
      <c r="B44" s="378">
        <v>94.8</v>
      </c>
      <c r="C44" s="378">
        <v>95.802499999999995</v>
      </c>
      <c r="D44" s="341">
        <f t="shared" ref="D44:H44" si="46">D43</f>
        <v>5000</v>
      </c>
      <c r="E44" s="341">
        <f t="shared" si="46"/>
        <v>28</v>
      </c>
      <c r="F44" s="341">
        <f t="shared" si="46"/>
        <v>13</v>
      </c>
      <c r="G44" s="341">
        <f t="shared" si="46"/>
        <v>0.8</v>
      </c>
      <c r="H44" s="341">
        <f t="shared" si="46"/>
        <v>8</v>
      </c>
      <c r="I44" s="342">
        <f t="shared" si="0"/>
        <v>0.66206896551724137</v>
      </c>
      <c r="J44" s="342">
        <f t="shared" si="1"/>
        <v>6.6206896551724137</v>
      </c>
      <c r="K44" s="343">
        <f t="shared" si="2"/>
        <v>61.526005013085815</v>
      </c>
      <c r="L44" s="380">
        <v>0</v>
      </c>
      <c r="M44" s="345">
        <f t="shared" si="3"/>
        <v>-0.51944827586206932</v>
      </c>
      <c r="N44" s="381">
        <f t="shared" si="4"/>
        <v>62.045453288947883</v>
      </c>
      <c r="O44" s="381">
        <v>66.08250000000001</v>
      </c>
      <c r="P44" s="382">
        <f t="shared" si="5"/>
        <v>4.0370467110521275</v>
      </c>
      <c r="Q44" s="383">
        <f t="shared" si="6"/>
        <v>64.608860250000006</v>
      </c>
      <c r="R44" s="384">
        <f t="shared" si="7"/>
        <v>2.5634069610521237</v>
      </c>
      <c r="S44" s="378">
        <v>96.635000000000005</v>
      </c>
      <c r="T44" s="385">
        <f t="shared" si="8"/>
        <v>56.934120833333331</v>
      </c>
      <c r="U44" s="386">
        <f t="shared" si="9"/>
        <v>-5.1113324556145514</v>
      </c>
      <c r="V44" s="385">
        <f t="shared" si="10"/>
        <v>61.508310416666674</v>
      </c>
      <c r="W44" s="385">
        <f t="shared" si="11"/>
        <v>85.008310416666674</v>
      </c>
      <c r="X44" s="387">
        <f t="shared" si="12"/>
        <v>-0.53714287228120838</v>
      </c>
      <c r="Y44" s="357"/>
      <c r="Z44" s="357"/>
    </row>
    <row r="45" spans="1:26" ht="15.75" customHeight="1" x14ac:dyDescent="0.4">
      <c r="A45" s="377" t="s">
        <v>234</v>
      </c>
      <c r="B45" s="378">
        <v>94.04</v>
      </c>
      <c r="C45" s="378">
        <v>96.457999999999998</v>
      </c>
      <c r="D45" s="341">
        <f t="shared" ref="D45:H45" si="47">D44</f>
        <v>5000</v>
      </c>
      <c r="E45" s="341">
        <f t="shared" si="47"/>
        <v>28</v>
      </c>
      <c r="F45" s="341">
        <f t="shared" si="47"/>
        <v>13</v>
      </c>
      <c r="G45" s="341">
        <f t="shared" si="47"/>
        <v>0.8</v>
      </c>
      <c r="H45" s="341">
        <f t="shared" si="47"/>
        <v>8</v>
      </c>
      <c r="I45" s="342">
        <f t="shared" si="0"/>
        <v>0.66206896551724137</v>
      </c>
      <c r="J45" s="342">
        <f t="shared" si="1"/>
        <v>6.6206896551724137</v>
      </c>
      <c r="K45" s="343">
        <f t="shared" si="2"/>
        <v>61.032758559394416</v>
      </c>
      <c r="L45" s="380">
        <v>0</v>
      </c>
      <c r="M45" s="345">
        <f t="shared" si="3"/>
        <v>-0.51944827586206932</v>
      </c>
      <c r="N45" s="381">
        <f t="shared" si="4"/>
        <v>61.552206835256484</v>
      </c>
      <c r="O45" s="381">
        <v>66.195999999999998</v>
      </c>
      <c r="P45" s="382">
        <f t="shared" si="5"/>
        <v>4.6437931647435136</v>
      </c>
      <c r="Q45" s="383">
        <f t="shared" si="6"/>
        <v>64.719829199999992</v>
      </c>
      <c r="R45" s="384">
        <f t="shared" si="7"/>
        <v>3.167622364743508</v>
      </c>
      <c r="S45" s="378">
        <v>100.81200000000001</v>
      </c>
      <c r="T45" s="385">
        <f t="shared" si="8"/>
        <v>59.395069999999997</v>
      </c>
      <c r="U45" s="386">
        <f t="shared" si="9"/>
        <v>-2.1571368352564875</v>
      </c>
      <c r="V45" s="385">
        <f t="shared" si="10"/>
        <v>62.795535000000001</v>
      </c>
      <c r="W45" s="385">
        <f t="shared" si="11"/>
        <v>86.295535000000001</v>
      </c>
      <c r="X45" s="387">
        <f t="shared" si="12"/>
        <v>1.2433281647435166</v>
      </c>
      <c r="Y45" s="357"/>
      <c r="Z45" s="357"/>
    </row>
    <row r="46" spans="1:26" ht="15.75" customHeight="1" x14ac:dyDescent="0.4">
      <c r="A46" s="388" t="s">
        <v>235</v>
      </c>
      <c r="B46" s="385">
        <v>95.54</v>
      </c>
      <c r="C46" s="385">
        <v>99.775000000000006</v>
      </c>
      <c r="D46" s="341">
        <f t="shared" ref="D46:H46" si="48">D45</f>
        <v>5000</v>
      </c>
      <c r="E46" s="341">
        <f t="shared" si="48"/>
        <v>28</v>
      </c>
      <c r="F46" s="341">
        <f t="shared" si="48"/>
        <v>13</v>
      </c>
      <c r="G46" s="341">
        <f t="shared" si="48"/>
        <v>0.8</v>
      </c>
      <c r="H46" s="341">
        <f t="shared" si="48"/>
        <v>8</v>
      </c>
      <c r="I46" s="342">
        <f t="shared" si="0"/>
        <v>0.66206896551724137</v>
      </c>
      <c r="J46" s="342">
        <f t="shared" si="1"/>
        <v>6.6206896551724137</v>
      </c>
      <c r="K46" s="343">
        <f t="shared" si="2"/>
        <v>62.006271296943247</v>
      </c>
      <c r="L46" s="380">
        <v>0</v>
      </c>
      <c r="M46" s="345">
        <f t="shared" si="3"/>
        <v>-0.51944827586206932</v>
      </c>
      <c r="N46" s="381">
        <f t="shared" si="4"/>
        <v>62.525719572805315</v>
      </c>
      <c r="O46" s="381">
        <v>68.85499999999999</v>
      </c>
      <c r="P46" s="382">
        <f t="shared" si="5"/>
        <v>6.329280427194675</v>
      </c>
      <c r="Q46" s="383">
        <f t="shared" si="6"/>
        <v>67.319533499999991</v>
      </c>
      <c r="R46" s="384">
        <f t="shared" si="7"/>
        <v>4.7938139271946767</v>
      </c>
      <c r="S46" s="378">
        <v>106.455</v>
      </c>
      <c r="T46" s="385">
        <f t="shared" si="8"/>
        <v>62.719737500000001</v>
      </c>
      <c r="U46" s="386">
        <f t="shared" si="9"/>
        <v>0.19401792719468602</v>
      </c>
      <c r="V46" s="385">
        <f t="shared" si="10"/>
        <v>65.787368749999999</v>
      </c>
      <c r="W46" s="385">
        <f t="shared" si="11"/>
        <v>89.287368749999999</v>
      </c>
      <c r="X46" s="387">
        <f t="shared" si="12"/>
        <v>3.2616491771946841</v>
      </c>
      <c r="Y46" s="357"/>
      <c r="Z46" s="357"/>
    </row>
    <row r="47" spans="1:26" ht="15.75" customHeight="1" x14ac:dyDescent="0.4">
      <c r="A47" s="377" t="s">
        <v>236</v>
      </c>
      <c r="B47" s="385">
        <v>100.69</v>
      </c>
      <c r="C47" s="385">
        <v>103.30999999999999</v>
      </c>
      <c r="D47" s="341">
        <f t="shared" ref="D47:H47" si="49">D46</f>
        <v>5000</v>
      </c>
      <c r="E47" s="341">
        <f t="shared" si="49"/>
        <v>28</v>
      </c>
      <c r="F47" s="341">
        <f t="shared" si="49"/>
        <v>13</v>
      </c>
      <c r="G47" s="341">
        <f t="shared" si="49"/>
        <v>0.8</v>
      </c>
      <c r="H47" s="341">
        <f t="shared" si="49"/>
        <v>8</v>
      </c>
      <c r="I47" s="342">
        <f t="shared" si="0"/>
        <v>0.66206896551724137</v>
      </c>
      <c r="J47" s="342">
        <f t="shared" si="1"/>
        <v>6.6206896551724137</v>
      </c>
      <c r="K47" s="343">
        <f t="shared" si="2"/>
        <v>65.348665029194208</v>
      </c>
      <c r="L47" s="380">
        <v>0</v>
      </c>
      <c r="M47" s="345">
        <f t="shared" si="3"/>
        <v>-0.51944827586206932</v>
      </c>
      <c r="N47" s="381">
        <f t="shared" si="4"/>
        <v>65.868113305056283</v>
      </c>
      <c r="O47" s="381">
        <v>72.377499999999998</v>
      </c>
      <c r="P47" s="382">
        <f t="shared" si="5"/>
        <v>6.5093866949437142</v>
      </c>
      <c r="Q47" s="383">
        <f t="shared" si="6"/>
        <v>70.763481749999997</v>
      </c>
      <c r="R47" s="384">
        <f t="shared" si="7"/>
        <v>4.8953684449437134</v>
      </c>
      <c r="S47" s="378">
        <v>105.91</v>
      </c>
      <c r="T47" s="385">
        <f t="shared" si="8"/>
        <v>62.39864166666667</v>
      </c>
      <c r="U47" s="386">
        <f t="shared" si="9"/>
        <v>-3.4694716383896136</v>
      </c>
      <c r="V47" s="385">
        <f t="shared" si="10"/>
        <v>67.38807083333333</v>
      </c>
      <c r="W47" s="385">
        <f t="shared" si="11"/>
        <v>90.88807083333333</v>
      </c>
      <c r="X47" s="387">
        <f t="shared" si="12"/>
        <v>1.5199575282770468</v>
      </c>
      <c r="Y47" s="357"/>
      <c r="Z47" s="357"/>
    </row>
    <row r="48" spans="1:26" ht="15.75" customHeight="1" x14ac:dyDescent="0.4">
      <c r="A48" s="377" t="s">
        <v>237</v>
      </c>
      <c r="B48" s="385">
        <v>101.86</v>
      </c>
      <c r="C48" s="385">
        <v>97.453999999999994</v>
      </c>
      <c r="D48" s="341">
        <f t="shared" ref="D48:H48" si="50">D47</f>
        <v>5000</v>
      </c>
      <c r="E48" s="341">
        <f t="shared" si="50"/>
        <v>28</v>
      </c>
      <c r="F48" s="341">
        <f t="shared" si="50"/>
        <v>13</v>
      </c>
      <c r="G48" s="341">
        <f t="shared" si="50"/>
        <v>0.8</v>
      </c>
      <c r="H48" s="341">
        <f t="shared" si="50"/>
        <v>8</v>
      </c>
      <c r="I48" s="342">
        <f t="shared" si="0"/>
        <v>0.66206896551724137</v>
      </c>
      <c r="J48" s="342">
        <f t="shared" si="1"/>
        <v>6.6206896551724137</v>
      </c>
      <c r="K48" s="343">
        <f t="shared" si="2"/>
        <v>66.108004964482291</v>
      </c>
      <c r="L48" s="380">
        <v>0</v>
      </c>
      <c r="M48" s="345">
        <f t="shared" si="3"/>
        <v>-0.51944827586206932</v>
      </c>
      <c r="N48" s="381">
        <f t="shared" si="4"/>
        <v>66.627453240344366</v>
      </c>
      <c r="O48" s="381">
        <v>68.824000000000012</v>
      </c>
      <c r="P48" s="382">
        <f t="shared" si="5"/>
        <v>2.1965467596556465</v>
      </c>
      <c r="Q48" s="383">
        <f t="shared" si="6"/>
        <v>67.289224800000014</v>
      </c>
      <c r="R48" s="384">
        <f t="shared" si="7"/>
        <v>0.66177155965564793</v>
      </c>
      <c r="S48" s="378">
        <v>96.382000000000005</v>
      </c>
      <c r="T48" s="385">
        <f t="shared" si="8"/>
        <v>56.785061666666657</v>
      </c>
      <c r="U48" s="386">
        <f t="shared" si="9"/>
        <v>-9.842391573677709</v>
      </c>
      <c r="V48" s="385">
        <f t="shared" si="10"/>
        <v>62.804530833333331</v>
      </c>
      <c r="W48" s="385">
        <f t="shared" si="11"/>
        <v>86.304530833333331</v>
      </c>
      <c r="X48" s="387">
        <f t="shared" si="12"/>
        <v>-3.8229224070110348</v>
      </c>
      <c r="Y48" s="357"/>
      <c r="Z48" s="357"/>
    </row>
    <row r="49" spans="1:26" ht="15.75" customHeight="1" x14ac:dyDescent="0.4">
      <c r="A49" s="377" t="s">
        <v>238</v>
      </c>
      <c r="B49" s="385">
        <v>94.75</v>
      </c>
      <c r="C49" s="385">
        <v>90.932500000000005</v>
      </c>
      <c r="D49" s="341">
        <f t="shared" ref="D49:H49" si="51">D48</f>
        <v>5000</v>
      </c>
      <c r="E49" s="341">
        <f t="shared" si="51"/>
        <v>28</v>
      </c>
      <c r="F49" s="341">
        <f t="shared" si="51"/>
        <v>13</v>
      </c>
      <c r="G49" s="341">
        <f t="shared" si="51"/>
        <v>0.8</v>
      </c>
      <c r="H49" s="341">
        <f t="shared" si="51"/>
        <v>8</v>
      </c>
      <c r="I49" s="342">
        <f t="shared" si="0"/>
        <v>0.66206896551724137</v>
      </c>
      <c r="J49" s="342">
        <f t="shared" si="1"/>
        <v>6.6206896551724137</v>
      </c>
      <c r="K49" s="343">
        <f t="shared" si="2"/>
        <v>61.493554588500857</v>
      </c>
      <c r="L49" s="380">
        <v>0</v>
      </c>
      <c r="M49" s="345">
        <f t="shared" si="3"/>
        <v>-0.51944827586206932</v>
      </c>
      <c r="N49" s="381">
        <f t="shared" si="4"/>
        <v>62.013002864362925</v>
      </c>
      <c r="O49" s="381">
        <v>62.344999999999999</v>
      </c>
      <c r="P49" s="382">
        <f t="shared" si="5"/>
        <v>0.33199713563707434</v>
      </c>
      <c r="Q49" s="383">
        <f t="shared" si="6"/>
        <v>60.9547065</v>
      </c>
      <c r="R49" s="384">
        <f t="shared" si="7"/>
        <v>-1.0582963643629242</v>
      </c>
      <c r="S49" s="378">
        <v>93.9375</v>
      </c>
      <c r="T49" s="385">
        <f t="shared" si="8"/>
        <v>55.344843749999995</v>
      </c>
      <c r="U49" s="386">
        <f t="shared" si="9"/>
        <v>-6.6681591143629291</v>
      </c>
      <c r="V49" s="385">
        <f t="shared" si="10"/>
        <v>58.844921874999997</v>
      </c>
      <c r="W49" s="385">
        <f t="shared" si="11"/>
        <v>82.344921874999997</v>
      </c>
      <c r="X49" s="387">
        <f t="shared" si="12"/>
        <v>-3.1680809893629274</v>
      </c>
      <c r="Y49" s="357"/>
      <c r="Z49" s="357"/>
    </row>
    <row r="50" spans="1:26" ht="15.75" customHeight="1" x14ac:dyDescent="0.4">
      <c r="A50" s="377" t="s">
        <v>239</v>
      </c>
      <c r="B50" s="385">
        <v>89.53</v>
      </c>
      <c r="C50" s="385">
        <v>96.43</v>
      </c>
      <c r="D50" s="341">
        <f t="shared" ref="D50:H50" si="52">D49</f>
        <v>5000</v>
      </c>
      <c r="E50" s="341">
        <f t="shared" si="52"/>
        <v>28</v>
      </c>
      <c r="F50" s="341">
        <f t="shared" si="52"/>
        <v>13</v>
      </c>
      <c r="G50" s="341">
        <f t="shared" si="52"/>
        <v>0.8</v>
      </c>
      <c r="H50" s="341">
        <f t="shared" si="52"/>
        <v>8</v>
      </c>
      <c r="I50" s="342">
        <f t="shared" si="0"/>
        <v>0.66206896551724137</v>
      </c>
      <c r="J50" s="342">
        <f t="shared" si="1"/>
        <v>6.6206896551724137</v>
      </c>
      <c r="K50" s="343">
        <f t="shared" si="2"/>
        <v>58.105730261830935</v>
      </c>
      <c r="L50" s="380">
        <v>0</v>
      </c>
      <c r="M50" s="345">
        <f t="shared" si="3"/>
        <v>-0.51944827586206932</v>
      </c>
      <c r="N50" s="381">
        <f t="shared" si="4"/>
        <v>58.625178537693003</v>
      </c>
      <c r="O50" s="381">
        <v>64.067499999999995</v>
      </c>
      <c r="P50" s="382">
        <f t="shared" si="5"/>
        <v>5.4423214623069924</v>
      </c>
      <c r="Q50" s="383">
        <f t="shared" si="6"/>
        <v>62.638794749999995</v>
      </c>
      <c r="R50" s="384">
        <f t="shared" si="7"/>
        <v>4.0136162123069923</v>
      </c>
      <c r="S50" s="378">
        <v>105.14</v>
      </c>
      <c r="T50" s="385">
        <f t="shared" si="8"/>
        <v>61.944983333333326</v>
      </c>
      <c r="U50" s="386">
        <f t="shared" si="9"/>
        <v>3.3198047956403229</v>
      </c>
      <c r="V50" s="385">
        <f t="shared" si="10"/>
        <v>63.006241666666661</v>
      </c>
      <c r="W50" s="385">
        <f t="shared" si="11"/>
        <v>86.506241666666654</v>
      </c>
      <c r="X50" s="387">
        <f t="shared" si="12"/>
        <v>4.3810631289736577</v>
      </c>
      <c r="Y50" s="357"/>
      <c r="Z50" s="357"/>
    </row>
    <row r="51" spans="1:26" ht="15.75" customHeight="1" x14ac:dyDescent="0.4">
      <c r="A51" s="377" t="s">
        <v>240</v>
      </c>
      <c r="B51" s="385">
        <v>96.61</v>
      </c>
      <c r="C51" s="385">
        <v>101.63800000000001</v>
      </c>
      <c r="D51" s="341">
        <f t="shared" ref="D51:H51" si="53">D50</f>
        <v>5000</v>
      </c>
      <c r="E51" s="341">
        <f t="shared" si="53"/>
        <v>28</v>
      </c>
      <c r="F51" s="341">
        <f t="shared" si="53"/>
        <v>13</v>
      </c>
      <c r="G51" s="341">
        <f t="shared" si="53"/>
        <v>0.8</v>
      </c>
      <c r="H51" s="341">
        <f t="shared" si="53"/>
        <v>8</v>
      </c>
      <c r="I51" s="342">
        <f t="shared" si="0"/>
        <v>0.66206896551724137</v>
      </c>
      <c r="J51" s="342">
        <f t="shared" si="1"/>
        <v>6.6206896551724137</v>
      </c>
      <c r="K51" s="343">
        <f t="shared" si="2"/>
        <v>62.700710383061406</v>
      </c>
      <c r="L51" s="380">
        <v>0</v>
      </c>
      <c r="M51" s="345">
        <f t="shared" si="3"/>
        <v>-0.51944827586206932</v>
      </c>
      <c r="N51" s="381">
        <f t="shared" si="4"/>
        <v>63.220158658923474</v>
      </c>
      <c r="O51" s="381">
        <v>66.8</v>
      </c>
      <c r="P51" s="382">
        <f t="shared" si="5"/>
        <v>3.5798413410765235</v>
      </c>
      <c r="Q51" s="383">
        <f t="shared" si="6"/>
        <v>65.310360000000003</v>
      </c>
      <c r="R51" s="384">
        <f t="shared" si="7"/>
        <v>2.0902013410765292</v>
      </c>
      <c r="S51" s="378">
        <v>114.76199999999999</v>
      </c>
      <c r="T51" s="385">
        <f t="shared" si="8"/>
        <v>67.613944999999987</v>
      </c>
      <c r="U51" s="386">
        <f t="shared" si="9"/>
        <v>4.3937863410765132</v>
      </c>
      <c r="V51" s="385">
        <f t="shared" si="10"/>
        <v>67.206972499999992</v>
      </c>
      <c r="W51" s="385">
        <f t="shared" si="11"/>
        <v>90.706972499999992</v>
      </c>
      <c r="X51" s="387">
        <f t="shared" si="12"/>
        <v>3.9868138410765184</v>
      </c>
      <c r="Y51" s="357"/>
      <c r="Z51" s="357"/>
    </row>
    <row r="52" spans="1:26" ht="15.75" customHeight="1" x14ac:dyDescent="0.4">
      <c r="A52" s="377" t="s">
        <v>241</v>
      </c>
      <c r="B52" s="385">
        <v>104.65</v>
      </c>
      <c r="C52" s="385">
        <v>104.2625</v>
      </c>
      <c r="D52" s="341">
        <f t="shared" ref="D52:H52" si="54">D51</f>
        <v>5000</v>
      </c>
      <c r="E52" s="341">
        <f t="shared" si="54"/>
        <v>28</v>
      </c>
      <c r="F52" s="341">
        <f t="shared" si="54"/>
        <v>13</v>
      </c>
      <c r="G52" s="341">
        <f t="shared" si="54"/>
        <v>0.8</v>
      </c>
      <c r="H52" s="341">
        <f t="shared" si="54"/>
        <v>8</v>
      </c>
      <c r="I52" s="342">
        <f t="shared" si="0"/>
        <v>0.66206896551724137</v>
      </c>
      <c r="J52" s="342">
        <f t="shared" si="1"/>
        <v>6.6206896551724137</v>
      </c>
      <c r="K52" s="343">
        <f t="shared" si="2"/>
        <v>67.918738656323114</v>
      </c>
      <c r="L52" s="380">
        <v>0</v>
      </c>
      <c r="M52" s="345">
        <f t="shared" si="3"/>
        <v>-0.51944827586206932</v>
      </c>
      <c r="N52" s="381">
        <f t="shared" si="4"/>
        <v>68.438186932185189</v>
      </c>
      <c r="O52" s="381">
        <v>65.747500000000002</v>
      </c>
      <c r="P52" s="382">
        <f t="shared" si="5"/>
        <v>-2.6906869321851872</v>
      </c>
      <c r="Q52" s="383">
        <f t="shared" si="6"/>
        <v>64.281330750000009</v>
      </c>
      <c r="R52" s="384">
        <f t="shared" si="7"/>
        <v>-4.1568561821851802</v>
      </c>
      <c r="S52" s="378">
        <v>119.83499999999999</v>
      </c>
      <c r="T52" s="385">
        <f t="shared" si="8"/>
        <v>70.602787499999991</v>
      </c>
      <c r="U52" s="386">
        <f t="shared" si="9"/>
        <v>2.1646005678148015</v>
      </c>
      <c r="V52" s="385">
        <f t="shared" si="10"/>
        <v>68.175143749999989</v>
      </c>
      <c r="W52" s="385">
        <f t="shared" si="11"/>
        <v>91.675143749999989</v>
      </c>
      <c r="X52" s="387">
        <f t="shared" si="12"/>
        <v>-0.26304318218519995</v>
      </c>
      <c r="Y52" s="357"/>
      <c r="Z52" s="357"/>
    </row>
    <row r="53" spans="1:26" ht="15.75" customHeight="1" x14ac:dyDescent="0.4">
      <c r="A53" s="377" t="s">
        <v>242</v>
      </c>
      <c r="B53" s="385">
        <v>107.83</v>
      </c>
      <c r="C53" s="385">
        <v>101.13400000000001</v>
      </c>
      <c r="D53" s="341">
        <f t="shared" ref="D53:H53" si="55">D52</f>
        <v>5000</v>
      </c>
      <c r="E53" s="341">
        <f t="shared" si="55"/>
        <v>28</v>
      </c>
      <c r="F53" s="341">
        <f t="shared" si="55"/>
        <v>13</v>
      </c>
      <c r="G53" s="341">
        <f t="shared" si="55"/>
        <v>0.8</v>
      </c>
      <c r="H53" s="341">
        <f t="shared" si="55"/>
        <v>8</v>
      </c>
      <c r="I53" s="342">
        <f t="shared" si="0"/>
        <v>0.66206896551724137</v>
      </c>
      <c r="J53" s="342">
        <f t="shared" si="1"/>
        <v>6.6206896551724137</v>
      </c>
      <c r="K53" s="343">
        <f t="shared" si="2"/>
        <v>69.982585659926613</v>
      </c>
      <c r="L53" s="380">
        <v>0</v>
      </c>
      <c r="M53" s="345">
        <f t="shared" si="3"/>
        <v>-0.51944827586206932</v>
      </c>
      <c r="N53" s="381">
        <f t="shared" si="4"/>
        <v>70.502033935788688</v>
      </c>
      <c r="O53" s="381">
        <v>57.95</v>
      </c>
      <c r="P53" s="382">
        <f t="shared" si="5"/>
        <v>-12.552033935788685</v>
      </c>
      <c r="Q53" s="383">
        <f t="shared" si="6"/>
        <v>56.657715000000003</v>
      </c>
      <c r="R53" s="384">
        <f t="shared" si="7"/>
        <v>-13.844318935788685</v>
      </c>
      <c r="S53" s="378">
        <v>118.5</v>
      </c>
      <c r="T53" s="385">
        <f t="shared" si="8"/>
        <v>69.816249999999997</v>
      </c>
      <c r="U53" s="386">
        <f t="shared" si="9"/>
        <v>-0.68578393578869168</v>
      </c>
      <c r="V53" s="385">
        <f t="shared" si="10"/>
        <v>63.883125</v>
      </c>
      <c r="W53" s="385">
        <f t="shared" si="11"/>
        <v>87.383125000000007</v>
      </c>
      <c r="X53" s="387">
        <f t="shared" si="12"/>
        <v>-6.6189089357886886</v>
      </c>
      <c r="Y53" s="357"/>
      <c r="Z53" s="357"/>
    </row>
    <row r="54" spans="1:26" ht="15.75" customHeight="1" x14ac:dyDescent="0.4">
      <c r="A54" s="377" t="s">
        <v>243</v>
      </c>
      <c r="B54" s="385">
        <v>104.81</v>
      </c>
      <c r="C54" s="385">
        <v>98.224999999999994</v>
      </c>
      <c r="D54" s="341">
        <f t="shared" ref="D54:H54" si="56">D53</f>
        <v>5000</v>
      </c>
      <c r="E54" s="341">
        <f t="shared" si="56"/>
        <v>28</v>
      </c>
      <c r="F54" s="341">
        <f t="shared" si="56"/>
        <v>13</v>
      </c>
      <c r="G54" s="341">
        <f t="shared" si="56"/>
        <v>0.8</v>
      </c>
      <c r="H54" s="341">
        <f t="shared" si="56"/>
        <v>8</v>
      </c>
      <c r="I54" s="342">
        <f t="shared" si="0"/>
        <v>0.66206896551724137</v>
      </c>
      <c r="J54" s="342">
        <f t="shared" si="1"/>
        <v>6.6206896551724137</v>
      </c>
      <c r="K54" s="343">
        <f t="shared" si="2"/>
        <v>68.022580014994986</v>
      </c>
      <c r="L54" s="380">
        <v>0</v>
      </c>
      <c r="M54" s="345">
        <f t="shared" si="3"/>
        <v>-0.51944827586206932</v>
      </c>
      <c r="N54" s="381">
        <f t="shared" si="4"/>
        <v>68.542028290857061</v>
      </c>
      <c r="O54" s="381">
        <v>53.817500000000003</v>
      </c>
      <c r="P54" s="382">
        <f t="shared" si="5"/>
        <v>-14.724528290857059</v>
      </c>
      <c r="Q54" s="383">
        <f t="shared" si="6"/>
        <v>52.617369750000002</v>
      </c>
      <c r="R54" s="384">
        <f t="shared" si="7"/>
        <v>-15.92465854085706</v>
      </c>
      <c r="S54" s="378">
        <v>114.2025</v>
      </c>
      <c r="T54" s="385">
        <f t="shared" si="8"/>
        <v>67.28430625</v>
      </c>
      <c r="U54" s="386">
        <f t="shared" si="9"/>
        <v>-1.2577220408570611</v>
      </c>
      <c r="V54" s="385">
        <f t="shared" si="10"/>
        <v>60.550903125000005</v>
      </c>
      <c r="W54" s="385">
        <f t="shared" si="11"/>
        <v>84.050903125000005</v>
      </c>
      <c r="X54" s="387">
        <f t="shared" si="12"/>
        <v>-7.9911251658570563</v>
      </c>
      <c r="Y54" s="357"/>
      <c r="Z54" s="357"/>
    </row>
    <row r="55" spans="1:26" ht="15.75" customHeight="1" x14ac:dyDescent="0.4">
      <c r="A55" s="377" t="s">
        <v>244</v>
      </c>
      <c r="B55" s="385">
        <v>100.89</v>
      </c>
      <c r="C55" s="385">
        <v>97.81</v>
      </c>
      <c r="D55" s="341">
        <f t="shared" ref="D55:H55" si="57">D54</f>
        <v>5000</v>
      </c>
      <c r="E55" s="341">
        <f t="shared" si="57"/>
        <v>28</v>
      </c>
      <c r="F55" s="341">
        <f t="shared" si="57"/>
        <v>13</v>
      </c>
      <c r="G55" s="341">
        <f t="shared" si="57"/>
        <v>0.8</v>
      </c>
      <c r="H55" s="341">
        <f t="shared" si="57"/>
        <v>8</v>
      </c>
      <c r="I55" s="342">
        <f t="shared" si="0"/>
        <v>0.66206896551724137</v>
      </c>
      <c r="J55" s="342">
        <f t="shared" si="1"/>
        <v>6.6206896551724137</v>
      </c>
      <c r="K55" s="343">
        <f t="shared" si="2"/>
        <v>65.478466727534041</v>
      </c>
      <c r="L55" s="380">
        <v>0</v>
      </c>
      <c r="M55" s="345">
        <f t="shared" si="3"/>
        <v>-0.51944827586206932</v>
      </c>
      <c r="N55" s="381">
        <f t="shared" si="4"/>
        <v>65.997915003396116</v>
      </c>
      <c r="O55" s="381">
        <v>52.837499999999999</v>
      </c>
      <c r="P55" s="382">
        <f t="shared" si="5"/>
        <v>-13.160415003396118</v>
      </c>
      <c r="Q55" s="383">
        <f t="shared" si="6"/>
        <v>51.659223750000002</v>
      </c>
      <c r="R55" s="384">
        <f t="shared" si="7"/>
        <v>-14.338691253396114</v>
      </c>
      <c r="S55" s="378">
        <v>109.51750000000001</v>
      </c>
      <c r="T55" s="385">
        <f t="shared" si="8"/>
        <v>64.524060416666671</v>
      </c>
      <c r="U55" s="386">
        <f t="shared" si="9"/>
        <v>-1.4738545867294448</v>
      </c>
      <c r="V55" s="385">
        <f t="shared" si="10"/>
        <v>58.680780208333331</v>
      </c>
      <c r="W55" s="385">
        <f t="shared" si="11"/>
        <v>82.180780208333331</v>
      </c>
      <c r="X55" s="387">
        <f t="shared" si="12"/>
        <v>-7.3171347950627847</v>
      </c>
      <c r="Y55" s="357"/>
      <c r="Z55" s="357"/>
    </row>
    <row r="56" spans="1:26" ht="15.75" customHeight="1" x14ac:dyDescent="0.4">
      <c r="A56" s="389">
        <v>43422</v>
      </c>
      <c r="B56" s="385">
        <v>97.9</v>
      </c>
      <c r="C56" s="385">
        <v>95.015999999999991</v>
      </c>
      <c r="D56" s="341">
        <f t="shared" ref="D56:H56" si="58">D55</f>
        <v>5000</v>
      </c>
      <c r="E56" s="341">
        <f t="shared" si="58"/>
        <v>28</v>
      </c>
      <c r="F56" s="341">
        <f t="shared" si="58"/>
        <v>13</v>
      </c>
      <c r="G56" s="341">
        <f t="shared" si="58"/>
        <v>0.8</v>
      </c>
      <c r="H56" s="341">
        <f t="shared" si="58"/>
        <v>8</v>
      </c>
      <c r="I56" s="342">
        <f t="shared" si="0"/>
        <v>0.66206896551724137</v>
      </c>
      <c r="J56" s="342">
        <f t="shared" si="1"/>
        <v>6.6206896551724137</v>
      </c>
      <c r="K56" s="343">
        <f t="shared" si="2"/>
        <v>63.537931337353392</v>
      </c>
      <c r="L56" s="380">
        <v>0</v>
      </c>
      <c r="M56" s="345">
        <f t="shared" si="3"/>
        <v>-0.51944827586206932</v>
      </c>
      <c r="N56" s="381">
        <f t="shared" si="4"/>
        <v>64.05737961321546</v>
      </c>
      <c r="O56" s="381">
        <v>49.612000000000002</v>
      </c>
      <c r="P56" s="382">
        <f t="shared" si="5"/>
        <v>-14.445379613215458</v>
      </c>
      <c r="Q56" s="383">
        <f t="shared" si="6"/>
        <v>48.505652400000002</v>
      </c>
      <c r="R56" s="384">
        <f t="shared" si="7"/>
        <v>-15.551727213215457</v>
      </c>
      <c r="S56" s="378">
        <v>101.80800000000001</v>
      </c>
      <c r="T56" s="385">
        <f t="shared" si="8"/>
        <v>59.981879999999997</v>
      </c>
      <c r="U56" s="386">
        <f t="shared" si="9"/>
        <v>-4.0754996132154631</v>
      </c>
      <c r="V56" s="385">
        <f t="shared" si="10"/>
        <v>54.796939999999999</v>
      </c>
      <c r="W56" s="385">
        <f t="shared" si="11"/>
        <v>78.296940000000006</v>
      </c>
      <c r="X56" s="387">
        <f t="shared" si="12"/>
        <v>-9.2604396132154605</v>
      </c>
      <c r="Y56" s="357"/>
      <c r="Z56" s="357"/>
    </row>
    <row r="57" spans="1:26" ht="15.75" customHeight="1" x14ac:dyDescent="0.4">
      <c r="A57" s="377" t="s">
        <v>245</v>
      </c>
      <c r="B57" s="385">
        <v>92.51</v>
      </c>
      <c r="C57" s="385">
        <v>94.279999999999987</v>
      </c>
      <c r="D57" s="341">
        <f t="shared" ref="D57:H57" si="59">D56</f>
        <v>5000</v>
      </c>
      <c r="E57" s="341">
        <f t="shared" si="59"/>
        <v>28</v>
      </c>
      <c r="F57" s="341">
        <f t="shared" si="59"/>
        <v>13</v>
      </c>
      <c r="G57" s="341">
        <f t="shared" si="59"/>
        <v>0.8</v>
      </c>
      <c r="H57" s="341">
        <f t="shared" si="59"/>
        <v>8</v>
      </c>
      <c r="I57" s="342">
        <f t="shared" si="0"/>
        <v>0.66206896551724137</v>
      </c>
      <c r="J57" s="342">
        <f t="shared" si="1"/>
        <v>6.6206896551724137</v>
      </c>
      <c r="K57" s="343">
        <f t="shared" si="2"/>
        <v>60.039775567094608</v>
      </c>
      <c r="L57" s="380">
        <v>0</v>
      </c>
      <c r="M57" s="345">
        <f t="shared" si="3"/>
        <v>-0.51944827586206932</v>
      </c>
      <c r="N57" s="381">
        <f t="shared" si="4"/>
        <v>60.559223842956676</v>
      </c>
      <c r="O57" s="381">
        <v>46.695</v>
      </c>
      <c r="P57" s="382">
        <f t="shared" si="5"/>
        <v>-13.864223842956676</v>
      </c>
      <c r="Q57" s="383">
        <f t="shared" si="6"/>
        <v>45.653701500000004</v>
      </c>
      <c r="R57" s="384">
        <f t="shared" si="7"/>
        <v>-14.905522342956672</v>
      </c>
      <c r="S57" s="378">
        <v>101.86500000000001</v>
      </c>
      <c r="T57" s="385">
        <f t="shared" si="8"/>
        <v>60.015462499999998</v>
      </c>
      <c r="U57" s="386">
        <f t="shared" si="9"/>
        <v>-0.54376134295667811</v>
      </c>
      <c r="V57" s="385">
        <f t="shared" si="10"/>
        <v>53.355231250000003</v>
      </c>
      <c r="W57" s="385">
        <f t="shared" si="11"/>
        <v>76.855231250000003</v>
      </c>
      <c r="X57" s="387">
        <f t="shared" si="12"/>
        <v>-7.2039925929566735</v>
      </c>
      <c r="Y57" s="357"/>
      <c r="Z57" s="357"/>
    </row>
    <row r="58" spans="1:26" ht="15.75" customHeight="1" x14ac:dyDescent="0.4">
      <c r="A58" s="388" t="s">
        <v>246</v>
      </c>
      <c r="B58" s="385">
        <v>92.41</v>
      </c>
      <c r="C58" s="385">
        <v>97.047499999999999</v>
      </c>
      <c r="D58" s="341">
        <f t="shared" ref="D58:H58" si="60">D57</f>
        <v>5000</v>
      </c>
      <c r="E58" s="341">
        <f t="shared" si="60"/>
        <v>28</v>
      </c>
      <c r="F58" s="341">
        <f t="shared" si="60"/>
        <v>13</v>
      </c>
      <c r="G58" s="341">
        <f t="shared" si="60"/>
        <v>0.8</v>
      </c>
      <c r="H58" s="341">
        <f t="shared" si="60"/>
        <v>8</v>
      </c>
      <c r="I58" s="342">
        <f t="shared" si="0"/>
        <v>0.66206896551724137</v>
      </c>
      <c r="J58" s="342">
        <f t="shared" si="1"/>
        <v>6.6206896551724137</v>
      </c>
      <c r="K58" s="343">
        <f t="shared" si="2"/>
        <v>59.974874717924685</v>
      </c>
      <c r="L58" s="380">
        <v>0</v>
      </c>
      <c r="M58" s="345">
        <f t="shared" si="3"/>
        <v>-0.51944827586206932</v>
      </c>
      <c r="N58" s="381">
        <f t="shared" si="4"/>
        <v>60.494322993786753</v>
      </c>
      <c r="O58" s="381">
        <v>49.01</v>
      </c>
      <c r="P58" s="382">
        <f t="shared" si="5"/>
        <v>-11.484322993786755</v>
      </c>
      <c r="Q58" s="383">
        <f t="shared" si="6"/>
        <v>47.917076999999999</v>
      </c>
      <c r="R58" s="384">
        <f t="shared" si="7"/>
        <v>-12.577245993786754</v>
      </c>
      <c r="S58" s="378">
        <v>99.057500000000005</v>
      </c>
      <c r="T58" s="385">
        <f t="shared" si="8"/>
        <v>58.361377083333331</v>
      </c>
      <c r="U58" s="386">
        <f t="shared" si="9"/>
        <v>-2.1329459104534223</v>
      </c>
      <c r="V58" s="385">
        <f t="shared" si="10"/>
        <v>53.685688541666664</v>
      </c>
      <c r="W58" s="385">
        <f t="shared" si="11"/>
        <v>77.185688541666664</v>
      </c>
      <c r="X58" s="387">
        <f t="shared" si="12"/>
        <v>-6.8086344521200886</v>
      </c>
      <c r="Y58" s="357"/>
      <c r="Z58" s="357"/>
    </row>
    <row r="59" spans="1:26" ht="15.75" customHeight="1" x14ac:dyDescent="0.4">
      <c r="A59" s="377" t="s">
        <v>247</v>
      </c>
      <c r="B59" s="385">
        <v>91.8</v>
      </c>
      <c r="C59" s="385">
        <v>96.872500000000002</v>
      </c>
      <c r="D59" s="341">
        <f t="shared" ref="D59:H59" si="61">D58</f>
        <v>5000</v>
      </c>
      <c r="E59" s="341">
        <f t="shared" si="61"/>
        <v>28</v>
      </c>
      <c r="F59" s="341">
        <f t="shared" si="61"/>
        <v>13</v>
      </c>
      <c r="G59" s="341">
        <f t="shared" si="61"/>
        <v>0.8</v>
      </c>
      <c r="H59" s="341">
        <f t="shared" si="61"/>
        <v>8</v>
      </c>
      <c r="I59" s="342">
        <f t="shared" si="0"/>
        <v>0.66206896551724137</v>
      </c>
      <c r="J59" s="342">
        <f t="shared" si="1"/>
        <v>6.6206896551724137</v>
      </c>
      <c r="K59" s="343">
        <f t="shared" si="2"/>
        <v>59.578979537988168</v>
      </c>
      <c r="L59" s="380">
        <v>0</v>
      </c>
      <c r="M59" s="345">
        <f t="shared" si="3"/>
        <v>-0.51944827586206932</v>
      </c>
      <c r="N59" s="381">
        <f t="shared" si="4"/>
        <v>60.098427813850236</v>
      </c>
      <c r="O59" s="381">
        <v>54.084999999999994</v>
      </c>
      <c r="P59" s="382">
        <f t="shared" si="5"/>
        <v>-6.0134278138502424</v>
      </c>
      <c r="Q59" s="383">
        <f t="shared" si="6"/>
        <v>52.878904499999997</v>
      </c>
      <c r="R59" s="384">
        <f t="shared" si="7"/>
        <v>-7.2195233138502388</v>
      </c>
      <c r="S59" s="378">
        <v>95.442499999999995</v>
      </c>
      <c r="T59" s="385">
        <f t="shared" si="8"/>
        <v>56.23153958333333</v>
      </c>
      <c r="U59" s="386">
        <f t="shared" si="9"/>
        <v>-3.8668882305169063</v>
      </c>
      <c r="V59" s="385">
        <f t="shared" si="10"/>
        <v>55.158269791666662</v>
      </c>
      <c r="W59" s="385">
        <f t="shared" si="11"/>
        <v>78.658269791666669</v>
      </c>
      <c r="X59" s="387">
        <f t="shared" si="12"/>
        <v>-4.9401580221835744</v>
      </c>
      <c r="Y59" s="357"/>
      <c r="Z59" s="357"/>
    </row>
    <row r="60" spans="1:26" ht="15.75" customHeight="1" x14ac:dyDescent="0.4">
      <c r="A60" s="377" t="s">
        <v>248</v>
      </c>
      <c r="B60" s="385">
        <v>90.57</v>
      </c>
      <c r="C60" s="385">
        <v>94.85</v>
      </c>
      <c r="D60" s="341">
        <f t="shared" ref="D60:H60" si="62">D59</f>
        <v>5000</v>
      </c>
      <c r="E60" s="341">
        <f t="shared" si="62"/>
        <v>28</v>
      </c>
      <c r="F60" s="341">
        <f t="shared" si="62"/>
        <v>13</v>
      </c>
      <c r="G60" s="341">
        <f t="shared" si="62"/>
        <v>0.8</v>
      </c>
      <c r="H60" s="341">
        <f t="shared" si="62"/>
        <v>8</v>
      </c>
      <c r="I60" s="342">
        <f t="shared" si="0"/>
        <v>0.66206896551724137</v>
      </c>
      <c r="J60" s="342">
        <f t="shared" si="1"/>
        <v>6.6206896551724137</v>
      </c>
      <c r="K60" s="343">
        <f t="shared" si="2"/>
        <v>58.780699093198123</v>
      </c>
      <c r="L60" s="380">
        <v>0</v>
      </c>
      <c r="M60" s="345">
        <f t="shared" si="3"/>
        <v>-0.51944827586206932</v>
      </c>
      <c r="N60" s="381">
        <f t="shared" si="4"/>
        <v>59.300147369060191</v>
      </c>
      <c r="O60" s="381">
        <v>56.076000000000001</v>
      </c>
      <c r="P60" s="382">
        <f t="shared" si="5"/>
        <v>-3.2241473690601907</v>
      </c>
      <c r="Q60" s="383">
        <f t="shared" si="6"/>
        <v>54.825505200000002</v>
      </c>
      <c r="R60" s="384">
        <f t="shared" si="7"/>
        <v>-4.4746421690601892</v>
      </c>
      <c r="S60" s="378">
        <v>93.134</v>
      </c>
      <c r="T60" s="385">
        <f t="shared" si="8"/>
        <v>54.871448333333326</v>
      </c>
      <c r="U60" s="386">
        <f t="shared" si="9"/>
        <v>-4.428699035726865</v>
      </c>
      <c r="V60" s="385">
        <f t="shared" si="10"/>
        <v>55.473724166666663</v>
      </c>
      <c r="W60" s="385">
        <f t="shared" si="11"/>
        <v>78.97372416666667</v>
      </c>
      <c r="X60" s="387">
        <f t="shared" si="12"/>
        <v>-3.8264232023935278</v>
      </c>
      <c r="Y60" s="357"/>
      <c r="Z60" s="357"/>
    </row>
    <row r="61" spans="1:26" ht="15.75" customHeight="1" x14ac:dyDescent="0.4">
      <c r="A61" s="377" t="s">
        <v>249</v>
      </c>
      <c r="B61" s="385">
        <v>88.85</v>
      </c>
      <c r="C61" s="385">
        <v>85.422499999999999</v>
      </c>
      <c r="D61" s="341">
        <f t="shared" ref="D61:H61" si="63">D60</f>
        <v>5000</v>
      </c>
      <c r="E61" s="341">
        <f t="shared" si="63"/>
        <v>28</v>
      </c>
      <c r="F61" s="341">
        <f t="shared" si="63"/>
        <v>13</v>
      </c>
      <c r="G61" s="341">
        <f t="shared" si="63"/>
        <v>0.8</v>
      </c>
      <c r="H61" s="341">
        <f t="shared" si="63"/>
        <v>8</v>
      </c>
      <c r="I61" s="342">
        <f t="shared" si="0"/>
        <v>0.66206896551724137</v>
      </c>
      <c r="J61" s="342">
        <f t="shared" si="1"/>
        <v>6.6206896551724137</v>
      </c>
      <c r="K61" s="343">
        <f t="shared" si="2"/>
        <v>57.664404487475466</v>
      </c>
      <c r="L61" s="380">
        <v>0</v>
      </c>
      <c r="M61" s="345">
        <f t="shared" si="3"/>
        <v>-0.51944827586206932</v>
      </c>
      <c r="N61" s="381">
        <f t="shared" si="4"/>
        <v>58.183852763337534</v>
      </c>
      <c r="O61" s="381">
        <v>52.977499999999999</v>
      </c>
      <c r="P61" s="382">
        <f t="shared" si="5"/>
        <v>-5.2063527633375344</v>
      </c>
      <c r="Q61" s="383">
        <f t="shared" si="6"/>
        <v>51.796101749999998</v>
      </c>
      <c r="R61" s="384">
        <f t="shared" si="7"/>
        <v>-6.3877510133375353</v>
      </c>
      <c r="S61" s="378">
        <v>85.322500000000005</v>
      </c>
      <c r="T61" s="385">
        <f t="shared" si="8"/>
        <v>50.269172916666669</v>
      </c>
      <c r="U61" s="386">
        <f t="shared" si="9"/>
        <v>-7.9146798466708645</v>
      </c>
      <c r="V61" s="385">
        <f t="shared" si="10"/>
        <v>51.623336458333334</v>
      </c>
      <c r="W61" s="385">
        <f t="shared" si="11"/>
        <v>75.123336458333341</v>
      </c>
      <c r="X61" s="387">
        <f t="shared" si="12"/>
        <v>-6.5605163050041995</v>
      </c>
      <c r="Y61" s="357"/>
      <c r="Z61" s="357"/>
    </row>
    <row r="62" spans="1:26" ht="15.75" customHeight="1" x14ac:dyDescent="0.4">
      <c r="A62" s="377" t="s">
        <v>250</v>
      </c>
      <c r="B62" s="385">
        <v>81.86</v>
      </c>
      <c r="C62" s="385">
        <v>83.388000000000005</v>
      </c>
      <c r="D62" s="341">
        <f t="shared" ref="D62:H62" si="64">D61</f>
        <v>5000</v>
      </c>
      <c r="E62" s="341">
        <f t="shared" si="64"/>
        <v>28</v>
      </c>
      <c r="F62" s="341">
        <f t="shared" si="64"/>
        <v>13</v>
      </c>
      <c r="G62" s="341">
        <f t="shared" si="64"/>
        <v>0.8</v>
      </c>
      <c r="H62" s="341">
        <f t="shared" si="64"/>
        <v>8</v>
      </c>
      <c r="I62" s="342">
        <f t="shared" si="0"/>
        <v>0.66206896551724137</v>
      </c>
      <c r="J62" s="342">
        <f t="shared" si="1"/>
        <v>6.6206896551724137</v>
      </c>
      <c r="K62" s="343">
        <f t="shared" si="2"/>
        <v>53.127835130497942</v>
      </c>
      <c r="L62" s="380">
        <v>0</v>
      </c>
      <c r="M62" s="345">
        <f t="shared" si="3"/>
        <v>-0.51944827586206932</v>
      </c>
      <c r="N62" s="381">
        <f t="shared" si="4"/>
        <v>53.64728340636001</v>
      </c>
      <c r="O62" s="381">
        <v>52.606000000000009</v>
      </c>
      <c r="P62" s="382">
        <f t="shared" si="5"/>
        <v>-1.0412834063600016</v>
      </c>
      <c r="Q62" s="383">
        <f t="shared" si="6"/>
        <v>51.432886200000006</v>
      </c>
      <c r="R62" s="384">
        <f t="shared" si="7"/>
        <v>-2.2143972063600046</v>
      </c>
      <c r="S62" s="378">
        <v>83.756</v>
      </c>
      <c r="T62" s="385">
        <f t="shared" si="8"/>
        <v>49.346243333333334</v>
      </c>
      <c r="U62" s="386">
        <f t="shared" si="9"/>
        <v>-4.3010400730266767</v>
      </c>
      <c r="V62" s="385">
        <f t="shared" si="10"/>
        <v>50.976121666666671</v>
      </c>
      <c r="W62" s="385">
        <f t="shared" si="11"/>
        <v>74.476121666666671</v>
      </c>
      <c r="X62" s="387">
        <f t="shared" si="12"/>
        <v>-2.6711617396933391</v>
      </c>
      <c r="Y62" s="357"/>
      <c r="Z62" s="357"/>
    </row>
    <row r="63" spans="1:26" ht="15.75" customHeight="1" x14ac:dyDescent="0.4">
      <c r="A63" s="377" t="s">
        <v>251</v>
      </c>
      <c r="B63" s="385">
        <v>81.48</v>
      </c>
      <c r="C63" s="385">
        <v>75.73</v>
      </c>
      <c r="D63" s="341">
        <f t="shared" ref="D63:H63" si="65">D62</f>
        <v>5000</v>
      </c>
      <c r="E63" s="341">
        <f t="shared" si="65"/>
        <v>28</v>
      </c>
      <c r="F63" s="341">
        <f t="shared" si="65"/>
        <v>13</v>
      </c>
      <c r="G63" s="341">
        <f t="shared" si="65"/>
        <v>0.8</v>
      </c>
      <c r="H63" s="341">
        <f t="shared" si="65"/>
        <v>8</v>
      </c>
      <c r="I63" s="342">
        <f t="shared" si="0"/>
        <v>0.66206896551724137</v>
      </c>
      <c r="J63" s="342">
        <f t="shared" si="1"/>
        <v>6.6206896551724137</v>
      </c>
      <c r="K63" s="343">
        <f t="shared" si="2"/>
        <v>52.88121190365225</v>
      </c>
      <c r="L63" s="380">
        <v>0</v>
      </c>
      <c r="M63" s="345">
        <f t="shared" si="3"/>
        <v>-0.51944827586206932</v>
      </c>
      <c r="N63" s="381">
        <f t="shared" si="4"/>
        <v>53.400660179514318</v>
      </c>
      <c r="O63" s="381">
        <v>49.620000000000005</v>
      </c>
      <c r="P63" s="382">
        <f t="shared" si="5"/>
        <v>-3.7806601795143138</v>
      </c>
      <c r="Q63" s="383">
        <f t="shared" si="6"/>
        <v>48.513474000000002</v>
      </c>
      <c r="R63" s="384">
        <f t="shared" si="7"/>
        <v>-4.8871861795143161</v>
      </c>
      <c r="S63" s="378">
        <v>71.112500000000011</v>
      </c>
      <c r="T63" s="385">
        <f t="shared" si="8"/>
        <v>41.897114583333341</v>
      </c>
      <c r="U63" s="386">
        <f t="shared" si="9"/>
        <v>-11.503545596180977</v>
      </c>
      <c r="V63" s="385">
        <f t="shared" si="10"/>
        <v>45.758557291666676</v>
      </c>
      <c r="W63" s="385">
        <f t="shared" si="11"/>
        <v>69.258557291666676</v>
      </c>
      <c r="X63" s="387">
        <f t="shared" si="12"/>
        <v>-7.642102887847642</v>
      </c>
      <c r="Y63" s="357"/>
      <c r="Z63" s="357"/>
    </row>
    <row r="64" spans="1:26" ht="15.75" customHeight="1" x14ac:dyDescent="0.4">
      <c r="A64" s="377" t="s">
        <v>252</v>
      </c>
      <c r="B64" s="385">
        <v>71.92</v>
      </c>
      <c r="C64" s="385">
        <v>74.252499999999998</v>
      </c>
      <c r="D64" s="341">
        <f t="shared" ref="D64:H64" si="66">D63</f>
        <v>5000</v>
      </c>
      <c r="E64" s="341">
        <f t="shared" si="66"/>
        <v>28</v>
      </c>
      <c r="F64" s="341">
        <f t="shared" si="66"/>
        <v>13</v>
      </c>
      <c r="G64" s="341">
        <f t="shared" si="66"/>
        <v>0.8</v>
      </c>
      <c r="H64" s="341">
        <f t="shared" si="66"/>
        <v>8</v>
      </c>
      <c r="I64" s="342">
        <f t="shared" si="0"/>
        <v>0.66206896551724137</v>
      </c>
      <c r="J64" s="342">
        <f t="shared" si="1"/>
        <v>6.6206896551724137</v>
      </c>
      <c r="K64" s="343">
        <f t="shared" si="2"/>
        <v>46.676690723007724</v>
      </c>
      <c r="L64" s="380">
        <v>0</v>
      </c>
      <c r="M64" s="345">
        <f t="shared" si="3"/>
        <v>-0.51944827586206932</v>
      </c>
      <c r="N64" s="381">
        <f t="shared" si="4"/>
        <v>47.196138998869792</v>
      </c>
      <c r="O64" s="381">
        <v>48.994999999999997</v>
      </c>
      <c r="P64" s="382">
        <f t="shared" si="5"/>
        <v>1.7988610011302058</v>
      </c>
      <c r="Q64" s="383">
        <f t="shared" si="6"/>
        <v>47.902411499999999</v>
      </c>
      <c r="R64" s="384">
        <f t="shared" si="7"/>
        <v>0.70627250113020779</v>
      </c>
      <c r="S64" s="378">
        <v>73.962500000000006</v>
      </c>
      <c r="T64" s="385">
        <f t="shared" si="8"/>
        <v>43.576239583333326</v>
      </c>
      <c r="U64" s="386">
        <f t="shared" si="9"/>
        <v>-3.6198994155364659</v>
      </c>
      <c r="V64" s="385">
        <f t="shared" si="10"/>
        <v>46.285619791666662</v>
      </c>
      <c r="W64" s="385">
        <f t="shared" si="11"/>
        <v>69.785619791666662</v>
      </c>
      <c r="X64" s="387">
        <f t="shared" si="12"/>
        <v>-0.91051920720313007</v>
      </c>
      <c r="Y64" s="357"/>
      <c r="Z64" s="357"/>
    </row>
    <row r="65" spans="1:26" ht="15.75" customHeight="1" x14ac:dyDescent="0.4">
      <c r="A65" s="377" t="s">
        <v>253</v>
      </c>
      <c r="B65" s="385">
        <v>72.67</v>
      </c>
      <c r="C65" s="385">
        <v>69.265999999999991</v>
      </c>
      <c r="D65" s="341">
        <f t="shared" ref="D65:H65" si="67">D64</f>
        <v>5000</v>
      </c>
      <c r="E65" s="341">
        <f t="shared" si="67"/>
        <v>28</v>
      </c>
      <c r="F65" s="341">
        <f t="shared" si="67"/>
        <v>13</v>
      </c>
      <c r="G65" s="341">
        <f t="shared" si="67"/>
        <v>0.8</v>
      </c>
      <c r="H65" s="341">
        <f t="shared" si="67"/>
        <v>8</v>
      </c>
      <c r="I65" s="342">
        <f t="shared" si="0"/>
        <v>0.66206896551724137</v>
      </c>
      <c r="J65" s="342">
        <f t="shared" si="1"/>
        <v>6.6206896551724137</v>
      </c>
      <c r="K65" s="343">
        <f t="shared" si="2"/>
        <v>47.163447091782139</v>
      </c>
      <c r="L65" s="380">
        <v>0</v>
      </c>
      <c r="M65" s="345">
        <f t="shared" si="3"/>
        <v>-0.51944827586206932</v>
      </c>
      <c r="N65" s="381">
        <f t="shared" si="4"/>
        <v>47.682895367644207</v>
      </c>
      <c r="O65" s="381">
        <v>47.224000000000004</v>
      </c>
      <c r="P65" s="382">
        <f t="shared" si="5"/>
        <v>-0.45889536764420313</v>
      </c>
      <c r="Q65" s="383">
        <f t="shared" si="6"/>
        <v>46.170904800000002</v>
      </c>
      <c r="R65" s="384">
        <f t="shared" si="7"/>
        <v>-1.5119905676442045</v>
      </c>
      <c r="S65" s="378">
        <v>65.128</v>
      </c>
      <c r="T65" s="385">
        <f t="shared" si="8"/>
        <v>38.371246666666664</v>
      </c>
      <c r="U65" s="386">
        <f t="shared" si="9"/>
        <v>-9.3116487009775426</v>
      </c>
      <c r="V65" s="385">
        <f t="shared" si="10"/>
        <v>42.797623333333334</v>
      </c>
      <c r="W65" s="385">
        <f t="shared" si="11"/>
        <v>66.297623333333334</v>
      </c>
      <c r="X65" s="387">
        <f t="shared" si="12"/>
        <v>-4.8852720343108729</v>
      </c>
      <c r="Y65" s="357"/>
      <c r="Z65" s="357"/>
    </row>
    <row r="66" spans="1:26" ht="15.75" customHeight="1" x14ac:dyDescent="0.4">
      <c r="A66" s="377" t="s">
        <v>254</v>
      </c>
      <c r="B66" s="385"/>
      <c r="C66" s="385">
        <v>67.757499999999993</v>
      </c>
      <c r="D66" s="341">
        <f t="shared" ref="D66:H66" si="68">D65</f>
        <v>5000</v>
      </c>
      <c r="E66" s="341">
        <f t="shared" si="68"/>
        <v>28</v>
      </c>
      <c r="F66" s="341">
        <f t="shared" si="68"/>
        <v>13</v>
      </c>
      <c r="G66" s="341">
        <f t="shared" si="68"/>
        <v>0.8</v>
      </c>
      <c r="H66" s="341">
        <f t="shared" si="68"/>
        <v>8</v>
      </c>
      <c r="I66" s="342">
        <f t="shared" si="0"/>
        <v>0.66206896551724137</v>
      </c>
      <c r="J66" s="342">
        <f t="shared" si="1"/>
        <v>6.6206896551724137</v>
      </c>
      <c r="K66" s="343">
        <f t="shared" si="2"/>
        <v>0</v>
      </c>
      <c r="L66" s="380">
        <v>0</v>
      </c>
      <c r="M66" s="345">
        <f t="shared" si="3"/>
        <v>-0.51944827586206932</v>
      </c>
      <c r="N66" s="381">
        <f t="shared" si="4"/>
        <v>0.51944827586206932</v>
      </c>
      <c r="O66" s="381">
        <v>46.972499999999997</v>
      </c>
      <c r="P66" s="382">
        <f t="shared" si="5"/>
        <v>46.453051724137929</v>
      </c>
      <c r="Q66" s="383">
        <f t="shared" si="6"/>
        <v>45.925013249999999</v>
      </c>
      <c r="R66" s="384">
        <f t="shared" si="7"/>
        <v>45.405564974137931</v>
      </c>
      <c r="S66" s="378">
        <v>65.5</v>
      </c>
      <c r="T66" s="385">
        <f t="shared" si="8"/>
        <v>38.59041666666667</v>
      </c>
      <c r="U66" s="386">
        <f t="shared" si="9"/>
        <v>38.070968390804602</v>
      </c>
      <c r="V66" s="385">
        <f t="shared" si="10"/>
        <v>42.781458333333333</v>
      </c>
      <c r="W66" s="385">
        <f t="shared" si="11"/>
        <v>66.281458333333333</v>
      </c>
      <c r="X66" s="387">
        <f t="shared" si="12"/>
        <v>42.262010057471265</v>
      </c>
      <c r="Y66" s="357"/>
      <c r="Z66" s="357"/>
    </row>
    <row r="67" spans="1:26" ht="15.75" customHeight="1" x14ac:dyDescent="0.4">
      <c r="A67" s="377" t="s">
        <v>255</v>
      </c>
      <c r="B67" s="385"/>
      <c r="C67" s="385">
        <v>69.54249999999999</v>
      </c>
      <c r="D67" s="341">
        <f t="shared" ref="D67:H67" si="69">D66</f>
        <v>5000</v>
      </c>
      <c r="E67" s="341">
        <f t="shared" si="69"/>
        <v>28</v>
      </c>
      <c r="F67" s="341">
        <f t="shared" si="69"/>
        <v>13</v>
      </c>
      <c r="G67" s="341">
        <f t="shared" si="69"/>
        <v>0.8</v>
      </c>
      <c r="H67" s="341">
        <f t="shared" si="69"/>
        <v>8</v>
      </c>
      <c r="I67" s="342">
        <f t="shared" si="0"/>
        <v>0.66206896551724137</v>
      </c>
      <c r="J67" s="342">
        <f t="shared" si="1"/>
        <v>6.6206896551724137</v>
      </c>
      <c r="K67" s="343">
        <f t="shared" si="2"/>
        <v>0</v>
      </c>
      <c r="L67" s="380">
        <v>0</v>
      </c>
      <c r="M67" s="345">
        <f t="shared" si="3"/>
        <v>-0.51944827586206932</v>
      </c>
      <c r="N67" s="381">
        <f t="shared" si="4"/>
        <v>0.51944827586206932</v>
      </c>
      <c r="O67" s="381">
        <v>48.53</v>
      </c>
      <c r="P67" s="382">
        <f t="shared" si="5"/>
        <v>48.010551724137933</v>
      </c>
      <c r="Q67" s="383">
        <f t="shared" si="6"/>
        <v>47.447780999999999</v>
      </c>
      <c r="R67" s="384">
        <f t="shared" si="7"/>
        <v>46.928332724137931</v>
      </c>
      <c r="S67" s="378">
        <v>67.112500000000011</v>
      </c>
      <c r="T67" s="385">
        <f t="shared" si="8"/>
        <v>39.540447916666672</v>
      </c>
      <c r="U67" s="386">
        <f t="shared" si="9"/>
        <v>39.020999640804604</v>
      </c>
      <c r="V67" s="385">
        <f t="shared" si="10"/>
        <v>44.035223958333333</v>
      </c>
      <c r="W67" s="385">
        <f t="shared" si="11"/>
        <v>67.535223958333333</v>
      </c>
      <c r="X67" s="387">
        <f t="shared" si="12"/>
        <v>43.515775682471265</v>
      </c>
      <c r="Y67" s="357"/>
      <c r="Z67" s="357"/>
    </row>
    <row r="68" spans="1:26" ht="15.75" customHeight="1" x14ac:dyDescent="0.4">
      <c r="A68" s="377" t="s">
        <v>256</v>
      </c>
      <c r="B68" s="385"/>
      <c r="C68" s="385">
        <v>69.580000000000013</v>
      </c>
      <c r="D68" s="341">
        <f t="shared" ref="D68:H68" si="70">D67</f>
        <v>5000</v>
      </c>
      <c r="E68" s="341">
        <f t="shared" si="70"/>
        <v>28</v>
      </c>
      <c r="F68" s="341">
        <f t="shared" si="70"/>
        <v>13</v>
      </c>
      <c r="G68" s="341">
        <f t="shared" si="70"/>
        <v>0.8</v>
      </c>
      <c r="H68" s="341">
        <f t="shared" si="70"/>
        <v>8</v>
      </c>
      <c r="I68" s="342">
        <f t="shared" si="0"/>
        <v>0.66206896551724137</v>
      </c>
      <c r="J68" s="342">
        <f t="shared" si="1"/>
        <v>6.6206896551724137</v>
      </c>
      <c r="K68" s="343">
        <f t="shared" si="2"/>
        <v>0</v>
      </c>
      <c r="L68" s="380">
        <v>0</v>
      </c>
      <c r="M68" s="345">
        <f t="shared" si="3"/>
        <v>-0.51944827586206932</v>
      </c>
      <c r="N68" s="381">
        <f t="shared" si="4"/>
        <v>0.51944827586206932</v>
      </c>
      <c r="O68" s="381">
        <v>49.3</v>
      </c>
      <c r="P68" s="382">
        <f t="shared" si="5"/>
        <v>48.780551724137929</v>
      </c>
      <c r="Q68" s="383">
        <f t="shared" si="6"/>
        <v>48.200609999999998</v>
      </c>
      <c r="R68" s="384">
        <f t="shared" si="7"/>
        <v>47.68116172413793</v>
      </c>
      <c r="S68" s="378">
        <v>67.77000000000001</v>
      </c>
      <c r="T68" s="385">
        <f t="shared" si="8"/>
        <v>39.927825000000006</v>
      </c>
      <c r="U68" s="386">
        <f t="shared" si="9"/>
        <v>39.408376724137938</v>
      </c>
      <c r="V68" s="385">
        <f t="shared" si="10"/>
        <v>44.613912499999998</v>
      </c>
      <c r="W68" s="385">
        <f t="shared" si="11"/>
        <v>68.113912499999998</v>
      </c>
      <c r="X68" s="387">
        <f t="shared" si="12"/>
        <v>44.09446422413793</v>
      </c>
      <c r="Y68" s="357"/>
      <c r="Z68" s="357"/>
    </row>
    <row r="69" spans="1:26" ht="15.75" customHeight="1" x14ac:dyDescent="0.4">
      <c r="A69" s="377" t="s">
        <v>257</v>
      </c>
      <c r="B69" s="385"/>
      <c r="C69" s="385">
        <v>69.132499999999993</v>
      </c>
      <c r="D69" s="341">
        <f t="shared" ref="D69:H69" si="71">D68</f>
        <v>5000</v>
      </c>
      <c r="E69" s="341">
        <f t="shared" si="71"/>
        <v>28</v>
      </c>
      <c r="F69" s="341">
        <f t="shared" si="71"/>
        <v>13</v>
      </c>
      <c r="G69" s="341">
        <f t="shared" si="71"/>
        <v>0.8</v>
      </c>
      <c r="H69" s="341">
        <f t="shared" si="71"/>
        <v>8</v>
      </c>
      <c r="I69" s="342">
        <f t="shared" si="0"/>
        <v>0.66206896551724137</v>
      </c>
      <c r="J69" s="342">
        <f t="shared" si="1"/>
        <v>6.6206896551724137</v>
      </c>
      <c r="K69" s="343">
        <f t="shared" si="2"/>
        <v>0</v>
      </c>
      <c r="L69" s="380">
        <v>0</v>
      </c>
      <c r="M69" s="345">
        <f t="shared" si="3"/>
        <v>-0.51944827586206932</v>
      </c>
      <c r="N69" s="381">
        <f t="shared" si="4"/>
        <v>0.51944827586206932</v>
      </c>
      <c r="O69" s="381">
        <v>49.465000000000003</v>
      </c>
      <c r="P69" s="382">
        <f t="shared" si="5"/>
        <v>48.945551724137935</v>
      </c>
      <c r="Q69" s="383">
        <f t="shared" si="6"/>
        <v>48.361930500000007</v>
      </c>
      <c r="R69" s="384">
        <f t="shared" si="7"/>
        <v>47.842482224137939</v>
      </c>
      <c r="S69" s="378">
        <v>66.582499999999996</v>
      </c>
      <c r="T69" s="385">
        <f t="shared" si="8"/>
        <v>39.228189583333332</v>
      </c>
      <c r="U69" s="386">
        <f t="shared" si="9"/>
        <v>38.708741307471264</v>
      </c>
      <c r="V69" s="385">
        <f t="shared" si="10"/>
        <v>44.346594791666668</v>
      </c>
      <c r="W69" s="385">
        <f t="shared" si="11"/>
        <v>67.846594791666661</v>
      </c>
      <c r="X69" s="387">
        <f t="shared" si="12"/>
        <v>43.8271465158046</v>
      </c>
      <c r="Y69" s="357"/>
      <c r="Z69" s="357"/>
    </row>
    <row r="70" spans="1:26" ht="15.75" customHeight="1" x14ac:dyDescent="0.4">
      <c r="A70" s="390">
        <v>43831</v>
      </c>
      <c r="B70" s="385"/>
      <c r="C70" s="385">
        <v>69.036000000000001</v>
      </c>
      <c r="D70" s="341">
        <f t="shared" ref="D70:H70" si="72">D69</f>
        <v>5000</v>
      </c>
      <c r="E70" s="341">
        <f t="shared" si="72"/>
        <v>28</v>
      </c>
      <c r="F70" s="341">
        <f t="shared" si="72"/>
        <v>13</v>
      </c>
      <c r="G70" s="341">
        <f t="shared" si="72"/>
        <v>0.8</v>
      </c>
      <c r="H70" s="341">
        <f t="shared" si="72"/>
        <v>8</v>
      </c>
      <c r="I70" s="342">
        <f t="shared" si="0"/>
        <v>0.66206896551724137</v>
      </c>
      <c r="J70" s="342">
        <f t="shared" si="1"/>
        <v>6.6206896551724137</v>
      </c>
      <c r="K70" s="343">
        <f t="shared" si="2"/>
        <v>0</v>
      </c>
      <c r="L70" s="380">
        <v>0</v>
      </c>
      <c r="M70" s="345">
        <f t="shared" si="3"/>
        <v>-0.51944827586206932</v>
      </c>
      <c r="N70" s="381">
        <f t="shared" si="4"/>
        <v>0.51944827586206932</v>
      </c>
      <c r="O70" s="381">
        <v>49.678000000000004</v>
      </c>
      <c r="P70" s="382">
        <f t="shared" si="5"/>
        <v>49.158551724137936</v>
      </c>
      <c r="Q70" s="383">
        <f t="shared" si="6"/>
        <v>48.570180600000008</v>
      </c>
      <c r="R70" s="384">
        <f t="shared" si="7"/>
        <v>48.05073232413794</v>
      </c>
      <c r="S70" s="378">
        <v>68.506</v>
      </c>
      <c r="T70" s="385">
        <f t="shared" si="8"/>
        <v>40.36145166666666</v>
      </c>
      <c r="U70" s="386">
        <f t="shared" si="9"/>
        <v>39.842003390804592</v>
      </c>
      <c r="V70" s="385">
        <f t="shared" si="10"/>
        <v>45.019725833333332</v>
      </c>
      <c r="W70" s="385">
        <f t="shared" si="11"/>
        <v>68.519725833333325</v>
      </c>
      <c r="X70" s="387">
        <f t="shared" si="12"/>
        <v>44.500277557471264</v>
      </c>
      <c r="Y70" s="357"/>
      <c r="Z70" s="357"/>
    </row>
    <row r="71" spans="1:26" ht="15.75" customHeight="1" x14ac:dyDescent="0.4">
      <c r="A71" s="389">
        <v>43862</v>
      </c>
      <c r="B71" s="385"/>
      <c r="C71" s="385">
        <v>69.599999999999994</v>
      </c>
      <c r="D71" s="341">
        <f t="shared" ref="D71:H71" si="73">D70</f>
        <v>5000</v>
      </c>
      <c r="E71" s="341">
        <f t="shared" si="73"/>
        <v>28</v>
      </c>
      <c r="F71" s="341">
        <f t="shared" si="73"/>
        <v>13</v>
      </c>
      <c r="G71" s="341">
        <f t="shared" si="73"/>
        <v>0.8</v>
      </c>
      <c r="H71" s="341">
        <f t="shared" si="73"/>
        <v>8</v>
      </c>
      <c r="I71" s="342">
        <f t="shared" si="0"/>
        <v>0.66206896551724137</v>
      </c>
      <c r="J71" s="342">
        <f t="shared" si="1"/>
        <v>6.6206896551724137</v>
      </c>
      <c r="K71" s="343">
        <f t="shared" si="2"/>
        <v>0</v>
      </c>
      <c r="L71" s="380">
        <v>0</v>
      </c>
      <c r="M71" s="345">
        <f t="shared" si="3"/>
        <v>-0.51944827586206932</v>
      </c>
      <c r="N71" s="381">
        <f t="shared" si="4"/>
        <v>0.51944827586206932</v>
      </c>
      <c r="O71" s="381">
        <v>51.275000000000006</v>
      </c>
      <c r="P71" s="382">
        <f t="shared" si="5"/>
        <v>50.755551724137938</v>
      </c>
      <c r="Q71" s="383">
        <f t="shared" si="6"/>
        <v>50.131567500000003</v>
      </c>
      <c r="R71" s="384">
        <f t="shared" si="7"/>
        <v>49.612119224137935</v>
      </c>
      <c r="S71" s="378">
        <v>67.789999999999992</v>
      </c>
      <c r="T71" s="385">
        <f t="shared" si="8"/>
        <v>39.939608333333325</v>
      </c>
      <c r="U71" s="386">
        <f t="shared" si="9"/>
        <v>39.420160057471257</v>
      </c>
      <c r="V71" s="385">
        <f t="shared" si="10"/>
        <v>45.607304166666665</v>
      </c>
      <c r="W71" s="385">
        <f t="shared" si="11"/>
        <v>69.107304166666665</v>
      </c>
      <c r="X71" s="387">
        <f t="shared" si="12"/>
        <v>45.087855890804597</v>
      </c>
      <c r="Y71" s="357"/>
      <c r="Z71" s="357"/>
    </row>
    <row r="72" spans="1:26" ht="15.75" customHeight="1" x14ac:dyDescent="0.4">
      <c r="A72" s="389">
        <v>43891</v>
      </c>
      <c r="B72" s="385"/>
      <c r="C72" s="385">
        <v>67.752499999999998</v>
      </c>
      <c r="D72" s="341">
        <f t="shared" ref="D72:H72" si="74">D71</f>
        <v>5000</v>
      </c>
      <c r="E72" s="341">
        <f t="shared" si="74"/>
        <v>28</v>
      </c>
      <c r="F72" s="341">
        <f t="shared" si="74"/>
        <v>13</v>
      </c>
      <c r="G72" s="341">
        <f t="shared" si="74"/>
        <v>0.8</v>
      </c>
      <c r="H72" s="341">
        <f t="shared" si="74"/>
        <v>8</v>
      </c>
      <c r="I72" s="342">
        <f t="shared" si="0"/>
        <v>0.66206896551724137</v>
      </c>
      <c r="J72" s="342">
        <f t="shared" si="1"/>
        <v>6.6206896551724137</v>
      </c>
      <c r="K72" s="343">
        <f t="shared" si="2"/>
        <v>0</v>
      </c>
      <c r="L72" s="380">
        <v>0</v>
      </c>
      <c r="M72" s="345">
        <f t="shared" si="3"/>
        <v>-0.51944827586206932</v>
      </c>
      <c r="N72" s="381">
        <f t="shared" si="4"/>
        <v>0.51944827586206932</v>
      </c>
      <c r="O72" s="381">
        <v>47.245000000000005</v>
      </c>
      <c r="P72" s="382">
        <f t="shared" si="5"/>
        <v>46.725551724137937</v>
      </c>
      <c r="Q72" s="383">
        <f t="shared" si="6"/>
        <v>46.191436500000002</v>
      </c>
      <c r="R72" s="384">
        <f t="shared" si="7"/>
        <v>45.671988224137934</v>
      </c>
      <c r="S72" s="378">
        <v>66.587500000000006</v>
      </c>
      <c r="T72" s="385">
        <f t="shared" si="8"/>
        <v>39.231135416666667</v>
      </c>
      <c r="U72" s="386">
        <f t="shared" si="9"/>
        <v>38.711687140804599</v>
      </c>
      <c r="V72" s="385">
        <f t="shared" si="10"/>
        <v>43.238067708333332</v>
      </c>
      <c r="W72" s="385">
        <f t="shared" si="11"/>
        <v>66.738067708333332</v>
      </c>
      <c r="X72" s="387">
        <f t="shared" si="12"/>
        <v>42.718619432471264</v>
      </c>
      <c r="Y72" s="357"/>
      <c r="Z72" s="357"/>
    </row>
    <row r="73" spans="1:26" ht="15.75" customHeight="1" x14ac:dyDescent="0.4">
      <c r="A73" s="390">
        <v>43922</v>
      </c>
      <c r="B73" s="385"/>
      <c r="C73" s="385">
        <v>62.156000000000006</v>
      </c>
      <c r="D73" s="341">
        <f t="shared" ref="D73:H73" si="75">D72</f>
        <v>5000</v>
      </c>
      <c r="E73" s="341">
        <f t="shared" si="75"/>
        <v>28</v>
      </c>
      <c r="F73" s="341">
        <f t="shared" si="75"/>
        <v>13</v>
      </c>
      <c r="G73" s="341">
        <f t="shared" si="75"/>
        <v>0.8</v>
      </c>
      <c r="H73" s="341">
        <f t="shared" si="75"/>
        <v>8</v>
      </c>
      <c r="I73" s="342">
        <f t="shared" si="0"/>
        <v>0.66206896551724137</v>
      </c>
      <c r="J73" s="342">
        <f t="shared" si="1"/>
        <v>6.6206896551724137</v>
      </c>
      <c r="K73" s="343">
        <f t="shared" si="2"/>
        <v>0</v>
      </c>
      <c r="L73" s="380">
        <v>0</v>
      </c>
      <c r="M73" s="345">
        <f t="shared" si="3"/>
        <v>-0.51944827586206932</v>
      </c>
      <c r="N73" s="381">
        <f t="shared" si="4"/>
        <v>0.51944827586206932</v>
      </c>
      <c r="O73" s="381">
        <v>41.521999999999998</v>
      </c>
      <c r="P73" s="382">
        <f t="shared" si="5"/>
        <v>41.00255172413793</v>
      </c>
      <c r="Q73" s="383">
        <f t="shared" si="6"/>
        <v>40.596059400000001</v>
      </c>
      <c r="R73" s="384">
        <f t="shared" si="7"/>
        <v>40.076611124137933</v>
      </c>
      <c r="S73" s="378">
        <v>58.992000000000004</v>
      </c>
      <c r="T73" s="385">
        <f t="shared" si="8"/>
        <v>34.756119999999996</v>
      </c>
      <c r="U73" s="386">
        <f t="shared" si="9"/>
        <v>34.236671724137928</v>
      </c>
      <c r="V73" s="385">
        <f t="shared" si="10"/>
        <v>38.139060000000001</v>
      </c>
      <c r="W73" s="385">
        <f t="shared" si="11"/>
        <v>61.639060000000001</v>
      </c>
      <c r="X73" s="387">
        <f t="shared" si="12"/>
        <v>37.619611724137933</v>
      </c>
      <c r="Y73" s="357"/>
      <c r="Z73" s="357"/>
    </row>
    <row r="74" spans="1:26" ht="15.75" customHeight="1" x14ac:dyDescent="0.4">
      <c r="A74" s="389">
        <v>43952</v>
      </c>
      <c r="B74" s="385"/>
      <c r="C74" s="385">
        <v>55.852499999999999</v>
      </c>
      <c r="D74" s="341">
        <f t="shared" ref="D74:H74" si="76">D73</f>
        <v>5000</v>
      </c>
      <c r="E74" s="341">
        <f t="shared" si="76"/>
        <v>28</v>
      </c>
      <c r="F74" s="341">
        <f t="shared" si="76"/>
        <v>13</v>
      </c>
      <c r="G74" s="341">
        <f t="shared" si="76"/>
        <v>0.8</v>
      </c>
      <c r="H74" s="341">
        <f t="shared" si="76"/>
        <v>8</v>
      </c>
      <c r="I74" s="342">
        <f t="shared" si="0"/>
        <v>0.66206896551724137</v>
      </c>
      <c r="J74" s="342">
        <f t="shared" si="1"/>
        <v>6.6206896551724137</v>
      </c>
      <c r="K74" s="343">
        <f t="shared" si="2"/>
        <v>0</v>
      </c>
      <c r="L74" s="380">
        <v>0</v>
      </c>
      <c r="M74" s="345">
        <f t="shared" si="3"/>
        <v>-0.51944827586206932</v>
      </c>
      <c r="N74" s="381">
        <f t="shared" si="4"/>
        <v>0.51944827586206932</v>
      </c>
      <c r="O74" s="381">
        <v>38.774999999999999</v>
      </c>
      <c r="P74" s="382">
        <f t="shared" si="5"/>
        <v>38.255551724137931</v>
      </c>
      <c r="Q74" s="383">
        <f t="shared" si="6"/>
        <v>37.910317499999998</v>
      </c>
      <c r="R74" s="384">
        <f t="shared" si="7"/>
        <v>37.39086922413793</v>
      </c>
      <c r="S74" s="378">
        <v>52.854999999999997</v>
      </c>
      <c r="T74" s="385">
        <f t="shared" si="8"/>
        <v>31.140404166666666</v>
      </c>
      <c r="U74" s="386">
        <f t="shared" si="9"/>
        <v>30.620955890804598</v>
      </c>
      <c r="V74" s="385">
        <f t="shared" si="10"/>
        <v>34.957702083333331</v>
      </c>
      <c r="W74" s="385">
        <f t="shared" si="11"/>
        <v>58.457702083333331</v>
      </c>
      <c r="X74" s="387">
        <f t="shared" si="12"/>
        <v>34.438253807471263</v>
      </c>
      <c r="Y74" s="357"/>
      <c r="Z74" s="357"/>
    </row>
    <row r="75" spans="1:26" ht="15.75" customHeight="1" x14ac:dyDescent="0.4">
      <c r="A75" s="389">
        <v>43983</v>
      </c>
      <c r="B75" s="385"/>
      <c r="C75" s="385">
        <v>54.972499999999997</v>
      </c>
      <c r="D75" s="341">
        <f t="shared" ref="D75:H75" si="77">D74</f>
        <v>5000</v>
      </c>
      <c r="E75" s="341">
        <f t="shared" si="77"/>
        <v>28</v>
      </c>
      <c r="F75" s="341">
        <f t="shared" si="77"/>
        <v>13</v>
      </c>
      <c r="G75" s="341">
        <f t="shared" si="77"/>
        <v>0.8</v>
      </c>
      <c r="H75" s="341">
        <f t="shared" si="77"/>
        <v>8</v>
      </c>
      <c r="I75" s="342">
        <f t="shared" si="0"/>
        <v>0.66206896551724137</v>
      </c>
      <c r="J75" s="342">
        <f t="shared" si="1"/>
        <v>6.6206896551724137</v>
      </c>
      <c r="K75" s="343">
        <f t="shared" si="2"/>
        <v>0</v>
      </c>
      <c r="L75" s="380">
        <v>0</v>
      </c>
      <c r="M75" s="345">
        <f t="shared" si="3"/>
        <v>-0.51944827586206932</v>
      </c>
      <c r="N75" s="381">
        <f t="shared" si="4"/>
        <v>0.51944827586206932</v>
      </c>
      <c r="O75" s="381">
        <v>38.302500000000002</v>
      </c>
      <c r="P75" s="382">
        <f t="shared" si="5"/>
        <v>37.783051724137934</v>
      </c>
      <c r="Q75" s="383">
        <f t="shared" si="6"/>
        <v>37.448354250000001</v>
      </c>
      <c r="R75" s="384">
        <f t="shared" si="7"/>
        <v>36.928905974137933</v>
      </c>
      <c r="S75" s="378">
        <v>52.412499999999994</v>
      </c>
      <c r="T75" s="385">
        <f t="shared" si="8"/>
        <v>30.879697916666661</v>
      </c>
      <c r="U75" s="386">
        <f t="shared" si="9"/>
        <v>30.360249640804593</v>
      </c>
      <c r="V75" s="385">
        <f t="shared" si="10"/>
        <v>34.591098958333333</v>
      </c>
      <c r="W75" s="385">
        <f t="shared" si="11"/>
        <v>58.091098958333333</v>
      </c>
      <c r="X75" s="387">
        <f t="shared" si="12"/>
        <v>34.071650682471265</v>
      </c>
      <c r="Y75" s="357"/>
      <c r="Z75" s="357"/>
    </row>
    <row r="76" spans="1:26" ht="15.75" customHeight="1" x14ac:dyDescent="0.4">
      <c r="A76" s="390">
        <v>44013</v>
      </c>
      <c r="B76" s="385"/>
      <c r="C76" s="385">
        <v>53.576000000000001</v>
      </c>
      <c r="D76" s="341">
        <f t="shared" ref="D76:H76" si="78">D75</f>
        <v>5000</v>
      </c>
      <c r="E76" s="341">
        <f t="shared" si="78"/>
        <v>28</v>
      </c>
      <c r="F76" s="341">
        <f t="shared" si="78"/>
        <v>13</v>
      </c>
      <c r="G76" s="341">
        <f t="shared" si="78"/>
        <v>0.8</v>
      </c>
      <c r="H76" s="341">
        <f t="shared" si="78"/>
        <v>8</v>
      </c>
      <c r="I76" s="342">
        <f t="shared" si="0"/>
        <v>0.66206896551724137</v>
      </c>
      <c r="J76" s="342">
        <f t="shared" si="1"/>
        <v>6.6206896551724137</v>
      </c>
      <c r="K76" s="343">
        <f t="shared" si="2"/>
        <v>0</v>
      </c>
      <c r="L76" s="380">
        <v>0</v>
      </c>
      <c r="M76" s="345">
        <f t="shared" si="3"/>
        <v>-0.51944827586206932</v>
      </c>
      <c r="N76" s="381">
        <f t="shared" si="4"/>
        <v>0.51944827586206932</v>
      </c>
      <c r="O76" s="381">
        <v>36.536000000000001</v>
      </c>
      <c r="P76" s="382">
        <f t="shared" si="5"/>
        <v>36.016551724137933</v>
      </c>
      <c r="Q76" s="383">
        <f t="shared" si="6"/>
        <v>35.721247200000001</v>
      </c>
      <c r="R76" s="384">
        <f t="shared" si="7"/>
        <v>35.201798924137933</v>
      </c>
      <c r="S76" s="378">
        <v>51.846000000000004</v>
      </c>
      <c r="T76" s="385">
        <f t="shared" si="8"/>
        <v>30.545935000000004</v>
      </c>
      <c r="U76" s="386">
        <f t="shared" si="9"/>
        <v>30.026486724137936</v>
      </c>
      <c r="V76" s="385">
        <f t="shared" si="10"/>
        <v>33.540967500000001</v>
      </c>
      <c r="W76" s="385">
        <f t="shared" si="11"/>
        <v>57.040967500000001</v>
      </c>
      <c r="X76" s="387">
        <f t="shared" si="12"/>
        <v>33.021519224137933</v>
      </c>
      <c r="Y76" s="357"/>
      <c r="Z76" s="357"/>
    </row>
    <row r="77" spans="1:26" ht="15.75" customHeight="1" x14ac:dyDescent="0.4">
      <c r="A77" s="389">
        <v>44044</v>
      </c>
      <c r="B77" s="385"/>
      <c r="C77" s="385">
        <v>52.929999999999993</v>
      </c>
      <c r="D77" s="341">
        <f t="shared" ref="D77:H77" si="79">D76</f>
        <v>5000</v>
      </c>
      <c r="E77" s="341">
        <f t="shared" si="79"/>
        <v>28</v>
      </c>
      <c r="F77" s="341">
        <f t="shared" si="79"/>
        <v>13</v>
      </c>
      <c r="G77" s="341">
        <f t="shared" si="79"/>
        <v>0.8</v>
      </c>
      <c r="H77" s="341">
        <f t="shared" si="79"/>
        <v>8</v>
      </c>
      <c r="I77" s="342">
        <f t="shared" si="0"/>
        <v>0.66206896551724137</v>
      </c>
      <c r="J77" s="342">
        <f t="shared" si="1"/>
        <v>6.6206896551724137</v>
      </c>
      <c r="K77" s="343">
        <f t="shared" si="2"/>
        <v>0</v>
      </c>
      <c r="L77" s="380">
        <v>0</v>
      </c>
      <c r="M77" s="345">
        <f t="shared" si="3"/>
        <v>-0.51944827586206932</v>
      </c>
      <c r="N77" s="381">
        <f t="shared" si="4"/>
        <v>0.51944827586206932</v>
      </c>
      <c r="O77" s="381">
        <v>36.57</v>
      </c>
      <c r="P77" s="382">
        <f t="shared" si="5"/>
        <v>36.050551724137932</v>
      </c>
      <c r="Q77" s="383">
        <f t="shared" si="6"/>
        <v>35.754489</v>
      </c>
      <c r="R77" s="384">
        <f t="shared" si="7"/>
        <v>35.235040724137932</v>
      </c>
      <c r="S77" s="378">
        <v>49.78</v>
      </c>
      <c r="T77" s="385">
        <f t="shared" si="8"/>
        <v>29.328716666666665</v>
      </c>
      <c r="U77" s="386">
        <f t="shared" si="9"/>
        <v>28.809268390804597</v>
      </c>
      <c r="V77" s="385">
        <f t="shared" si="10"/>
        <v>32.949358333333336</v>
      </c>
      <c r="W77" s="385">
        <f t="shared" si="11"/>
        <v>56.449358333333336</v>
      </c>
      <c r="X77" s="387">
        <f t="shared" si="12"/>
        <v>32.429910057471268</v>
      </c>
      <c r="Y77" s="357"/>
      <c r="Z77" s="357"/>
    </row>
    <row r="78" spans="1:26" ht="15.75" customHeight="1" x14ac:dyDescent="0.4">
      <c r="A78" s="389">
        <v>44075</v>
      </c>
      <c r="B78" s="385"/>
      <c r="C78" s="385">
        <v>53.209999999999994</v>
      </c>
      <c r="D78" s="341">
        <f t="shared" ref="D78:H78" si="80">D77</f>
        <v>5000</v>
      </c>
      <c r="E78" s="341">
        <f t="shared" si="80"/>
        <v>28</v>
      </c>
      <c r="F78" s="341">
        <f t="shared" si="80"/>
        <v>13</v>
      </c>
      <c r="G78" s="341">
        <f t="shared" si="80"/>
        <v>0.8</v>
      </c>
      <c r="H78" s="341">
        <f t="shared" si="80"/>
        <v>8</v>
      </c>
      <c r="I78" s="342">
        <f t="shared" si="0"/>
        <v>0.66206896551724137</v>
      </c>
      <c r="J78" s="342">
        <f t="shared" si="1"/>
        <v>6.6206896551724137</v>
      </c>
      <c r="K78" s="343">
        <f t="shared" si="2"/>
        <v>0</v>
      </c>
      <c r="L78" s="380">
        <v>0</v>
      </c>
      <c r="M78" s="345">
        <f t="shared" si="3"/>
        <v>-0.51944827586206932</v>
      </c>
      <c r="N78" s="381">
        <f t="shared" si="4"/>
        <v>0.51944827586206932</v>
      </c>
      <c r="O78" s="381">
        <v>36.402500000000003</v>
      </c>
      <c r="P78" s="382">
        <f t="shared" si="5"/>
        <v>35.883051724137935</v>
      </c>
      <c r="Q78" s="383">
        <f t="shared" si="6"/>
        <v>35.590724250000001</v>
      </c>
      <c r="R78" s="384">
        <f t="shared" si="7"/>
        <v>35.071275974137933</v>
      </c>
      <c r="S78" s="378">
        <v>52.912500000000001</v>
      </c>
      <c r="T78" s="385">
        <f t="shared" si="8"/>
        <v>31.17428125</v>
      </c>
      <c r="U78" s="386">
        <f t="shared" si="9"/>
        <v>30.654832974137932</v>
      </c>
      <c r="V78" s="385">
        <f t="shared" si="10"/>
        <v>33.788390625000005</v>
      </c>
      <c r="W78" s="385">
        <f t="shared" si="11"/>
        <v>57.288390625000005</v>
      </c>
      <c r="X78" s="387">
        <f t="shared" si="12"/>
        <v>33.268942349137937</v>
      </c>
      <c r="Y78" s="357"/>
      <c r="Z78" s="357"/>
    </row>
    <row r="79" spans="1:26" ht="15.75" customHeight="1" x14ac:dyDescent="0.4">
      <c r="A79" s="390">
        <v>44105</v>
      </c>
      <c r="B79" s="385"/>
      <c r="C79" s="385">
        <v>57.085999999999999</v>
      </c>
      <c r="D79" s="341">
        <f t="shared" ref="D79:H79" si="81">D78</f>
        <v>5000</v>
      </c>
      <c r="E79" s="341">
        <f t="shared" si="81"/>
        <v>28</v>
      </c>
      <c r="F79" s="341">
        <f t="shared" si="81"/>
        <v>13</v>
      </c>
      <c r="G79" s="341">
        <f t="shared" si="81"/>
        <v>0.8</v>
      </c>
      <c r="H79" s="341">
        <f t="shared" si="81"/>
        <v>8</v>
      </c>
      <c r="I79" s="342">
        <f t="shared" si="0"/>
        <v>0.66206896551724137</v>
      </c>
      <c r="J79" s="342">
        <f t="shared" si="1"/>
        <v>6.6206896551724137</v>
      </c>
      <c r="K79" s="343">
        <f t="shared" si="2"/>
        <v>0</v>
      </c>
      <c r="L79" s="380">
        <v>0</v>
      </c>
      <c r="M79" s="345">
        <f t="shared" si="3"/>
        <v>-0.51944827586206932</v>
      </c>
      <c r="N79" s="381">
        <f t="shared" si="4"/>
        <v>0.51944827586206932</v>
      </c>
      <c r="O79" s="381">
        <v>40.287999999999997</v>
      </c>
      <c r="P79" s="382">
        <f t="shared" si="5"/>
        <v>39.768551724137929</v>
      </c>
      <c r="Q79" s="383">
        <f t="shared" si="6"/>
        <v>39.389577599999996</v>
      </c>
      <c r="R79" s="384">
        <f t="shared" si="7"/>
        <v>38.870129324137928</v>
      </c>
      <c r="S79" s="378">
        <v>58.160000000000004</v>
      </c>
      <c r="T79" s="385">
        <f t="shared" si="8"/>
        <v>34.265933333333329</v>
      </c>
      <c r="U79" s="386">
        <f t="shared" si="9"/>
        <v>33.746485057471261</v>
      </c>
      <c r="V79" s="385">
        <f t="shared" si="10"/>
        <v>37.276966666666667</v>
      </c>
      <c r="W79" s="385">
        <f t="shared" si="11"/>
        <v>60.776966666666667</v>
      </c>
      <c r="X79" s="387">
        <f t="shared" si="12"/>
        <v>36.757518390804599</v>
      </c>
      <c r="Y79" s="357"/>
      <c r="Z79" s="357"/>
    </row>
    <row r="80" spans="1:26" ht="15.75" customHeight="1" x14ac:dyDescent="0.4">
      <c r="A80" s="389">
        <v>44136</v>
      </c>
      <c r="B80" s="385"/>
      <c r="C80" s="385">
        <v>59.745000000000005</v>
      </c>
      <c r="D80" s="341">
        <f t="shared" ref="D80:H80" si="82">D79</f>
        <v>5000</v>
      </c>
      <c r="E80" s="341">
        <f t="shared" si="82"/>
        <v>28</v>
      </c>
      <c r="F80" s="341">
        <f t="shared" si="82"/>
        <v>13</v>
      </c>
      <c r="G80" s="341">
        <f t="shared" si="82"/>
        <v>0.8</v>
      </c>
      <c r="H80" s="341">
        <f t="shared" si="82"/>
        <v>8</v>
      </c>
      <c r="I80" s="342">
        <f t="shared" si="0"/>
        <v>0.66206896551724137</v>
      </c>
      <c r="J80" s="342">
        <f t="shared" si="1"/>
        <v>6.6206896551724137</v>
      </c>
      <c r="K80" s="343">
        <f t="shared" si="2"/>
        <v>0</v>
      </c>
      <c r="L80" s="380">
        <v>0</v>
      </c>
      <c r="M80" s="345">
        <f t="shared" si="3"/>
        <v>-0.51944827586206932</v>
      </c>
      <c r="N80" s="381">
        <f t="shared" si="4"/>
        <v>0.51944827586206932</v>
      </c>
      <c r="O80" s="381">
        <v>42.542499999999997</v>
      </c>
      <c r="P80" s="382">
        <f t="shared" si="5"/>
        <v>42.023051724137929</v>
      </c>
      <c r="Q80" s="383">
        <f t="shared" si="6"/>
        <v>41.593802249999996</v>
      </c>
      <c r="R80" s="384">
        <f t="shared" si="7"/>
        <v>41.074353974137928</v>
      </c>
      <c r="S80" s="378">
        <v>64.004999999999995</v>
      </c>
      <c r="T80" s="385">
        <f t="shared" si="8"/>
        <v>37.709612499999999</v>
      </c>
      <c r="U80" s="386">
        <f t="shared" si="9"/>
        <v>37.190164224137931</v>
      </c>
      <c r="V80" s="385">
        <f t="shared" si="10"/>
        <v>40.126056249999998</v>
      </c>
      <c r="W80" s="385">
        <f t="shared" si="11"/>
        <v>63.626056249999998</v>
      </c>
      <c r="X80" s="387">
        <f t="shared" si="12"/>
        <v>39.60660797413793</v>
      </c>
      <c r="Y80" s="357"/>
      <c r="Z80" s="357"/>
    </row>
    <row r="81" spans="1:26" ht="15.75" customHeight="1" x14ac:dyDescent="0.4">
      <c r="A81" s="389">
        <v>44166</v>
      </c>
      <c r="B81" s="385"/>
      <c r="C81" s="385">
        <v>76.155000000000001</v>
      </c>
      <c r="D81" s="341">
        <f t="shared" ref="D81:H81" si="83">D80</f>
        <v>5000</v>
      </c>
      <c r="E81" s="341">
        <f t="shared" si="83"/>
        <v>28</v>
      </c>
      <c r="F81" s="341">
        <f t="shared" si="83"/>
        <v>13</v>
      </c>
      <c r="G81" s="341">
        <f t="shared" si="83"/>
        <v>0.8</v>
      </c>
      <c r="H81" s="341">
        <f t="shared" si="83"/>
        <v>8</v>
      </c>
      <c r="I81" s="342">
        <f t="shared" si="0"/>
        <v>0.66206896551724137</v>
      </c>
      <c r="J81" s="342">
        <f t="shared" si="1"/>
        <v>6.6206896551724137</v>
      </c>
      <c r="K81" s="343">
        <f t="shared" si="2"/>
        <v>0</v>
      </c>
      <c r="L81" s="380">
        <v>0</v>
      </c>
      <c r="M81" s="345">
        <f t="shared" si="3"/>
        <v>-0.51944827586206932</v>
      </c>
      <c r="N81" s="381">
        <f t="shared" si="4"/>
        <v>0.51944827586206932</v>
      </c>
      <c r="O81" s="381">
        <v>57.51</v>
      </c>
      <c r="P81" s="382">
        <f t="shared" si="5"/>
        <v>56.99055172413793</v>
      </c>
      <c r="Q81" s="383">
        <f t="shared" si="6"/>
        <v>56.227527000000002</v>
      </c>
      <c r="R81" s="384">
        <f t="shared" si="7"/>
        <v>55.708078724137934</v>
      </c>
      <c r="S81" s="378">
        <v>79.872500000000002</v>
      </c>
      <c r="T81" s="385">
        <f t="shared" si="8"/>
        <v>47.058214583333331</v>
      </c>
      <c r="U81" s="386">
        <f t="shared" si="9"/>
        <v>46.538766307471263</v>
      </c>
      <c r="V81" s="385">
        <f t="shared" si="10"/>
        <v>52.284107291666665</v>
      </c>
      <c r="W81" s="385">
        <f t="shared" si="11"/>
        <v>75.784107291666658</v>
      </c>
      <c r="X81" s="387">
        <f t="shared" si="12"/>
        <v>51.764659015804597</v>
      </c>
      <c r="Y81" s="357"/>
      <c r="Z81" s="357"/>
    </row>
    <row r="82" spans="1:26" ht="15.75" customHeight="1" x14ac:dyDescent="0.4">
      <c r="A82" s="390">
        <v>44197</v>
      </c>
      <c r="B82" s="391">
        <v>75.84</v>
      </c>
      <c r="C82" s="391">
        <v>87.200000000000017</v>
      </c>
      <c r="D82" s="341">
        <f t="shared" ref="D82:H82" si="84">D81</f>
        <v>5000</v>
      </c>
      <c r="E82" s="341">
        <f t="shared" si="84"/>
        <v>28</v>
      </c>
      <c r="F82" s="341">
        <f t="shared" si="84"/>
        <v>13</v>
      </c>
      <c r="G82" s="341">
        <f t="shared" si="84"/>
        <v>0.8</v>
      </c>
      <c r="H82" s="341">
        <f t="shared" si="84"/>
        <v>8</v>
      </c>
      <c r="I82" s="342">
        <f t="shared" si="0"/>
        <v>0.66206896551724137</v>
      </c>
      <c r="J82" s="342">
        <f t="shared" si="1"/>
        <v>6.6206896551724137</v>
      </c>
      <c r="K82" s="343">
        <f t="shared" si="2"/>
        <v>49.220804010468655</v>
      </c>
      <c r="L82" s="380">
        <v>0</v>
      </c>
      <c r="M82" s="345">
        <f t="shared" si="3"/>
        <v>-0.51944827586206932</v>
      </c>
      <c r="N82" s="381">
        <f t="shared" si="4"/>
        <v>49.740252286330723</v>
      </c>
      <c r="O82" s="381">
        <v>71.114000000000004</v>
      </c>
      <c r="P82" s="382">
        <f t="shared" si="5"/>
        <v>21.373747713669282</v>
      </c>
      <c r="Q82" s="383">
        <f t="shared" si="6"/>
        <v>69.528157800000002</v>
      </c>
      <c r="R82" s="384">
        <f t="shared" si="7"/>
        <v>19.78790551366928</v>
      </c>
      <c r="S82" s="378">
        <v>86.171999999999997</v>
      </c>
      <c r="T82" s="385">
        <f t="shared" si="8"/>
        <v>50.769669999999998</v>
      </c>
      <c r="U82" s="386">
        <f t="shared" si="9"/>
        <v>1.0294177136692753</v>
      </c>
      <c r="V82" s="385">
        <f t="shared" si="10"/>
        <v>60.941834999999998</v>
      </c>
      <c r="W82" s="385">
        <f t="shared" si="11"/>
        <v>84.441834999999998</v>
      </c>
      <c r="X82" s="387">
        <f t="shared" si="12"/>
        <v>11.201582713669275</v>
      </c>
      <c r="Y82" s="357"/>
      <c r="Z82" s="357"/>
    </row>
    <row r="83" spans="1:26" ht="15.75" customHeight="1" x14ac:dyDescent="0.4">
      <c r="A83" s="389">
        <v>44228</v>
      </c>
      <c r="B83" s="391">
        <v>87.79</v>
      </c>
      <c r="C83" s="391">
        <v>85.712500000000006</v>
      </c>
      <c r="D83" s="341">
        <f t="shared" ref="D83:H83" si="85">D82</f>
        <v>5000</v>
      </c>
      <c r="E83" s="341">
        <f t="shared" si="85"/>
        <v>28</v>
      </c>
      <c r="F83" s="341">
        <f t="shared" si="85"/>
        <v>13</v>
      </c>
      <c r="G83" s="341">
        <f t="shared" si="85"/>
        <v>0.8</v>
      </c>
      <c r="H83" s="341">
        <f t="shared" si="85"/>
        <v>8</v>
      </c>
      <c r="I83" s="342">
        <f t="shared" si="0"/>
        <v>0.66206896551724137</v>
      </c>
      <c r="J83" s="342">
        <f t="shared" si="1"/>
        <v>6.6206896551724137</v>
      </c>
      <c r="K83" s="343">
        <f t="shared" si="2"/>
        <v>56.976455486274304</v>
      </c>
      <c r="L83" s="380">
        <v>0</v>
      </c>
      <c r="M83" s="345">
        <f t="shared" si="3"/>
        <v>-0.51944827586206932</v>
      </c>
      <c r="N83" s="381">
        <f t="shared" si="4"/>
        <v>57.495903762136372</v>
      </c>
      <c r="O83" s="381">
        <v>65.570000000000007</v>
      </c>
      <c r="P83" s="382">
        <f t="shared" si="5"/>
        <v>8.0740962378636354</v>
      </c>
      <c r="Q83" s="383">
        <f t="shared" si="6"/>
        <v>64.107789000000011</v>
      </c>
      <c r="R83" s="384">
        <f t="shared" si="7"/>
        <v>6.611885237863639</v>
      </c>
      <c r="S83" s="378">
        <v>85.5</v>
      </c>
      <c r="T83" s="385">
        <f t="shared" si="8"/>
        <v>50.373749999999994</v>
      </c>
      <c r="U83" s="386">
        <f t="shared" si="9"/>
        <v>-7.122153762136378</v>
      </c>
      <c r="V83" s="385">
        <f t="shared" si="10"/>
        <v>57.971874999999997</v>
      </c>
      <c r="W83" s="385">
        <f t="shared" si="11"/>
        <v>81.471874999999997</v>
      </c>
      <c r="X83" s="387">
        <f t="shared" si="12"/>
        <v>0.47597123786362516</v>
      </c>
      <c r="Y83" s="357"/>
      <c r="Z83" s="357"/>
    </row>
    <row r="84" spans="1:26" ht="15.75" customHeight="1" x14ac:dyDescent="0.4">
      <c r="A84" s="390">
        <v>44256</v>
      </c>
      <c r="B84" s="391">
        <v>84.49</v>
      </c>
      <c r="C84" s="391">
        <v>85.75</v>
      </c>
      <c r="D84" s="341">
        <f t="shared" ref="D84:H84" si="86">D83</f>
        <v>5000</v>
      </c>
      <c r="E84" s="341">
        <f t="shared" si="86"/>
        <v>28</v>
      </c>
      <c r="F84" s="341">
        <f t="shared" si="86"/>
        <v>13</v>
      </c>
      <c r="G84" s="341">
        <f t="shared" si="86"/>
        <v>0.8</v>
      </c>
      <c r="H84" s="341">
        <f t="shared" si="86"/>
        <v>8</v>
      </c>
      <c r="I84" s="342">
        <f t="shared" si="0"/>
        <v>0.66206896551724137</v>
      </c>
      <c r="J84" s="342">
        <f t="shared" si="1"/>
        <v>6.6206896551724137</v>
      </c>
      <c r="K84" s="343">
        <f t="shared" si="2"/>
        <v>54.834727463666887</v>
      </c>
      <c r="L84" s="380">
        <v>0</v>
      </c>
      <c r="M84" s="345">
        <f t="shared" si="3"/>
        <v>-0.51944827586206932</v>
      </c>
      <c r="N84" s="381">
        <f t="shared" si="4"/>
        <v>55.354175739528955</v>
      </c>
      <c r="O84" s="381">
        <v>60.71</v>
      </c>
      <c r="P84" s="382">
        <f t="shared" si="5"/>
        <v>5.3558242604710458</v>
      </c>
      <c r="Q84" s="383">
        <f t="shared" si="6"/>
        <v>59.356166999999999</v>
      </c>
      <c r="R84" s="384">
        <f t="shared" si="7"/>
        <v>4.0019912604710441</v>
      </c>
      <c r="S84" s="378">
        <v>94.407499999999999</v>
      </c>
      <c r="T84" s="385">
        <f t="shared" si="8"/>
        <v>55.621752083333327</v>
      </c>
      <c r="U84" s="386">
        <f t="shared" si="9"/>
        <v>0.26757634380437167</v>
      </c>
      <c r="V84" s="385">
        <f t="shared" si="10"/>
        <v>58.165876041666664</v>
      </c>
      <c r="W84" s="385">
        <f t="shared" si="11"/>
        <v>81.665876041666664</v>
      </c>
      <c r="X84" s="387">
        <f t="shared" si="12"/>
        <v>2.8117003021377087</v>
      </c>
      <c r="Y84" s="357"/>
      <c r="Z84" s="357"/>
    </row>
    <row r="85" spans="1:26" ht="15.75" customHeight="1" x14ac:dyDescent="0.4">
      <c r="A85" s="389">
        <v>44287</v>
      </c>
      <c r="B85" s="391">
        <v>86.68</v>
      </c>
      <c r="C85" s="391">
        <v>90.256</v>
      </c>
      <c r="D85" s="341">
        <f t="shared" ref="D85:H85" si="87">D84</f>
        <v>5000</v>
      </c>
      <c r="E85" s="341">
        <f t="shared" si="87"/>
        <v>28</v>
      </c>
      <c r="F85" s="341">
        <f t="shared" si="87"/>
        <v>13</v>
      </c>
      <c r="G85" s="341">
        <f t="shared" si="87"/>
        <v>0.8</v>
      </c>
      <c r="H85" s="341">
        <f t="shared" si="87"/>
        <v>8</v>
      </c>
      <c r="I85" s="342">
        <f t="shared" si="0"/>
        <v>0.66206896551724137</v>
      </c>
      <c r="J85" s="342">
        <f t="shared" si="1"/>
        <v>6.6206896551724137</v>
      </c>
      <c r="K85" s="343">
        <f t="shared" si="2"/>
        <v>56.25605606048817</v>
      </c>
      <c r="L85" s="380">
        <v>0</v>
      </c>
      <c r="M85" s="345">
        <f t="shared" si="3"/>
        <v>-0.51944827586206932</v>
      </c>
      <c r="N85" s="381">
        <f t="shared" si="4"/>
        <v>56.775504336350238</v>
      </c>
      <c r="O85" s="381">
        <v>70.186000000000007</v>
      </c>
      <c r="P85" s="382">
        <f t="shared" si="5"/>
        <v>13.410495663649769</v>
      </c>
      <c r="Q85" s="383">
        <f t="shared" si="6"/>
        <v>68.620852200000002</v>
      </c>
      <c r="R85" s="384">
        <f t="shared" si="7"/>
        <v>11.845347863649764</v>
      </c>
      <c r="S85" s="378">
        <v>93.285999999999987</v>
      </c>
      <c r="T85" s="385">
        <f t="shared" si="8"/>
        <v>54.961001666666661</v>
      </c>
      <c r="U85" s="386">
        <f t="shared" si="9"/>
        <v>-1.8145026696835771</v>
      </c>
      <c r="V85" s="385">
        <f t="shared" si="10"/>
        <v>62.573500833333334</v>
      </c>
      <c r="W85" s="385">
        <f t="shared" si="11"/>
        <v>86.073500833333327</v>
      </c>
      <c r="X85" s="387">
        <f t="shared" si="12"/>
        <v>5.7979964969830959</v>
      </c>
      <c r="Y85" s="357"/>
      <c r="Z85" s="357"/>
    </row>
    <row r="86" spans="1:26" ht="15.75" customHeight="1" x14ac:dyDescent="0.4">
      <c r="A86" s="390">
        <v>44317</v>
      </c>
      <c r="B86" s="391">
        <v>89.74</v>
      </c>
      <c r="C86" s="391">
        <v>95.114999999999995</v>
      </c>
      <c r="D86" s="341">
        <f t="shared" ref="D86:H86" si="88">D85</f>
        <v>5000</v>
      </c>
      <c r="E86" s="341">
        <f t="shared" si="88"/>
        <v>28</v>
      </c>
      <c r="F86" s="341">
        <f t="shared" si="88"/>
        <v>13</v>
      </c>
      <c r="G86" s="341">
        <f t="shared" si="88"/>
        <v>0.8</v>
      </c>
      <c r="H86" s="341">
        <f t="shared" si="88"/>
        <v>8</v>
      </c>
      <c r="I86" s="342">
        <f t="shared" si="0"/>
        <v>0.66206896551724137</v>
      </c>
      <c r="J86" s="342">
        <f t="shared" si="1"/>
        <v>6.6206896551724137</v>
      </c>
      <c r="K86" s="343">
        <f t="shared" si="2"/>
        <v>58.242022045087779</v>
      </c>
      <c r="L86" s="380">
        <v>0</v>
      </c>
      <c r="M86" s="345">
        <f t="shared" si="3"/>
        <v>-0.51944827586206932</v>
      </c>
      <c r="N86" s="381">
        <f t="shared" si="4"/>
        <v>58.761470320949847</v>
      </c>
      <c r="O86" s="381">
        <v>77.942499999999995</v>
      </c>
      <c r="P86" s="382">
        <f t="shared" si="5"/>
        <v>19.181029679050148</v>
      </c>
      <c r="Q86" s="383">
        <f t="shared" si="6"/>
        <v>76.204382249999995</v>
      </c>
      <c r="R86" s="384">
        <f t="shared" si="7"/>
        <v>17.442911929050148</v>
      </c>
      <c r="S86" s="378">
        <v>106.02250000000001</v>
      </c>
      <c r="T86" s="385">
        <f t="shared" si="8"/>
        <v>62.464922916666666</v>
      </c>
      <c r="U86" s="386">
        <f t="shared" si="9"/>
        <v>3.7034525957168185</v>
      </c>
      <c r="V86" s="385">
        <f t="shared" si="10"/>
        <v>70.203711458333331</v>
      </c>
      <c r="W86" s="385">
        <f t="shared" si="11"/>
        <v>93.703711458333331</v>
      </c>
      <c r="X86" s="387">
        <f t="shared" si="12"/>
        <v>11.442241137383483</v>
      </c>
      <c r="Y86" s="357"/>
      <c r="Z86" s="357"/>
    </row>
    <row r="87" spans="1:26" ht="15.75" customHeight="1" x14ac:dyDescent="0.4">
      <c r="A87" s="389">
        <v>44348</v>
      </c>
      <c r="B87" s="391">
        <v>100.33</v>
      </c>
      <c r="C87" s="391">
        <v>104.93499999999999</v>
      </c>
      <c r="D87" s="341">
        <f t="shared" ref="D87:H87" si="89">D86</f>
        <v>5000</v>
      </c>
      <c r="E87" s="341">
        <f t="shared" si="89"/>
        <v>28</v>
      </c>
      <c r="F87" s="341">
        <f t="shared" si="89"/>
        <v>13</v>
      </c>
      <c r="G87" s="341">
        <f t="shared" si="89"/>
        <v>0.8</v>
      </c>
      <c r="H87" s="341">
        <f t="shared" si="89"/>
        <v>8</v>
      </c>
      <c r="I87" s="342">
        <f t="shared" si="0"/>
        <v>0.66206896551724137</v>
      </c>
      <c r="J87" s="342">
        <f t="shared" si="1"/>
        <v>6.6206896551724137</v>
      </c>
      <c r="K87" s="343">
        <f t="shared" si="2"/>
        <v>65.11502197218249</v>
      </c>
      <c r="L87" s="380">
        <v>0</v>
      </c>
      <c r="M87" s="345">
        <f t="shared" si="3"/>
        <v>-0.51944827586206932</v>
      </c>
      <c r="N87" s="381">
        <f t="shared" si="4"/>
        <v>65.634470248044565</v>
      </c>
      <c r="O87" s="381">
        <v>84.482500000000002</v>
      </c>
      <c r="P87" s="382">
        <f t="shared" si="5"/>
        <v>18.848029751955437</v>
      </c>
      <c r="Q87" s="383">
        <f t="shared" si="6"/>
        <v>82.598540249999999</v>
      </c>
      <c r="R87" s="384">
        <f t="shared" si="7"/>
        <v>16.964070001955434</v>
      </c>
      <c r="S87" s="378">
        <v>127.68</v>
      </c>
      <c r="T87" s="385">
        <f t="shared" si="8"/>
        <v>75.224800000000002</v>
      </c>
      <c r="U87" s="386">
        <f t="shared" si="9"/>
        <v>9.5903297519554371</v>
      </c>
      <c r="V87" s="385">
        <f t="shared" si="10"/>
        <v>79.853650000000002</v>
      </c>
      <c r="W87" s="385">
        <f t="shared" si="11"/>
        <v>103.35365</v>
      </c>
      <c r="X87" s="387">
        <f t="shared" si="12"/>
        <v>14.219179751955437</v>
      </c>
      <c r="Y87" s="357"/>
      <c r="Z87" s="357"/>
    </row>
    <row r="88" spans="1:26" ht="15.75" customHeight="1" x14ac:dyDescent="0.4">
      <c r="A88" s="390">
        <v>44378</v>
      </c>
      <c r="B88" s="391">
        <v>115.35</v>
      </c>
      <c r="C88" s="391">
        <v>116.66199999999999</v>
      </c>
      <c r="D88" s="341">
        <f t="shared" ref="D88:H88" si="90">D87</f>
        <v>5000</v>
      </c>
      <c r="E88" s="341">
        <f t="shared" si="90"/>
        <v>28</v>
      </c>
      <c r="F88" s="341">
        <f t="shared" si="90"/>
        <v>13</v>
      </c>
      <c r="G88" s="341">
        <f t="shared" si="90"/>
        <v>0.8</v>
      </c>
      <c r="H88" s="341">
        <f t="shared" si="90"/>
        <v>8</v>
      </c>
      <c r="I88" s="342">
        <f t="shared" si="0"/>
        <v>0.66206896551724137</v>
      </c>
      <c r="J88" s="342">
        <f t="shared" si="1"/>
        <v>6.6206896551724137</v>
      </c>
      <c r="K88" s="343">
        <f t="shared" si="2"/>
        <v>74.863129517504731</v>
      </c>
      <c r="L88" s="380">
        <v>0</v>
      </c>
      <c r="M88" s="345">
        <f t="shared" si="3"/>
        <v>-0.51944827586206932</v>
      </c>
      <c r="N88" s="381">
        <f t="shared" si="4"/>
        <v>75.382577793366806</v>
      </c>
      <c r="O88" s="381">
        <v>93.804000000000002</v>
      </c>
      <c r="P88" s="382">
        <f t="shared" si="5"/>
        <v>18.421422206633196</v>
      </c>
      <c r="Q88" s="383">
        <f t="shared" si="6"/>
        <v>91.71217080000001</v>
      </c>
      <c r="R88" s="384">
        <f t="shared" si="7"/>
        <v>16.329593006633203</v>
      </c>
      <c r="S88" s="378">
        <v>149.98599999999999</v>
      </c>
      <c r="T88" s="385">
        <f t="shared" si="8"/>
        <v>88.366751666666659</v>
      </c>
      <c r="U88" s="386">
        <f t="shared" si="9"/>
        <v>12.984173873299852</v>
      </c>
      <c r="V88" s="385">
        <f t="shared" si="10"/>
        <v>91.08537583333333</v>
      </c>
      <c r="W88" s="385">
        <f t="shared" si="11"/>
        <v>114.58537583333333</v>
      </c>
      <c r="X88" s="387">
        <f t="shared" si="12"/>
        <v>15.702798039966524</v>
      </c>
      <c r="Y88" s="357"/>
      <c r="Z88" s="357"/>
    </row>
    <row r="89" spans="1:26" ht="15.75" customHeight="1" x14ac:dyDescent="0.4">
      <c r="A89" s="389">
        <v>44409</v>
      </c>
      <c r="B89" s="391">
        <v>130.99</v>
      </c>
      <c r="C89" s="391">
        <v>128.39750000000001</v>
      </c>
      <c r="D89" s="341">
        <f t="shared" ref="D89:H89" si="91">D88</f>
        <v>5000</v>
      </c>
      <c r="E89" s="341">
        <f t="shared" si="91"/>
        <v>28</v>
      </c>
      <c r="F89" s="341">
        <f t="shared" si="91"/>
        <v>13</v>
      </c>
      <c r="G89" s="341">
        <f t="shared" si="91"/>
        <v>0.8</v>
      </c>
      <c r="H89" s="341">
        <f t="shared" si="91"/>
        <v>8</v>
      </c>
      <c r="I89" s="342">
        <f t="shared" si="0"/>
        <v>0.66206896551724137</v>
      </c>
      <c r="J89" s="342">
        <f t="shared" si="1"/>
        <v>6.6206896551724137</v>
      </c>
      <c r="K89" s="343">
        <f t="shared" si="2"/>
        <v>85.013622327680494</v>
      </c>
      <c r="L89" s="380">
        <v>0</v>
      </c>
      <c r="M89" s="345">
        <f t="shared" si="3"/>
        <v>-0.51944827586206932</v>
      </c>
      <c r="N89" s="381">
        <f t="shared" si="4"/>
        <v>85.533070603542569</v>
      </c>
      <c r="O89" s="381">
        <v>104.94</v>
      </c>
      <c r="P89" s="382">
        <f t="shared" si="5"/>
        <v>19.406929396457429</v>
      </c>
      <c r="Q89" s="383">
        <f t="shared" si="6"/>
        <v>102.59983800000001</v>
      </c>
      <c r="R89" s="384">
        <f t="shared" si="7"/>
        <v>17.066767396457436</v>
      </c>
      <c r="S89" s="378">
        <v>171.44</v>
      </c>
      <c r="T89" s="385">
        <f t="shared" si="8"/>
        <v>101.00673333333333</v>
      </c>
      <c r="U89" s="386">
        <f t="shared" si="9"/>
        <v>15.47366272979076</v>
      </c>
      <c r="V89" s="385">
        <f t="shared" si="10"/>
        <v>102.97336666666666</v>
      </c>
      <c r="W89" s="385">
        <f t="shared" si="11"/>
        <v>126.47336666666666</v>
      </c>
      <c r="X89" s="387">
        <f t="shared" si="12"/>
        <v>17.440296063124094</v>
      </c>
      <c r="Y89" s="357"/>
      <c r="Z89" s="357"/>
    </row>
    <row r="90" spans="1:26" ht="15.75" customHeight="1" x14ac:dyDescent="0.4">
      <c r="A90" s="390">
        <v>44440</v>
      </c>
      <c r="B90" s="391">
        <v>150.03</v>
      </c>
      <c r="C90" s="391">
        <v>146.4375</v>
      </c>
      <c r="D90" s="341">
        <f t="shared" ref="D90:H90" si="92">D89</f>
        <v>5000</v>
      </c>
      <c r="E90" s="341">
        <f t="shared" si="92"/>
        <v>28</v>
      </c>
      <c r="F90" s="341">
        <f t="shared" si="92"/>
        <v>13</v>
      </c>
      <c r="G90" s="341">
        <f t="shared" si="92"/>
        <v>0.8</v>
      </c>
      <c r="H90" s="341">
        <f t="shared" si="92"/>
        <v>8</v>
      </c>
      <c r="I90" s="342">
        <f t="shared" si="0"/>
        <v>0.66206896551724137</v>
      </c>
      <c r="J90" s="342">
        <f t="shared" si="1"/>
        <v>6.6206896551724137</v>
      </c>
      <c r="K90" s="343">
        <f t="shared" si="2"/>
        <v>97.370744009633597</v>
      </c>
      <c r="L90" s="380">
        <v>0</v>
      </c>
      <c r="M90" s="345">
        <f t="shared" si="3"/>
        <v>-0.51944827586206932</v>
      </c>
      <c r="N90" s="381">
        <f t="shared" si="4"/>
        <v>97.890192285495672</v>
      </c>
      <c r="O90" s="381">
        <v>117.2175</v>
      </c>
      <c r="P90" s="382">
        <f t="shared" si="5"/>
        <v>19.327307714504329</v>
      </c>
      <c r="Q90" s="383">
        <f t="shared" si="6"/>
        <v>114.60354975</v>
      </c>
      <c r="R90" s="384">
        <f t="shared" si="7"/>
        <v>16.713357464504327</v>
      </c>
      <c r="S90" s="378">
        <v>181.1225</v>
      </c>
      <c r="T90" s="385">
        <f t="shared" si="8"/>
        <v>106.71133958333333</v>
      </c>
      <c r="U90" s="386">
        <f t="shared" si="9"/>
        <v>8.8211472978376548</v>
      </c>
      <c r="V90" s="385">
        <f t="shared" si="10"/>
        <v>111.96441979166667</v>
      </c>
      <c r="W90" s="385">
        <f t="shared" si="11"/>
        <v>135.46441979166667</v>
      </c>
      <c r="X90" s="387">
        <f t="shared" si="12"/>
        <v>14.074227506170999</v>
      </c>
      <c r="Y90" s="357"/>
      <c r="Z90" s="357"/>
    </row>
    <row r="91" spans="1:26" ht="15.75" customHeight="1" x14ac:dyDescent="0.4">
      <c r="A91" s="389">
        <v>44470</v>
      </c>
      <c r="B91" s="391">
        <v>161.63</v>
      </c>
      <c r="C91" s="391">
        <v>206.416</v>
      </c>
      <c r="D91" s="341">
        <f t="shared" ref="D91:H91" si="93">D90</f>
        <v>5000</v>
      </c>
      <c r="E91" s="341">
        <f t="shared" si="93"/>
        <v>28</v>
      </c>
      <c r="F91" s="341">
        <f t="shared" si="93"/>
        <v>13</v>
      </c>
      <c r="G91" s="341">
        <f t="shared" si="93"/>
        <v>0.8</v>
      </c>
      <c r="H91" s="341">
        <f t="shared" si="93"/>
        <v>8</v>
      </c>
      <c r="I91" s="342">
        <f t="shared" si="0"/>
        <v>0.66206896551724137</v>
      </c>
      <c r="J91" s="342">
        <f t="shared" si="1"/>
        <v>6.6206896551724137</v>
      </c>
      <c r="K91" s="343">
        <f t="shared" si="2"/>
        <v>104.89924251334452</v>
      </c>
      <c r="L91" s="380">
        <v>0</v>
      </c>
      <c r="M91" s="345">
        <f t="shared" si="3"/>
        <v>-0.51944827586206932</v>
      </c>
      <c r="N91" s="381">
        <f t="shared" si="4"/>
        <v>105.41869078920659</v>
      </c>
      <c r="O91" s="381">
        <v>180.84200000000001</v>
      </c>
      <c r="P91" s="382">
        <f t="shared" si="5"/>
        <v>75.42330921079342</v>
      </c>
      <c r="Q91" s="383">
        <f t="shared" si="6"/>
        <v>176.80922340000001</v>
      </c>
      <c r="R91" s="384">
        <f t="shared" si="7"/>
        <v>71.390532610793414</v>
      </c>
      <c r="S91" s="378">
        <v>222.352</v>
      </c>
      <c r="T91" s="385">
        <f t="shared" si="8"/>
        <v>131.00238666666664</v>
      </c>
      <c r="U91" s="386">
        <f t="shared" si="9"/>
        <v>25.583695877460045</v>
      </c>
      <c r="V91" s="385">
        <f t="shared" si="10"/>
        <v>155.92219333333333</v>
      </c>
      <c r="W91" s="385">
        <f t="shared" si="11"/>
        <v>179.42219333333333</v>
      </c>
      <c r="X91" s="387">
        <f t="shared" si="12"/>
        <v>50.503502544126732</v>
      </c>
      <c r="Y91" s="357"/>
      <c r="Z91" s="357"/>
    </row>
    <row r="92" spans="1:26" ht="15.75" customHeight="1" x14ac:dyDescent="0.4">
      <c r="A92" s="390">
        <v>44501</v>
      </c>
      <c r="B92" s="391">
        <v>215.63</v>
      </c>
      <c r="C92" s="391">
        <v>157.04750000000001</v>
      </c>
      <c r="D92" s="341">
        <f t="shared" ref="D92:H92" si="94">D91</f>
        <v>5000</v>
      </c>
      <c r="E92" s="341">
        <f t="shared" si="94"/>
        <v>28</v>
      </c>
      <c r="F92" s="341">
        <f t="shared" si="94"/>
        <v>13</v>
      </c>
      <c r="G92" s="341">
        <f t="shared" si="94"/>
        <v>0.8</v>
      </c>
      <c r="H92" s="341">
        <f t="shared" si="94"/>
        <v>8</v>
      </c>
      <c r="I92" s="342">
        <f t="shared" si="0"/>
        <v>0.66206896551724137</v>
      </c>
      <c r="J92" s="342">
        <f t="shared" si="1"/>
        <v>6.6206896551724137</v>
      </c>
      <c r="K92" s="343">
        <f t="shared" si="2"/>
        <v>139.94570106510224</v>
      </c>
      <c r="L92" s="380">
        <v>0</v>
      </c>
      <c r="M92" s="345">
        <f t="shared" si="3"/>
        <v>-0.51944827586206932</v>
      </c>
      <c r="N92" s="381">
        <f t="shared" si="4"/>
        <v>140.4651493409643</v>
      </c>
      <c r="O92" s="381">
        <v>115.42</v>
      </c>
      <c r="P92" s="382">
        <f t="shared" si="5"/>
        <v>-25.045149340964301</v>
      </c>
      <c r="Q92" s="383">
        <f t="shared" si="6"/>
        <v>112.84613400000001</v>
      </c>
      <c r="R92" s="384">
        <f t="shared" si="7"/>
        <v>-27.619015340964296</v>
      </c>
      <c r="S92" s="378">
        <v>159.17750000000001</v>
      </c>
      <c r="T92" s="385">
        <f t="shared" si="8"/>
        <v>93.782077083333334</v>
      </c>
      <c r="U92" s="386">
        <f t="shared" si="9"/>
        <v>-46.683072257630968</v>
      </c>
      <c r="V92" s="385">
        <f t="shared" si="10"/>
        <v>104.60103854166667</v>
      </c>
      <c r="W92" s="385">
        <f t="shared" si="11"/>
        <v>128.10103854166667</v>
      </c>
      <c r="X92" s="387">
        <f t="shared" si="12"/>
        <v>-35.864110799297634</v>
      </c>
      <c r="Y92" s="357"/>
      <c r="Z92" s="357"/>
    </row>
    <row r="93" spans="1:26" ht="15.75" customHeight="1" x14ac:dyDescent="0.4">
      <c r="A93" s="389">
        <v>44531</v>
      </c>
      <c r="B93" s="391">
        <v>159.79</v>
      </c>
      <c r="C93" s="391">
        <v>150.95400000000001</v>
      </c>
      <c r="D93" s="341">
        <f t="shared" ref="D93:H93" si="95">D92</f>
        <v>5000</v>
      </c>
      <c r="E93" s="341">
        <f t="shared" si="95"/>
        <v>28</v>
      </c>
      <c r="F93" s="341">
        <f t="shared" si="95"/>
        <v>13</v>
      </c>
      <c r="G93" s="341">
        <f t="shared" si="95"/>
        <v>0.8</v>
      </c>
      <c r="H93" s="341">
        <f t="shared" si="95"/>
        <v>8</v>
      </c>
      <c r="I93" s="342">
        <f t="shared" si="0"/>
        <v>0.66206896551724137</v>
      </c>
      <c r="J93" s="342">
        <f t="shared" si="1"/>
        <v>6.6206896551724137</v>
      </c>
      <c r="K93" s="343">
        <f t="shared" si="2"/>
        <v>103.70506688861796</v>
      </c>
      <c r="L93" s="380">
        <v>0</v>
      </c>
      <c r="M93" s="345">
        <f t="shared" si="3"/>
        <v>-0.51944827586206932</v>
      </c>
      <c r="N93" s="381">
        <f t="shared" si="4"/>
        <v>104.22451516448004</v>
      </c>
      <c r="O93" s="381">
        <v>98.38</v>
      </c>
      <c r="P93" s="382">
        <f t="shared" si="5"/>
        <v>-5.8445151644800433</v>
      </c>
      <c r="Q93" s="383">
        <f t="shared" si="6"/>
        <v>96.186126000000002</v>
      </c>
      <c r="R93" s="384">
        <f t="shared" si="7"/>
        <v>-8.0383891644800372</v>
      </c>
      <c r="S93" s="378">
        <v>170.22800000000001</v>
      </c>
      <c r="T93" s="385">
        <f t="shared" si="8"/>
        <v>100.29266333333332</v>
      </c>
      <c r="U93" s="386">
        <f t="shared" si="9"/>
        <v>-3.9318518311467159</v>
      </c>
      <c r="V93" s="385">
        <f t="shared" si="10"/>
        <v>99.336331666666666</v>
      </c>
      <c r="W93" s="385">
        <f t="shared" si="11"/>
        <v>122.83633166666667</v>
      </c>
      <c r="X93" s="387">
        <f t="shared" si="12"/>
        <v>-4.8881834978133725</v>
      </c>
      <c r="Y93" s="357"/>
      <c r="Z93" s="357"/>
    </row>
    <row r="94" spans="1:26" ht="15.75" customHeight="1" x14ac:dyDescent="0.4">
      <c r="A94" s="389">
        <v>44562</v>
      </c>
      <c r="B94" s="391">
        <v>158.5</v>
      </c>
      <c r="C94" s="391">
        <v>158.73249999999999</v>
      </c>
      <c r="D94" s="341">
        <f t="shared" ref="D94:H94" si="96">D93</f>
        <v>5000</v>
      </c>
      <c r="E94" s="341">
        <f t="shared" si="96"/>
        <v>28</v>
      </c>
      <c r="F94" s="341">
        <f t="shared" si="96"/>
        <v>13</v>
      </c>
      <c r="G94" s="341">
        <f t="shared" si="96"/>
        <v>0.8</v>
      </c>
      <c r="H94" s="341">
        <f t="shared" si="96"/>
        <v>8</v>
      </c>
      <c r="I94" s="342">
        <f t="shared" si="0"/>
        <v>0.66206896551724137</v>
      </c>
      <c r="J94" s="342">
        <f t="shared" si="1"/>
        <v>6.6206896551724137</v>
      </c>
      <c r="K94" s="343">
        <f t="shared" si="2"/>
        <v>102.86784593432597</v>
      </c>
      <c r="L94" s="380">
        <v>0</v>
      </c>
      <c r="M94" s="345">
        <f t="shared" si="3"/>
        <v>-0.51944827586206932</v>
      </c>
      <c r="N94" s="381">
        <f t="shared" si="4"/>
        <v>103.38729421018805</v>
      </c>
      <c r="O94" s="381">
        <v>96.174999999999997</v>
      </c>
      <c r="P94" s="382">
        <f t="shared" si="5"/>
        <v>-7.2122942101880483</v>
      </c>
      <c r="Q94" s="383">
        <f t="shared" si="6"/>
        <v>94.030297500000003</v>
      </c>
      <c r="R94" s="384">
        <f t="shared" si="7"/>
        <v>-9.3569967101880422</v>
      </c>
      <c r="S94" s="378">
        <v>225.58750000000001</v>
      </c>
      <c r="T94" s="385">
        <f t="shared" si="8"/>
        <v>132.90863541666667</v>
      </c>
      <c r="U94" s="386">
        <f t="shared" si="9"/>
        <v>29.521341206478624</v>
      </c>
      <c r="V94" s="385">
        <f t="shared" si="10"/>
        <v>114.54181770833333</v>
      </c>
      <c r="W94" s="385">
        <f t="shared" si="11"/>
        <v>138.04181770833333</v>
      </c>
      <c r="X94" s="387">
        <f t="shared" si="12"/>
        <v>11.154523498145281</v>
      </c>
      <c r="Y94" s="357"/>
      <c r="Z94" s="357"/>
    </row>
    <row r="95" spans="1:26" ht="15.75" customHeight="1" x14ac:dyDescent="0.4">
      <c r="A95" s="389">
        <v>44593</v>
      </c>
      <c r="B95" s="391">
        <v>188.38</v>
      </c>
      <c r="C95" s="391">
        <v>173.6</v>
      </c>
      <c r="D95" s="341">
        <f t="shared" ref="D95:H95" si="97">D94</f>
        <v>5000</v>
      </c>
      <c r="E95" s="341">
        <f t="shared" si="97"/>
        <v>28</v>
      </c>
      <c r="F95" s="341">
        <f t="shared" si="97"/>
        <v>13</v>
      </c>
      <c r="G95" s="341">
        <f t="shared" si="97"/>
        <v>0.8</v>
      </c>
      <c r="H95" s="341">
        <f t="shared" si="97"/>
        <v>8</v>
      </c>
      <c r="I95" s="342">
        <f t="shared" si="0"/>
        <v>0.66206896551724137</v>
      </c>
      <c r="J95" s="342">
        <f t="shared" si="1"/>
        <v>6.6206896551724137</v>
      </c>
      <c r="K95" s="343">
        <f t="shared" si="2"/>
        <v>122.2602196662986</v>
      </c>
      <c r="L95" s="380">
        <v>0</v>
      </c>
      <c r="M95" s="345">
        <f t="shared" si="3"/>
        <v>-0.51944827586206932</v>
      </c>
      <c r="N95" s="381">
        <f t="shared" si="4"/>
        <v>122.77966794216067</v>
      </c>
      <c r="O95" s="381">
        <v>115.6875</v>
      </c>
      <c r="P95" s="382">
        <f t="shared" si="5"/>
        <v>-7.0921679421606711</v>
      </c>
      <c r="Q95" s="383">
        <f t="shared" si="6"/>
        <v>113.10766875</v>
      </c>
      <c r="R95" s="384">
        <f t="shared" si="7"/>
        <v>-9.6719991921606692</v>
      </c>
      <c r="S95" s="378">
        <v>239.26999999999998</v>
      </c>
      <c r="T95" s="385">
        <f t="shared" si="8"/>
        <v>140.96990833333334</v>
      </c>
      <c r="U95" s="386">
        <f t="shared" si="9"/>
        <v>18.190240391172665</v>
      </c>
      <c r="V95" s="385">
        <f t="shared" si="10"/>
        <v>128.32870416666668</v>
      </c>
      <c r="W95" s="385">
        <f t="shared" si="11"/>
        <v>151.82870416666668</v>
      </c>
      <c r="X95" s="387">
        <f t="shared" si="12"/>
        <v>5.5490362245060112</v>
      </c>
      <c r="Y95" s="357"/>
      <c r="Z95" s="357"/>
    </row>
    <row r="96" spans="1:26" ht="15.75" customHeight="1" x14ac:dyDescent="0.4">
      <c r="A96" s="389">
        <v>44621</v>
      </c>
      <c r="B96" s="391">
        <v>203.69</v>
      </c>
      <c r="C96" s="391">
        <v>269.7</v>
      </c>
      <c r="D96" s="341">
        <f t="shared" ref="D96:H96" si="98">D95</f>
        <v>5000</v>
      </c>
      <c r="E96" s="341">
        <f t="shared" si="98"/>
        <v>28</v>
      </c>
      <c r="F96" s="341">
        <f t="shared" si="98"/>
        <v>13</v>
      </c>
      <c r="G96" s="341">
        <f t="shared" si="98"/>
        <v>0.8</v>
      </c>
      <c r="H96" s="341">
        <f t="shared" si="98"/>
        <v>8</v>
      </c>
      <c r="I96" s="342">
        <f t="shared" si="0"/>
        <v>0.66206896551724137</v>
      </c>
      <c r="J96" s="342">
        <f t="shared" si="1"/>
        <v>6.6206896551724137</v>
      </c>
      <c r="K96" s="343">
        <f t="shared" si="2"/>
        <v>132.1965396742136</v>
      </c>
      <c r="L96" s="380">
        <v>0</v>
      </c>
      <c r="M96" s="345">
        <f t="shared" si="3"/>
        <v>-0.51944827586206932</v>
      </c>
      <c r="N96" s="381">
        <f t="shared" si="4"/>
        <v>132.71598795007566</v>
      </c>
      <c r="O96" s="381">
        <v>157.22749999999999</v>
      </c>
      <c r="P96" s="382">
        <f t="shared" si="5"/>
        <v>24.511512049924335</v>
      </c>
      <c r="Q96" s="383">
        <f t="shared" si="6"/>
        <v>153.72132675</v>
      </c>
      <c r="R96" s="384">
        <f t="shared" si="7"/>
        <v>21.005338799924345</v>
      </c>
      <c r="S96" s="378">
        <v>326.38249999999999</v>
      </c>
      <c r="T96" s="385">
        <f t="shared" si="8"/>
        <v>192.2936895833333</v>
      </c>
      <c r="U96" s="386">
        <f t="shared" si="9"/>
        <v>59.577701633257647</v>
      </c>
      <c r="V96" s="385">
        <f t="shared" si="10"/>
        <v>174.76059479166665</v>
      </c>
      <c r="W96" s="385">
        <f t="shared" si="11"/>
        <v>198.26059479166665</v>
      </c>
      <c r="X96" s="387">
        <f t="shared" si="12"/>
        <v>42.044606841590991</v>
      </c>
      <c r="Y96" s="357"/>
      <c r="Z96" s="357"/>
    </row>
    <row r="97" spans="1:26" ht="15.75" customHeight="1" x14ac:dyDescent="0.4">
      <c r="A97" s="389">
        <v>44652</v>
      </c>
      <c r="B97" s="391">
        <v>288.39999999999998</v>
      </c>
      <c r="C97" s="391">
        <v>256.86400000000003</v>
      </c>
      <c r="D97" s="341">
        <f t="shared" ref="D97:H97" si="99">D96</f>
        <v>5000</v>
      </c>
      <c r="E97" s="341">
        <f t="shared" si="99"/>
        <v>28</v>
      </c>
      <c r="F97" s="341">
        <f t="shared" si="99"/>
        <v>13</v>
      </c>
      <c r="G97" s="341">
        <f t="shared" si="99"/>
        <v>0.8</v>
      </c>
      <c r="H97" s="341">
        <f t="shared" si="99"/>
        <v>8</v>
      </c>
      <c r="I97" s="342">
        <f t="shared" si="0"/>
        <v>0.66206896551724137</v>
      </c>
      <c r="J97" s="342">
        <f t="shared" si="1"/>
        <v>6.6206896551724137</v>
      </c>
      <c r="K97" s="343">
        <f t="shared" si="2"/>
        <v>187.1740490060543</v>
      </c>
      <c r="L97" s="380">
        <v>0</v>
      </c>
      <c r="M97" s="345">
        <f t="shared" si="3"/>
        <v>-0.51944827586206932</v>
      </c>
      <c r="N97" s="381">
        <f t="shared" si="4"/>
        <v>187.69349728191636</v>
      </c>
      <c r="O97" s="381">
        <v>145.12200000000001</v>
      </c>
      <c r="P97" s="382">
        <f t="shared" si="5"/>
        <v>-42.571497281916351</v>
      </c>
      <c r="Q97" s="383">
        <f t="shared" si="6"/>
        <v>141.88577940000002</v>
      </c>
      <c r="R97" s="384">
        <f t="shared" si="7"/>
        <v>-45.807717881916346</v>
      </c>
      <c r="S97" s="378">
        <v>326.22199999999998</v>
      </c>
      <c r="T97" s="385">
        <f t="shared" si="8"/>
        <v>192.19912833333333</v>
      </c>
      <c r="U97" s="386">
        <f t="shared" si="9"/>
        <v>4.5056310514169695</v>
      </c>
      <c r="V97" s="385">
        <f t="shared" si="10"/>
        <v>168.66056416666669</v>
      </c>
      <c r="W97" s="385">
        <f t="shared" si="11"/>
        <v>192.16056416666669</v>
      </c>
      <c r="X97" s="387">
        <f t="shared" si="12"/>
        <v>-19.032933115249676</v>
      </c>
      <c r="Y97" s="357"/>
      <c r="Z97" s="357"/>
    </row>
    <row r="98" spans="1:26" ht="15.75" customHeight="1" x14ac:dyDescent="0.4">
      <c r="A98" s="389">
        <v>44682</v>
      </c>
      <c r="B98" s="391">
        <v>275.64</v>
      </c>
      <c r="C98" s="391">
        <v>277.61750000000001</v>
      </c>
      <c r="D98" s="341">
        <f t="shared" ref="D98:H98" si="100">D97</f>
        <v>5000</v>
      </c>
      <c r="E98" s="341">
        <f t="shared" si="100"/>
        <v>28</v>
      </c>
      <c r="F98" s="341">
        <f t="shared" si="100"/>
        <v>13</v>
      </c>
      <c r="G98" s="341">
        <f t="shared" si="100"/>
        <v>0.8</v>
      </c>
      <c r="H98" s="341">
        <f t="shared" si="100"/>
        <v>8</v>
      </c>
      <c r="I98" s="342">
        <f t="shared" si="0"/>
        <v>0.66206896551724137</v>
      </c>
      <c r="J98" s="342">
        <f t="shared" si="1"/>
        <v>6.6206896551724137</v>
      </c>
      <c r="K98" s="343">
        <f t="shared" si="2"/>
        <v>178.89270065197229</v>
      </c>
      <c r="L98" s="380">
        <v>0</v>
      </c>
      <c r="M98" s="345">
        <f t="shared" si="3"/>
        <v>-0.51944827586206932</v>
      </c>
      <c r="N98" s="381">
        <f t="shared" si="4"/>
        <v>179.41214892783435</v>
      </c>
      <c r="O98" s="381">
        <v>143.35499999999999</v>
      </c>
      <c r="P98" s="382">
        <f t="shared" si="5"/>
        <v>-36.057148927834362</v>
      </c>
      <c r="Q98" s="383">
        <f t="shared" si="6"/>
        <v>140.15818349999998</v>
      </c>
      <c r="R98" s="384">
        <f t="shared" si="7"/>
        <v>-39.253965427834373</v>
      </c>
      <c r="S98" s="378">
        <v>406.51499999999999</v>
      </c>
      <c r="T98" s="385">
        <f t="shared" si="8"/>
        <v>239.50508749999997</v>
      </c>
      <c r="U98" s="386">
        <f t="shared" si="9"/>
        <v>60.092938572165622</v>
      </c>
      <c r="V98" s="385">
        <f t="shared" si="10"/>
        <v>191.43004374999998</v>
      </c>
      <c r="W98" s="385">
        <f t="shared" si="11"/>
        <v>214.93004374999998</v>
      </c>
      <c r="X98" s="387">
        <f t="shared" si="12"/>
        <v>12.01789482216563</v>
      </c>
      <c r="Y98" s="357"/>
      <c r="Z98" s="357"/>
    </row>
    <row r="99" spans="1:26" ht="15.75" customHeight="1" x14ac:dyDescent="0.4">
      <c r="A99" s="389">
        <v>44713</v>
      </c>
      <c r="B99" s="391">
        <v>323.91000000000003</v>
      </c>
      <c r="C99" s="391">
        <v>275.14499999999998</v>
      </c>
      <c r="D99" s="341">
        <f t="shared" ref="D99:H99" si="101">D98</f>
        <v>5000</v>
      </c>
      <c r="E99" s="341">
        <f t="shared" si="101"/>
        <v>28</v>
      </c>
      <c r="F99" s="341">
        <f t="shared" si="101"/>
        <v>13</v>
      </c>
      <c r="G99" s="341">
        <f t="shared" si="101"/>
        <v>0.8</v>
      </c>
      <c r="H99" s="341">
        <f t="shared" si="101"/>
        <v>8</v>
      </c>
      <c r="I99" s="342">
        <f t="shared" si="0"/>
        <v>0.66206896551724137</v>
      </c>
      <c r="J99" s="342">
        <f t="shared" si="1"/>
        <v>6.6206896551724137</v>
      </c>
      <c r="K99" s="343">
        <f t="shared" si="2"/>
        <v>210.22034054629356</v>
      </c>
      <c r="L99" s="380">
        <v>0</v>
      </c>
      <c r="M99" s="345">
        <f t="shared" si="3"/>
        <v>-0.51944827586206932</v>
      </c>
      <c r="N99" s="381">
        <f t="shared" si="4"/>
        <v>210.73978882215562</v>
      </c>
      <c r="O99" s="381">
        <v>138.48250000000002</v>
      </c>
      <c r="P99" s="382">
        <f t="shared" si="5"/>
        <v>-72.257288822155601</v>
      </c>
      <c r="Q99" s="383">
        <f t="shared" si="6"/>
        <v>135.39434025000003</v>
      </c>
      <c r="R99" s="384">
        <f t="shared" si="7"/>
        <v>-75.34544857215559</v>
      </c>
      <c r="S99" s="378">
        <v>397.6275</v>
      </c>
      <c r="T99" s="385">
        <f t="shared" si="8"/>
        <v>234.26886874999997</v>
      </c>
      <c r="U99" s="386">
        <f t="shared" si="9"/>
        <v>23.52907992784435</v>
      </c>
      <c r="V99" s="385">
        <f t="shared" si="10"/>
        <v>186.37568437499999</v>
      </c>
      <c r="W99" s="385">
        <f t="shared" si="11"/>
        <v>209.87568437499999</v>
      </c>
      <c r="X99" s="387">
        <f t="shared" si="12"/>
        <v>-24.364104447155626</v>
      </c>
      <c r="Y99" s="357"/>
      <c r="Z99" s="357"/>
    </row>
    <row r="100" spans="1:26" ht="15.75" customHeight="1" x14ac:dyDescent="0.4">
      <c r="A100" s="389">
        <v>44743</v>
      </c>
      <c r="B100" s="391">
        <v>319</v>
      </c>
      <c r="C100" s="391">
        <v>264.30399999999997</v>
      </c>
      <c r="D100" s="341">
        <f t="shared" ref="D100:H100" si="102">D99</f>
        <v>5000</v>
      </c>
      <c r="E100" s="341">
        <f t="shared" si="102"/>
        <v>28</v>
      </c>
      <c r="F100" s="341">
        <f t="shared" si="102"/>
        <v>13</v>
      </c>
      <c r="G100" s="341">
        <f t="shared" si="102"/>
        <v>0.8</v>
      </c>
      <c r="H100" s="341">
        <f t="shared" si="102"/>
        <v>8</v>
      </c>
      <c r="I100" s="342">
        <f t="shared" si="0"/>
        <v>0.66206896551724137</v>
      </c>
      <c r="J100" s="342">
        <f t="shared" si="1"/>
        <v>6.6206896551724137</v>
      </c>
      <c r="K100" s="343">
        <f t="shared" si="2"/>
        <v>207.03370885205038</v>
      </c>
      <c r="L100" s="380">
        <v>0</v>
      </c>
      <c r="M100" s="345">
        <f t="shared" si="3"/>
        <v>-0.51944827586206932</v>
      </c>
      <c r="N100" s="381">
        <f t="shared" si="4"/>
        <v>207.55315712791244</v>
      </c>
      <c r="O100" s="381">
        <v>128.32</v>
      </c>
      <c r="P100" s="382">
        <f t="shared" si="5"/>
        <v>-79.233157127912449</v>
      </c>
      <c r="Q100" s="383">
        <f t="shared" si="6"/>
        <v>125.45846399999999</v>
      </c>
      <c r="R100" s="384">
        <f t="shared" si="7"/>
        <v>-82.09469312791245</v>
      </c>
      <c r="S100" s="378">
        <v>410.82600000000002</v>
      </c>
      <c r="T100" s="385">
        <f t="shared" si="8"/>
        <v>242.044985</v>
      </c>
      <c r="U100" s="386">
        <f t="shared" si="9"/>
        <v>34.491827872087555</v>
      </c>
      <c r="V100" s="385">
        <f t="shared" si="10"/>
        <v>185.1824925</v>
      </c>
      <c r="W100" s="385">
        <f t="shared" si="11"/>
        <v>208.6824925</v>
      </c>
      <c r="X100" s="387">
        <f t="shared" si="12"/>
        <v>-22.370664627912447</v>
      </c>
      <c r="Y100" s="357"/>
      <c r="Z100" s="357"/>
    </row>
    <row r="101" spans="1:26" ht="15.75" customHeight="1" x14ac:dyDescent="0.4">
      <c r="A101" s="389">
        <v>44774</v>
      </c>
      <c r="B101" s="391">
        <v>321.58999999999997</v>
      </c>
      <c r="C101" s="391">
        <v>251.20999999999998</v>
      </c>
      <c r="D101" s="341">
        <f t="shared" ref="D101:H101" si="103">D100</f>
        <v>5000</v>
      </c>
      <c r="E101" s="341">
        <f t="shared" si="103"/>
        <v>28</v>
      </c>
      <c r="F101" s="341">
        <f t="shared" si="103"/>
        <v>13</v>
      </c>
      <c r="G101" s="341">
        <f t="shared" si="103"/>
        <v>0.8</v>
      </c>
      <c r="H101" s="341">
        <f t="shared" si="103"/>
        <v>8</v>
      </c>
      <c r="I101" s="342">
        <f t="shared" si="0"/>
        <v>0.66206896551724137</v>
      </c>
      <c r="J101" s="342">
        <f t="shared" si="1"/>
        <v>6.6206896551724137</v>
      </c>
      <c r="K101" s="343">
        <f t="shared" si="2"/>
        <v>208.71464084555132</v>
      </c>
      <c r="L101" s="380">
        <v>0</v>
      </c>
      <c r="M101" s="345">
        <f t="shared" si="3"/>
        <v>-0.51944827586206932</v>
      </c>
      <c r="N101" s="381">
        <f t="shared" si="4"/>
        <v>209.23408912141338</v>
      </c>
      <c r="O101" s="381">
        <v>106.64</v>
      </c>
      <c r="P101" s="382">
        <f t="shared" si="5"/>
        <v>-102.59408912141338</v>
      </c>
      <c r="Q101" s="383">
        <f t="shared" si="6"/>
        <v>104.261928</v>
      </c>
      <c r="R101" s="384">
        <f t="shared" si="7"/>
        <v>-104.97216112141338</v>
      </c>
      <c r="S101" s="378">
        <v>417.38749999999999</v>
      </c>
      <c r="T101" s="385">
        <f t="shared" si="8"/>
        <v>245.91080208333332</v>
      </c>
      <c r="U101" s="386">
        <f t="shared" si="9"/>
        <v>36.676712961919947</v>
      </c>
      <c r="V101" s="385">
        <f t="shared" si="10"/>
        <v>176.27540104166667</v>
      </c>
      <c r="W101" s="385">
        <f t="shared" si="11"/>
        <v>199.77540104166667</v>
      </c>
      <c r="X101" s="387">
        <f t="shared" si="12"/>
        <v>-32.958688079746707</v>
      </c>
      <c r="Y101" s="357"/>
      <c r="Z101" s="357"/>
    </row>
    <row r="102" spans="1:26" ht="15.75" customHeight="1" x14ac:dyDescent="0.4">
      <c r="A102" s="389">
        <v>44805</v>
      </c>
      <c r="B102" s="391">
        <v>319.22000000000003</v>
      </c>
      <c r="C102" s="391">
        <v>260.31599999999997</v>
      </c>
      <c r="D102" s="341">
        <f t="shared" ref="D102:H102" si="104">D101</f>
        <v>5000</v>
      </c>
      <c r="E102" s="341">
        <f t="shared" si="104"/>
        <v>28</v>
      </c>
      <c r="F102" s="341">
        <f t="shared" si="104"/>
        <v>13</v>
      </c>
      <c r="G102" s="341">
        <f t="shared" si="104"/>
        <v>0.8</v>
      </c>
      <c r="H102" s="341">
        <f t="shared" si="104"/>
        <v>8</v>
      </c>
      <c r="I102" s="342">
        <f t="shared" si="0"/>
        <v>0.66206896551724137</v>
      </c>
      <c r="J102" s="342">
        <f t="shared" si="1"/>
        <v>6.6206896551724137</v>
      </c>
      <c r="K102" s="343">
        <f t="shared" si="2"/>
        <v>207.17649072022422</v>
      </c>
      <c r="L102" s="380">
        <v>0</v>
      </c>
      <c r="M102" s="345">
        <f t="shared" si="3"/>
        <v>-0.51944827586206932</v>
      </c>
      <c r="N102" s="381">
        <f t="shared" si="4"/>
        <v>207.69593899608628</v>
      </c>
      <c r="O102" s="381">
        <v>125.89000000000001</v>
      </c>
      <c r="P102" s="382">
        <f t="shared" si="5"/>
        <v>-81.805938996086269</v>
      </c>
      <c r="Q102" s="383">
        <f t="shared" si="6"/>
        <v>123.08265300000002</v>
      </c>
      <c r="R102" s="384">
        <f t="shared" si="7"/>
        <v>-84.613285996086262</v>
      </c>
      <c r="S102" s="378">
        <v>434.02200000000005</v>
      </c>
      <c r="T102" s="385">
        <f t="shared" si="8"/>
        <v>255.71129500000004</v>
      </c>
      <c r="U102" s="386">
        <f t="shared" si="9"/>
        <v>48.015356003913752</v>
      </c>
      <c r="V102" s="385">
        <f t="shared" si="10"/>
        <v>190.80064750000003</v>
      </c>
      <c r="W102" s="385">
        <f t="shared" si="11"/>
        <v>214.30064750000003</v>
      </c>
      <c r="X102" s="387">
        <f t="shared" si="12"/>
        <v>-16.895291496086259</v>
      </c>
      <c r="Y102" s="357"/>
      <c r="Z102" s="357"/>
    </row>
    <row r="103" spans="1:26" ht="15.75" customHeight="1" x14ac:dyDescent="0.4">
      <c r="A103" s="389">
        <v>44835</v>
      </c>
      <c r="B103" s="391">
        <v>330.97</v>
      </c>
      <c r="C103" s="391">
        <v>257.63749999999999</v>
      </c>
      <c r="D103" s="341">
        <f t="shared" ref="D103:H103" si="105">D102</f>
        <v>5000</v>
      </c>
      <c r="E103" s="341">
        <f t="shared" si="105"/>
        <v>28</v>
      </c>
      <c r="F103" s="341">
        <f t="shared" si="105"/>
        <v>13</v>
      </c>
      <c r="G103" s="341">
        <f t="shared" si="105"/>
        <v>0.8</v>
      </c>
      <c r="H103" s="341">
        <f t="shared" si="105"/>
        <v>8</v>
      </c>
      <c r="I103" s="342">
        <f t="shared" si="0"/>
        <v>0.66206896551724137</v>
      </c>
      <c r="J103" s="342">
        <f t="shared" si="1"/>
        <v>6.6206896551724137</v>
      </c>
      <c r="K103" s="343">
        <f t="shared" si="2"/>
        <v>214.80234049769004</v>
      </c>
      <c r="L103" s="380">
        <v>0</v>
      </c>
      <c r="M103" s="345">
        <f t="shared" si="3"/>
        <v>-0.51944827586206932</v>
      </c>
      <c r="N103" s="381">
        <f t="shared" si="4"/>
        <v>215.3217887735521</v>
      </c>
      <c r="O103" s="381">
        <v>132.0625</v>
      </c>
      <c r="P103" s="382">
        <f t="shared" si="5"/>
        <v>-83.2592887735521</v>
      </c>
      <c r="Q103" s="383">
        <f t="shared" si="6"/>
        <v>129.11750624999999</v>
      </c>
      <c r="R103" s="384">
        <f t="shared" si="7"/>
        <v>-86.204282523552109</v>
      </c>
      <c r="S103" s="378">
        <v>386.74250000000006</v>
      </c>
      <c r="T103" s="385">
        <f t="shared" si="8"/>
        <v>227.85578958333335</v>
      </c>
      <c r="U103" s="386">
        <f t="shared" si="9"/>
        <v>12.534000809781247</v>
      </c>
      <c r="V103" s="385">
        <f t="shared" si="10"/>
        <v>179.95914479166669</v>
      </c>
      <c r="W103" s="385">
        <f t="shared" si="11"/>
        <v>203.45914479166669</v>
      </c>
      <c r="X103" s="387">
        <f t="shared" si="12"/>
        <v>-35.362643981885412</v>
      </c>
      <c r="Y103" s="357"/>
      <c r="Z103" s="357"/>
    </row>
    <row r="104" spans="1:26" ht="15.75" customHeight="1" x14ac:dyDescent="0.4">
      <c r="A104" s="389">
        <v>44866</v>
      </c>
      <c r="B104" s="391">
        <v>308.2</v>
      </c>
      <c r="C104" s="391">
        <v>245.75749999999999</v>
      </c>
      <c r="D104" s="341">
        <f t="shared" ref="D104:H104" si="106">D103</f>
        <v>5000</v>
      </c>
      <c r="E104" s="341">
        <f t="shared" si="106"/>
        <v>28</v>
      </c>
      <c r="F104" s="341">
        <f t="shared" si="106"/>
        <v>13</v>
      </c>
      <c r="G104" s="341">
        <f t="shared" si="106"/>
        <v>0.8</v>
      </c>
      <c r="H104" s="341">
        <f t="shared" si="106"/>
        <v>8</v>
      </c>
      <c r="I104" s="342">
        <f t="shared" si="0"/>
        <v>0.66206896551724137</v>
      </c>
      <c r="J104" s="342">
        <f t="shared" si="1"/>
        <v>6.6206896551724137</v>
      </c>
      <c r="K104" s="343">
        <f t="shared" si="2"/>
        <v>200.02441714169882</v>
      </c>
      <c r="L104" s="380">
        <v>0</v>
      </c>
      <c r="M104" s="345">
        <f t="shared" si="3"/>
        <v>-0.51944827586206932</v>
      </c>
      <c r="N104" s="381">
        <f t="shared" si="4"/>
        <v>200.54386541756088</v>
      </c>
      <c r="O104" s="381">
        <v>125.99250000000001</v>
      </c>
      <c r="P104" s="382">
        <f t="shared" si="5"/>
        <v>-74.551365417560874</v>
      </c>
      <c r="Q104" s="383">
        <f t="shared" si="6"/>
        <v>123.18286725000002</v>
      </c>
      <c r="R104" s="384">
        <f t="shared" si="7"/>
        <v>-77.360998167560865</v>
      </c>
      <c r="S104" s="378">
        <v>347.65249999999997</v>
      </c>
      <c r="T104" s="385">
        <f t="shared" si="8"/>
        <v>204.82526458333328</v>
      </c>
      <c r="U104" s="386">
        <f t="shared" si="9"/>
        <v>4.2813991657723989</v>
      </c>
      <c r="V104" s="385">
        <f t="shared" si="10"/>
        <v>165.40888229166666</v>
      </c>
      <c r="W104" s="385">
        <f t="shared" si="11"/>
        <v>188.90888229166666</v>
      </c>
      <c r="X104" s="387">
        <f t="shared" si="12"/>
        <v>-35.134983125894223</v>
      </c>
      <c r="Y104" s="357"/>
      <c r="Z104" s="357"/>
    </row>
    <row r="105" spans="1:26" ht="15.75" customHeight="1" x14ac:dyDescent="0.4">
      <c r="A105" s="389">
        <v>44896</v>
      </c>
      <c r="B105" s="391">
        <v>281.48</v>
      </c>
      <c r="C105" s="391">
        <v>237.77800000000002</v>
      </c>
      <c r="D105" s="341">
        <f t="shared" ref="D105:H105" si="107">D104</f>
        <v>5000</v>
      </c>
      <c r="E105" s="341">
        <f t="shared" si="107"/>
        <v>28</v>
      </c>
      <c r="F105" s="341">
        <f t="shared" si="107"/>
        <v>13</v>
      </c>
      <c r="G105" s="341">
        <f t="shared" si="107"/>
        <v>0.8</v>
      </c>
      <c r="H105" s="341">
        <f t="shared" si="107"/>
        <v>8</v>
      </c>
      <c r="I105" s="342">
        <f t="shared" si="0"/>
        <v>0.66206896551724137</v>
      </c>
      <c r="J105" s="342">
        <f t="shared" si="1"/>
        <v>6.6206896551724137</v>
      </c>
      <c r="K105" s="343">
        <f t="shared" si="2"/>
        <v>182.68291024349574</v>
      </c>
      <c r="L105" s="380">
        <v>0</v>
      </c>
      <c r="M105" s="345">
        <f t="shared" si="3"/>
        <v>-0.51944827586206932</v>
      </c>
      <c r="N105" s="381">
        <f t="shared" si="4"/>
        <v>183.2023585193578</v>
      </c>
      <c r="O105" s="381">
        <v>119.03200000000001</v>
      </c>
      <c r="P105" s="382">
        <f t="shared" si="5"/>
        <v>-64.170358519357791</v>
      </c>
      <c r="Q105" s="383">
        <f t="shared" si="6"/>
        <v>116.37758640000001</v>
      </c>
      <c r="R105" s="384">
        <f t="shared" si="7"/>
        <v>-66.824772119357789</v>
      </c>
      <c r="S105" s="378">
        <v>404.06599999999997</v>
      </c>
      <c r="T105" s="385">
        <f t="shared" si="8"/>
        <v>238.06221833333331</v>
      </c>
      <c r="U105" s="386">
        <f t="shared" si="9"/>
        <v>54.859859813975504</v>
      </c>
      <c r="V105" s="385">
        <f t="shared" si="10"/>
        <v>178.54710916666664</v>
      </c>
      <c r="W105" s="385">
        <f t="shared" si="11"/>
        <v>202.04710916666664</v>
      </c>
      <c r="X105" s="387">
        <f t="shared" si="12"/>
        <v>-4.6552493526911576</v>
      </c>
      <c r="Y105" s="357"/>
      <c r="Z105" s="357"/>
    </row>
    <row r="106" spans="1:26" ht="15.75" customHeight="1" x14ac:dyDescent="0.4">
      <c r="A106" s="389">
        <v>44927</v>
      </c>
      <c r="B106" s="391">
        <v>305.20999999999998</v>
      </c>
      <c r="C106" s="391">
        <v>226.90749999999997</v>
      </c>
      <c r="D106" s="341">
        <f t="shared" ref="D106:H106" si="108">D105</f>
        <v>5000</v>
      </c>
      <c r="E106" s="341">
        <f t="shared" si="108"/>
        <v>28</v>
      </c>
      <c r="F106" s="341">
        <f t="shared" si="108"/>
        <v>13</v>
      </c>
      <c r="G106" s="341">
        <f t="shared" si="108"/>
        <v>0.8</v>
      </c>
      <c r="H106" s="341">
        <f t="shared" si="108"/>
        <v>8</v>
      </c>
      <c r="I106" s="342">
        <f t="shared" si="0"/>
        <v>0.66206896551724137</v>
      </c>
      <c r="J106" s="342">
        <f t="shared" si="1"/>
        <v>6.6206896551724137</v>
      </c>
      <c r="K106" s="343">
        <f t="shared" si="2"/>
        <v>198.08388175151813</v>
      </c>
      <c r="L106" s="380">
        <v>0</v>
      </c>
      <c r="M106" s="345">
        <f t="shared" si="3"/>
        <v>-0.51944827586206932</v>
      </c>
      <c r="N106" s="381">
        <f t="shared" si="4"/>
        <v>198.6033300273802</v>
      </c>
      <c r="O106" s="381">
        <v>110.07249999999999</v>
      </c>
      <c r="P106" s="382">
        <f t="shared" si="5"/>
        <v>-88.530830027380205</v>
      </c>
      <c r="Q106" s="383">
        <f t="shared" si="6"/>
        <v>107.61788324999999</v>
      </c>
      <c r="R106" s="384">
        <f t="shared" si="7"/>
        <v>-90.985446777380204</v>
      </c>
      <c r="S106" s="378">
        <v>357.7525</v>
      </c>
      <c r="T106" s="385">
        <f t="shared" si="8"/>
        <v>210.77584791666666</v>
      </c>
      <c r="U106" s="386">
        <f t="shared" si="9"/>
        <v>12.172517889286468</v>
      </c>
      <c r="V106" s="385">
        <f t="shared" si="10"/>
        <v>160.42417395833331</v>
      </c>
      <c r="W106" s="385">
        <f t="shared" si="11"/>
        <v>183.92417395833331</v>
      </c>
      <c r="X106" s="387">
        <f t="shared" si="12"/>
        <v>-38.179156069046883</v>
      </c>
      <c r="Y106" s="357"/>
      <c r="Z106" s="357"/>
    </row>
    <row r="107" spans="1:26" ht="15.75" customHeight="1" x14ac:dyDescent="0.4">
      <c r="A107" s="389">
        <v>44958</v>
      </c>
      <c r="B107" s="391">
        <v>277.05</v>
      </c>
      <c r="C107" s="391">
        <v>196.85250000000002</v>
      </c>
      <c r="D107" s="341">
        <f t="shared" ref="D107:H107" si="109">D106</f>
        <v>5000</v>
      </c>
      <c r="E107" s="341">
        <f t="shared" si="109"/>
        <v>28</v>
      </c>
      <c r="F107" s="341">
        <f t="shared" si="109"/>
        <v>13</v>
      </c>
      <c r="G107" s="341">
        <f t="shared" si="109"/>
        <v>0.8</v>
      </c>
      <c r="H107" s="341">
        <f t="shared" si="109"/>
        <v>8</v>
      </c>
      <c r="I107" s="342">
        <f t="shared" si="0"/>
        <v>0.66206896551724137</v>
      </c>
      <c r="J107" s="342">
        <f t="shared" si="1"/>
        <v>6.6206896551724137</v>
      </c>
      <c r="K107" s="343">
        <f t="shared" si="2"/>
        <v>179.80780262526821</v>
      </c>
      <c r="L107" s="380">
        <v>0</v>
      </c>
      <c r="M107" s="345">
        <f t="shared" si="3"/>
        <v>-0.51944827586206932</v>
      </c>
      <c r="N107" s="381">
        <f t="shared" si="4"/>
        <v>180.32725090113027</v>
      </c>
      <c r="O107" s="381">
        <v>95.257499999999993</v>
      </c>
      <c r="P107" s="382">
        <f t="shared" si="5"/>
        <v>-85.069750901130277</v>
      </c>
      <c r="Q107" s="383">
        <f t="shared" si="6"/>
        <v>93.133257749999999</v>
      </c>
      <c r="R107" s="384">
        <f t="shared" si="7"/>
        <v>-87.193993151130272</v>
      </c>
      <c r="S107" s="378">
        <v>208.61250000000001</v>
      </c>
      <c r="T107" s="385">
        <f t="shared" si="8"/>
        <v>122.90753124999999</v>
      </c>
      <c r="U107" s="386">
        <f t="shared" si="9"/>
        <v>-57.419719651130279</v>
      </c>
      <c r="V107" s="385">
        <f t="shared" si="10"/>
        <v>109.08251562499998</v>
      </c>
      <c r="W107" s="385">
        <f t="shared" si="11"/>
        <v>132.58251562499998</v>
      </c>
      <c r="X107" s="387">
        <f t="shared" si="12"/>
        <v>-71.244735276130285</v>
      </c>
      <c r="Y107" s="357"/>
      <c r="Z107" s="357"/>
    </row>
    <row r="108" spans="1:26" ht="15.75" customHeight="1" x14ac:dyDescent="0.4">
      <c r="A108" s="389">
        <v>44986</v>
      </c>
      <c r="B108" s="391">
        <v>283.08</v>
      </c>
      <c r="C108" s="391">
        <v>184.048</v>
      </c>
      <c r="D108" s="341">
        <f t="shared" ref="D108:H108" si="110">D107</f>
        <v>5000</v>
      </c>
      <c r="E108" s="341">
        <f t="shared" si="110"/>
        <v>28</v>
      </c>
      <c r="F108" s="341">
        <f t="shared" si="110"/>
        <v>13</v>
      </c>
      <c r="G108" s="341">
        <f t="shared" si="110"/>
        <v>0.8</v>
      </c>
      <c r="H108" s="341">
        <f t="shared" si="110"/>
        <v>8</v>
      </c>
      <c r="I108" s="342">
        <f t="shared" si="0"/>
        <v>0.66206896551724137</v>
      </c>
      <c r="J108" s="342">
        <f t="shared" si="1"/>
        <v>6.6206896551724137</v>
      </c>
      <c r="K108" s="343">
        <f t="shared" si="2"/>
        <v>183.72132383021446</v>
      </c>
      <c r="L108" s="380">
        <v>0</v>
      </c>
      <c r="M108" s="345">
        <f t="shared" si="3"/>
        <v>-0.51944827586206932</v>
      </c>
      <c r="N108" s="381">
        <f t="shared" si="4"/>
        <v>184.24077210607652</v>
      </c>
      <c r="O108" s="381">
        <v>95.986000000000004</v>
      </c>
      <c r="P108" s="382">
        <f t="shared" si="5"/>
        <v>-88.254772106076516</v>
      </c>
      <c r="Q108" s="383">
        <f t="shared" si="6"/>
        <v>93.845512200000002</v>
      </c>
      <c r="R108" s="384">
        <f t="shared" si="7"/>
        <v>-90.395259906076518</v>
      </c>
      <c r="S108" s="378">
        <v>177.07599999999999</v>
      </c>
      <c r="T108" s="385">
        <f t="shared" si="8"/>
        <v>104.32727666666666</v>
      </c>
      <c r="U108" s="386">
        <f t="shared" si="9"/>
        <v>-79.913495439409857</v>
      </c>
      <c r="V108" s="385">
        <f t="shared" si="10"/>
        <v>100.15663833333333</v>
      </c>
      <c r="W108" s="385">
        <f t="shared" si="11"/>
        <v>123.65663833333333</v>
      </c>
      <c r="X108" s="387">
        <f t="shared" si="12"/>
        <v>-84.084133772743186</v>
      </c>
      <c r="Y108" s="357"/>
      <c r="Z108" s="357"/>
    </row>
    <row r="109" spans="1:26" ht="15.75" customHeight="1" x14ac:dyDescent="0.4">
      <c r="A109" s="389">
        <v>45017</v>
      </c>
      <c r="B109" s="391">
        <v>265.25</v>
      </c>
      <c r="C109" s="391">
        <v>173.5025</v>
      </c>
      <c r="D109" s="341">
        <f t="shared" ref="D109:H109" si="111">D108</f>
        <v>5000</v>
      </c>
      <c r="E109" s="341">
        <f t="shared" si="111"/>
        <v>28</v>
      </c>
      <c r="F109" s="341">
        <f t="shared" si="111"/>
        <v>13</v>
      </c>
      <c r="G109" s="341">
        <f t="shared" si="111"/>
        <v>0.8</v>
      </c>
      <c r="H109" s="341">
        <f t="shared" si="111"/>
        <v>8</v>
      </c>
      <c r="I109" s="342">
        <f t="shared" si="0"/>
        <v>0.66206896551724137</v>
      </c>
      <c r="J109" s="342">
        <f t="shared" si="1"/>
        <v>6.6206896551724137</v>
      </c>
      <c r="K109" s="343">
        <f t="shared" si="2"/>
        <v>172.14950242321743</v>
      </c>
      <c r="L109" s="380">
        <v>0</v>
      </c>
      <c r="M109" s="345">
        <f t="shared" si="3"/>
        <v>-0.51944827586206932</v>
      </c>
      <c r="N109" s="381">
        <f t="shared" si="4"/>
        <v>172.66895069907949</v>
      </c>
      <c r="O109" s="381">
        <v>94.84</v>
      </c>
      <c r="P109" s="382">
        <f t="shared" si="5"/>
        <v>-77.828950699079485</v>
      </c>
      <c r="Q109" s="383">
        <f t="shared" si="6"/>
        <v>92.725068000000007</v>
      </c>
      <c r="R109" s="384">
        <f t="shared" si="7"/>
        <v>-79.943882699079481</v>
      </c>
      <c r="S109" s="378">
        <v>189.72500000000002</v>
      </c>
      <c r="T109" s="385">
        <f t="shared" si="8"/>
        <v>111.77964583333335</v>
      </c>
      <c r="U109" s="386">
        <f t="shared" si="9"/>
        <v>-60.889304865746141</v>
      </c>
      <c r="V109" s="385">
        <f t="shared" si="10"/>
        <v>103.30982291666668</v>
      </c>
      <c r="W109" s="385">
        <f t="shared" si="11"/>
        <v>126.80982291666668</v>
      </c>
      <c r="X109" s="387">
        <f t="shared" si="12"/>
        <v>-69.359127782412813</v>
      </c>
      <c r="Y109" s="357"/>
      <c r="Z109" s="357"/>
    </row>
    <row r="110" spans="1:26" ht="15.75" customHeight="1" x14ac:dyDescent="0.4">
      <c r="A110" s="389">
        <v>45047</v>
      </c>
      <c r="B110" s="391">
        <v>206.16</v>
      </c>
      <c r="C110" s="391">
        <v>157.9025</v>
      </c>
      <c r="D110" s="341">
        <f t="shared" ref="D110:H110" si="112">D109</f>
        <v>5000</v>
      </c>
      <c r="E110" s="341">
        <f t="shared" si="112"/>
        <v>28</v>
      </c>
      <c r="F110" s="341">
        <f t="shared" si="112"/>
        <v>13</v>
      </c>
      <c r="G110" s="341">
        <f t="shared" si="112"/>
        <v>0.8</v>
      </c>
      <c r="H110" s="341">
        <f t="shared" si="112"/>
        <v>8</v>
      </c>
      <c r="I110" s="342">
        <f t="shared" si="0"/>
        <v>0.66206896551724137</v>
      </c>
      <c r="J110" s="342">
        <f t="shared" si="1"/>
        <v>6.6206896551724137</v>
      </c>
      <c r="K110" s="343">
        <f t="shared" si="2"/>
        <v>133.79959064871068</v>
      </c>
      <c r="L110" s="380">
        <v>0</v>
      </c>
      <c r="M110" s="345">
        <f t="shared" si="3"/>
        <v>-0.51944827586206932</v>
      </c>
      <c r="N110" s="381">
        <f t="shared" si="4"/>
        <v>134.31903892457274</v>
      </c>
      <c r="O110" s="381">
        <v>92.172499999999999</v>
      </c>
      <c r="P110" s="382">
        <f t="shared" si="5"/>
        <v>-42.146538924572738</v>
      </c>
      <c r="Q110" s="383">
        <f t="shared" si="6"/>
        <v>90.117053249999998</v>
      </c>
      <c r="R110" s="384">
        <f t="shared" si="7"/>
        <v>-44.20198567457274</v>
      </c>
      <c r="S110" s="378">
        <v>163.30000000000001</v>
      </c>
      <c r="T110" s="385">
        <f t="shared" si="8"/>
        <v>96.210916666666662</v>
      </c>
      <c r="U110" s="386">
        <f t="shared" si="9"/>
        <v>-38.108122257906075</v>
      </c>
      <c r="V110" s="385">
        <f t="shared" si="10"/>
        <v>94.191708333333338</v>
      </c>
      <c r="W110" s="385">
        <f t="shared" si="11"/>
        <v>117.69170833333334</v>
      </c>
      <c r="X110" s="387">
        <f t="shared" si="12"/>
        <v>-40.127330591239399</v>
      </c>
      <c r="Y110" s="357"/>
      <c r="Z110" s="357"/>
    </row>
    <row r="111" spans="1:26" ht="15.75" customHeight="1" x14ac:dyDescent="0.4">
      <c r="A111" s="389">
        <v>45078</v>
      </c>
      <c r="B111" s="391">
        <v>191.26</v>
      </c>
      <c r="C111" s="391">
        <v>128.93199999999999</v>
      </c>
      <c r="D111" s="341">
        <f t="shared" ref="D111:H111" si="113">D110</f>
        <v>5000</v>
      </c>
      <c r="E111" s="341">
        <f t="shared" si="113"/>
        <v>28</v>
      </c>
      <c r="F111" s="341">
        <f t="shared" si="113"/>
        <v>13</v>
      </c>
      <c r="G111" s="341">
        <f t="shared" si="113"/>
        <v>0.8</v>
      </c>
      <c r="H111" s="341">
        <f t="shared" si="113"/>
        <v>8</v>
      </c>
      <c r="I111" s="342">
        <f t="shared" si="0"/>
        <v>0.66206896551724137</v>
      </c>
      <c r="J111" s="342">
        <f t="shared" si="1"/>
        <v>6.6206896551724137</v>
      </c>
      <c r="K111" s="343">
        <f t="shared" si="2"/>
        <v>124.12936412239233</v>
      </c>
      <c r="L111" s="380">
        <v>0</v>
      </c>
      <c r="M111" s="345">
        <f t="shared" si="3"/>
        <v>-0.51944827586206932</v>
      </c>
      <c r="N111" s="381">
        <f t="shared" si="4"/>
        <v>124.64881239825441</v>
      </c>
      <c r="O111" s="381">
        <v>72.634</v>
      </c>
      <c r="P111" s="382">
        <f t="shared" si="5"/>
        <v>-52.014812398254406</v>
      </c>
      <c r="Q111" s="383">
        <f t="shared" si="6"/>
        <v>71.0142618</v>
      </c>
      <c r="R111" s="384">
        <f t="shared" si="7"/>
        <v>-53.634550598254407</v>
      </c>
      <c r="S111" s="378">
        <v>128.60599999999999</v>
      </c>
      <c r="T111" s="385">
        <f t="shared" si="8"/>
        <v>75.770368333333323</v>
      </c>
      <c r="U111" s="386">
        <f t="shared" si="9"/>
        <v>-48.878444064921084</v>
      </c>
      <c r="V111" s="385">
        <f t="shared" si="10"/>
        <v>74.202184166666655</v>
      </c>
      <c r="W111" s="385">
        <f t="shared" si="11"/>
        <v>97.702184166666655</v>
      </c>
      <c r="X111" s="387">
        <f t="shared" si="12"/>
        <v>-50.446628231587752</v>
      </c>
      <c r="Y111" s="357"/>
      <c r="Z111" s="357"/>
    </row>
    <row r="112" spans="1:26" ht="15.75" customHeight="1" x14ac:dyDescent="0.4">
      <c r="A112" s="389">
        <v>45108</v>
      </c>
      <c r="B112" s="391">
        <v>191.6</v>
      </c>
      <c r="C112" s="391">
        <v>119.6225</v>
      </c>
      <c r="D112" s="341">
        <f t="shared" ref="D112:H112" si="114">D111</f>
        <v>5000</v>
      </c>
      <c r="E112" s="341">
        <f t="shared" si="114"/>
        <v>28</v>
      </c>
      <c r="F112" s="341">
        <f t="shared" si="114"/>
        <v>13</v>
      </c>
      <c r="G112" s="341">
        <f t="shared" si="114"/>
        <v>0.8</v>
      </c>
      <c r="H112" s="341">
        <f t="shared" si="114"/>
        <v>8</v>
      </c>
      <c r="I112" s="342">
        <f t="shared" si="0"/>
        <v>0.66206896551724137</v>
      </c>
      <c r="J112" s="342">
        <f t="shared" si="1"/>
        <v>6.6206896551724137</v>
      </c>
      <c r="K112" s="343">
        <f t="shared" si="2"/>
        <v>124.35002700957006</v>
      </c>
      <c r="L112" s="380">
        <v>0</v>
      </c>
      <c r="M112" s="345">
        <f t="shared" si="3"/>
        <v>-0.51944827586206932</v>
      </c>
      <c r="N112" s="381">
        <f t="shared" si="4"/>
        <v>124.86947528543213</v>
      </c>
      <c r="O112" s="381">
        <v>71.819999999999993</v>
      </c>
      <c r="P112" s="382">
        <f t="shared" si="5"/>
        <v>-53.049475285432138</v>
      </c>
      <c r="Q112" s="383">
        <f t="shared" si="6"/>
        <v>70.218413999999996</v>
      </c>
      <c r="R112" s="384">
        <f t="shared" si="7"/>
        <v>-54.651061285432135</v>
      </c>
      <c r="S112" s="378">
        <v>134.70500000000001</v>
      </c>
      <c r="T112" s="385">
        <f t="shared" si="8"/>
        <v>79.363695833333352</v>
      </c>
      <c r="U112" s="386">
        <f t="shared" si="9"/>
        <v>-45.505779452098778</v>
      </c>
      <c r="V112" s="385">
        <f t="shared" si="10"/>
        <v>75.591847916666666</v>
      </c>
      <c r="W112" s="385">
        <f t="shared" si="11"/>
        <v>99.091847916666666</v>
      </c>
      <c r="X112" s="387">
        <f t="shared" si="12"/>
        <v>-49.277627368765465</v>
      </c>
      <c r="Y112" s="357"/>
      <c r="Z112" s="357"/>
    </row>
    <row r="113" spans="1:26" ht="15.75" customHeight="1" x14ac:dyDescent="0.4">
      <c r="A113" s="392">
        <v>45139</v>
      </c>
      <c r="B113" s="391">
        <v>57.38</v>
      </c>
      <c r="C113" s="393">
        <v>114.33599999999998</v>
      </c>
      <c r="D113" s="394">
        <f t="shared" ref="D113:H113" si="115">D112</f>
        <v>5000</v>
      </c>
      <c r="E113" s="394">
        <f t="shared" si="115"/>
        <v>28</v>
      </c>
      <c r="F113" s="394">
        <f t="shared" si="115"/>
        <v>13</v>
      </c>
      <c r="G113" s="394">
        <f t="shared" si="115"/>
        <v>0.8</v>
      </c>
      <c r="H113" s="394">
        <f t="shared" si="115"/>
        <v>8</v>
      </c>
      <c r="I113" s="395">
        <f t="shared" si="0"/>
        <v>0.66206896551724137</v>
      </c>
      <c r="J113" s="395">
        <f t="shared" si="1"/>
        <v>6.6206896551724137</v>
      </c>
      <c r="K113" s="396">
        <f t="shared" ref="K113:K132" si="116">B113*(D113/$B$4)*((100-E113)/(100-$C$4))</f>
        <v>78.391845377921655</v>
      </c>
      <c r="L113" s="397">
        <v>0</v>
      </c>
      <c r="M113" s="398">
        <f t="shared" ref="M113:M132" si="117">((I113-$D$4)*4+(J113-$E$4)*0.4)</f>
        <v>2.8165517241379314</v>
      </c>
      <c r="N113" s="381">
        <f t="shared" si="4"/>
        <v>75.575293653783717</v>
      </c>
      <c r="O113" s="381">
        <v>70.715999999999994</v>
      </c>
      <c r="P113" s="382">
        <f t="shared" si="5"/>
        <v>-4.8592936537837232</v>
      </c>
      <c r="Q113" s="383">
        <f t="shared" si="6"/>
        <v>69.1390332</v>
      </c>
      <c r="R113" s="384">
        <f t="shared" si="7"/>
        <v>-6.4362604537837171</v>
      </c>
      <c r="S113" s="378">
        <v>150.76600000000002</v>
      </c>
      <c r="T113" s="385">
        <f t="shared" si="8"/>
        <v>88.82630166666668</v>
      </c>
      <c r="U113" s="386">
        <f t="shared" si="9"/>
        <v>13.251008012882963</v>
      </c>
      <c r="V113" s="385">
        <f t="shared" si="10"/>
        <v>79.771150833333337</v>
      </c>
      <c r="W113" s="385">
        <f t="shared" si="11"/>
        <v>103.27115083333334</v>
      </c>
      <c r="X113" s="387">
        <f t="shared" si="12"/>
        <v>4.1958571795496198</v>
      </c>
      <c r="Y113" s="357"/>
      <c r="Z113" s="357"/>
    </row>
    <row r="114" spans="1:26" ht="15.75" customHeight="1" x14ac:dyDescent="0.4">
      <c r="A114" s="392">
        <v>45170</v>
      </c>
      <c r="B114" s="391">
        <v>53.83</v>
      </c>
      <c r="C114" s="393">
        <v>117.2675</v>
      </c>
      <c r="D114" s="394">
        <f t="shared" ref="D114:H114" si="118">D113</f>
        <v>5000</v>
      </c>
      <c r="E114" s="394">
        <f t="shared" si="118"/>
        <v>28</v>
      </c>
      <c r="F114" s="394">
        <f t="shared" si="118"/>
        <v>13</v>
      </c>
      <c r="G114" s="394">
        <f t="shared" si="118"/>
        <v>0.8</v>
      </c>
      <c r="H114" s="394">
        <f t="shared" si="118"/>
        <v>8</v>
      </c>
      <c r="I114" s="395">
        <f t="shared" si="0"/>
        <v>0.66206896551724137</v>
      </c>
      <c r="J114" s="395">
        <f t="shared" si="1"/>
        <v>6.6206896551724137</v>
      </c>
      <c r="K114" s="396">
        <f t="shared" si="116"/>
        <v>73.541879342863737</v>
      </c>
      <c r="L114" s="397">
        <v>0</v>
      </c>
      <c r="M114" s="398">
        <f t="shared" si="117"/>
        <v>2.8165517241379314</v>
      </c>
      <c r="N114" s="381">
        <f t="shared" si="4"/>
        <v>70.7253276187258</v>
      </c>
      <c r="O114" s="381">
        <v>74.070000000000007</v>
      </c>
      <c r="P114" s="382">
        <f t="shared" si="5"/>
        <v>3.3446723812742079</v>
      </c>
      <c r="Q114" s="383">
        <f t="shared" si="6"/>
        <v>72.418239000000014</v>
      </c>
      <c r="R114" s="384">
        <f t="shared" si="7"/>
        <v>1.6929113812742145</v>
      </c>
      <c r="S114" s="378">
        <v>160.11500000000001</v>
      </c>
      <c r="T114" s="385">
        <f t="shared" si="8"/>
        <v>94.33442083333334</v>
      </c>
      <c r="U114" s="386">
        <f t="shared" si="9"/>
        <v>23.60909321460754</v>
      </c>
      <c r="V114" s="385">
        <f t="shared" si="10"/>
        <v>84.202210416666674</v>
      </c>
      <c r="W114" s="385">
        <f t="shared" si="11"/>
        <v>107.70221041666667</v>
      </c>
      <c r="X114" s="387">
        <f t="shared" si="12"/>
        <v>13.476882797940874</v>
      </c>
      <c r="Y114" s="357"/>
      <c r="Z114" s="357"/>
    </row>
    <row r="115" spans="1:26" ht="15.75" customHeight="1" x14ac:dyDescent="0.4">
      <c r="A115" s="392">
        <v>45200</v>
      </c>
      <c r="B115" s="391">
        <v>50.41</v>
      </c>
      <c r="C115" s="393">
        <v>121.7025</v>
      </c>
      <c r="D115" s="394">
        <f t="shared" ref="D115:H115" si="119">D114</f>
        <v>5000</v>
      </c>
      <c r="E115" s="394">
        <f t="shared" si="119"/>
        <v>28</v>
      </c>
      <c r="F115" s="394">
        <f t="shared" si="119"/>
        <v>13</v>
      </c>
      <c r="G115" s="394">
        <f t="shared" si="119"/>
        <v>0.8</v>
      </c>
      <c r="H115" s="394">
        <f t="shared" si="119"/>
        <v>8</v>
      </c>
      <c r="I115" s="395">
        <f t="shared" si="0"/>
        <v>0.66206896551724137</v>
      </c>
      <c r="J115" s="395">
        <f t="shared" si="1"/>
        <v>6.6206896551724137</v>
      </c>
      <c r="K115" s="396">
        <f t="shared" si="116"/>
        <v>68.869517697822047</v>
      </c>
      <c r="L115" s="397">
        <v>0</v>
      </c>
      <c r="M115" s="398">
        <f t="shared" si="117"/>
        <v>2.8165517241379314</v>
      </c>
      <c r="N115" s="381">
        <f t="shared" si="4"/>
        <v>66.05296597368411</v>
      </c>
      <c r="O115" s="381">
        <v>80.905000000000001</v>
      </c>
      <c r="P115" s="382">
        <f t="shared" si="5"/>
        <v>14.852034026315891</v>
      </c>
      <c r="Q115" s="383">
        <f t="shared" si="6"/>
        <v>79.100818500000003</v>
      </c>
      <c r="R115" s="384">
        <f t="shared" si="7"/>
        <v>13.047852526315893</v>
      </c>
      <c r="S115" s="378">
        <v>135.41750000000002</v>
      </c>
      <c r="T115" s="385">
        <f t="shared" si="8"/>
        <v>79.783477083333352</v>
      </c>
      <c r="U115" s="386">
        <f t="shared" si="9"/>
        <v>13.730511109649242</v>
      </c>
      <c r="V115" s="385">
        <f t="shared" si="10"/>
        <v>80.34423854166667</v>
      </c>
      <c r="W115" s="385">
        <f t="shared" si="11"/>
        <v>103.84423854166667</v>
      </c>
      <c r="X115" s="387">
        <f t="shared" si="12"/>
        <v>14.29127256798256</v>
      </c>
      <c r="Y115" s="357"/>
      <c r="Z115" s="357"/>
    </row>
    <row r="116" spans="1:26" ht="15.75" customHeight="1" x14ac:dyDescent="0.4">
      <c r="A116" s="392">
        <v>45231</v>
      </c>
      <c r="B116" s="391">
        <v>52.86</v>
      </c>
      <c r="C116" s="393">
        <v>118.74499999999999</v>
      </c>
      <c r="D116" s="394">
        <f t="shared" ref="D116:H116" si="120">D115</f>
        <v>5000</v>
      </c>
      <c r="E116" s="394">
        <f t="shared" si="120"/>
        <v>28</v>
      </c>
      <c r="F116" s="394">
        <f t="shared" si="120"/>
        <v>13</v>
      </c>
      <c r="G116" s="394">
        <f t="shared" si="120"/>
        <v>0.8</v>
      </c>
      <c r="H116" s="394">
        <f t="shared" si="120"/>
        <v>8</v>
      </c>
      <c r="I116" s="395">
        <f t="shared" si="0"/>
        <v>0.66206896551724137</v>
      </c>
      <c r="J116" s="395">
        <f t="shared" si="1"/>
        <v>6.6206896551724137</v>
      </c>
      <c r="K116" s="396">
        <f t="shared" si="116"/>
        <v>72.216677355819769</v>
      </c>
      <c r="L116" s="397">
        <v>0</v>
      </c>
      <c r="M116" s="398">
        <f t="shared" si="117"/>
        <v>2.8165517241379314</v>
      </c>
      <c r="N116" s="381">
        <f t="shared" si="4"/>
        <v>69.400125631681831</v>
      </c>
      <c r="O116" s="381">
        <v>79.704999999999998</v>
      </c>
      <c r="P116" s="382">
        <f t="shared" si="5"/>
        <v>10.304874368318167</v>
      </c>
      <c r="Q116" s="383">
        <f t="shared" si="6"/>
        <v>77.927578499999996</v>
      </c>
      <c r="R116" s="384">
        <f t="shared" si="7"/>
        <v>8.5274528683181643</v>
      </c>
      <c r="S116" s="378">
        <v>122.155</v>
      </c>
      <c r="T116" s="385">
        <f t="shared" si="8"/>
        <v>71.969654166666658</v>
      </c>
      <c r="U116" s="386">
        <f t="shared" si="9"/>
        <v>2.5695285349848263</v>
      </c>
      <c r="V116" s="385">
        <f t="shared" si="10"/>
        <v>75.837327083333321</v>
      </c>
      <c r="W116" s="385">
        <f t="shared" si="11"/>
        <v>99.337327083333321</v>
      </c>
      <c r="X116" s="387">
        <f t="shared" si="12"/>
        <v>6.4372014516514895</v>
      </c>
      <c r="Y116" s="357"/>
      <c r="Z116" s="357"/>
    </row>
    <row r="117" spans="1:26" ht="15.75" customHeight="1" x14ac:dyDescent="0.4">
      <c r="A117" s="392">
        <v>45261</v>
      </c>
      <c r="B117" s="391">
        <v>57.7</v>
      </c>
      <c r="C117" s="393">
        <v>118.47999999999999</v>
      </c>
      <c r="D117" s="394">
        <f t="shared" ref="D117:H117" si="121">D116</f>
        <v>5000</v>
      </c>
      <c r="E117" s="394">
        <f t="shared" si="121"/>
        <v>28</v>
      </c>
      <c r="F117" s="394">
        <f t="shared" si="121"/>
        <v>13</v>
      </c>
      <c r="G117" s="394">
        <f t="shared" si="121"/>
        <v>0.8</v>
      </c>
      <c r="H117" s="394">
        <f t="shared" si="121"/>
        <v>8</v>
      </c>
      <c r="I117" s="395">
        <f t="shared" si="0"/>
        <v>0.66206896551724137</v>
      </c>
      <c r="J117" s="395">
        <f t="shared" si="1"/>
        <v>6.6206896551724137</v>
      </c>
      <c r="K117" s="396">
        <f t="shared" si="116"/>
        <v>78.829025414884612</v>
      </c>
      <c r="L117" s="397">
        <v>0</v>
      </c>
      <c r="M117" s="398">
        <f t="shared" si="117"/>
        <v>2.8165517241379314</v>
      </c>
      <c r="N117" s="381">
        <f t="shared" si="4"/>
        <v>76.012473690746674</v>
      </c>
      <c r="O117" s="381">
        <v>79.644000000000005</v>
      </c>
      <c r="P117" s="382">
        <f t="shared" si="5"/>
        <v>3.6315263092533314</v>
      </c>
      <c r="Q117" s="383">
        <f t="shared" si="6"/>
        <v>77.867938800000005</v>
      </c>
      <c r="R117" s="384">
        <f t="shared" si="7"/>
        <v>1.8554651092533305</v>
      </c>
      <c r="S117" s="378">
        <v>146.83800000000002</v>
      </c>
      <c r="T117" s="385">
        <f t="shared" si="8"/>
        <v>86.512055000000018</v>
      </c>
      <c r="U117" s="386">
        <f t="shared" si="9"/>
        <v>10.499581309253344</v>
      </c>
      <c r="V117" s="385">
        <f t="shared" si="10"/>
        <v>83.078027500000019</v>
      </c>
      <c r="W117" s="385">
        <f t="shared" si="11"/>
        <v>106.57802750000002</v>
      </c>
      <c r="X117" s="387">
        <f t="shared" si="12"/>
        <v>7.0655538092533448</v>
      </c>
      <c r="Y117" s="357"/>
      <c r="Z117" s="357"/>
    </row>
    <row r="118" spans="1:26" ht="15.75" customHeight="1" x14ac:dyDescent="0.4">
      <c r="A118" s="392">
        <v>45292</v>
      </c>
      <c r="B118" s="391">
        <v>58.56</v>
      </c>
      <c r="C118" s="393">
        <v>119.91249999999999</v>
      </c>
      <c r="D118" s="394">
        <f t="shared" ref="D118:H118" si="122">D117</f>
        <v>5000</v>
      </c>
      <c r="E118" s="394">
        <f t="shared" si="122"/>
        <v>28</v>
      </c>
      <c r="F118" s="394">
        <f t="shared" si="122"/>
        <v>13</v>
      </c>
      <c r="G118" s="394">
        <f t="shared" si="122"/>
        <v>0.8</v>
      </c>
      <c r="H118" s="394">
        <f t="shared" si="122"/>
        <v>8</v>
      </c>
      <c r="I118" s="395">
        <f t="shared" si="0"/>
        <v>0.66206896551724137</v>
      </c>
      <c r="J118" s="395">
        <f t="shared" si="1"/>
        <v>6.6206896551724137</v>
      </c>
      <c r="K118" s="396">
        <f t="shared" si="116"/>
        <v>80.003946764222576</v>
      </c>
      <c r="L118" s="397">
        <v>0</v>
      </c>
      <c r="M118" s="398">
        <f t="shared" si="117"/>
        <v>2.8165517241379314</v>
      </c>
      <c r="N118" s="381">
        <f t="shared" si="4"/>
        <v>77.187395040084638</v>
      </c>
      <c r="O118" s="381">
        <v>79.394999999999996</v>
      </c>
      <c r="P118" s="382">
        <f t="shared" si="5"/>
        <v>2.2076049599153578</v>
      </c>
      <c r="Q118" s="383">
        <f t="shared" si="6"/>
        <v>77.624491499999991</v>
      </c>
      <c r="R118" s="384">
        <f t="shared" si="7"/>
        <v>0.4370964599153524</v>
      </c>
      <c r="S118" s="378">
        <v>128.22749999999999</v>
      </c>
      <c r="T118" s="385">
        <f t="shared" si="8"/>
        <v>75.547368750000004</v>
      </c>
      <c r="U118" s="386">
        <f t="shared" si="9"/>
        <v>-1.6400262900846343</v>
      </c>
      <c r="V118" s="385">
        <f t="shared" si="10"/>
        <v>77.471184375000007</v>
      </c>
      <c r="W118" s="385">
        <f t="shared" si="11"/>
        <v>100.97118437500001</v>
      </c>
      <c r="X118" s="387">
        <f t="shared" si="12"/>
        <v>0.28378933491536884</v>
      </c>
      <c r="Y118" s="357"/>
      <c r="Z118" s="357"/>
    </row>
    <row r="119" spans="1:26" ht="15.75" customHeight="1" x14ac:dyDescent="0.4">
      <c r="A119" s="392">
        <v>45323</v>
      </c>
      <c r="B119" s="391">
        <v>57.86</v>
      </c>
      <c r="C119" s="393">
        <v>118.215</v>
      </c>
      <c r="D119" s="394">
        <f t="shared" ref="D119:H119" si="123">D118</f>
        <v>5000</v>
      </c>
      <c r="E119" s="394">
        <f t="shared" si="123"/>
        <v>28</v>
      </c>
      <c r="F119" s="394">
        <f t="shared" si="123"/>
        <v>13</v>
      </c>
      <c r="G119" s="394">
        <f t="shared" si="123"/>
        <v>0.8</v>
      </c>
      <c r="H119" s="394">
        <f t="shared" si="123"/>
        <v>8</v>
      </c>
      <c r="I119" s="395">
        <f t="shared" si="0"/>
        <v>0.66206896551724137</v>
      </c>
      <c r="J119" s="395">
        <f t="shared" si="1"/>
        <v>6.6206896551724137</v>
      </c>
      <c r="K119" s="396">
        <f t="shared" si="116"/>
        <v>79.04761543336609</v>
      </c>
      <c r="L119" s="397">
        <v>0</v>
      </c>
      <c r="M119" s="398">
        <f t="shared" si="117"/>
        <v>2.8165517241379314</v>
      </c>
      <c r="N119" s="381">
        <f t="shared" si="4"/>
        <v>76.231063709228152</v>
      </c>
      <c r="O119" s="381">
        <v>78.945000000000007</v>
      </c>
      <c r="P119" s="382">
        <f t="shared" si="5"/>
        <v>2.7139362907718549</v>
      </c>
      <c r="Q119" s="383">
        <f t="shared" si="6"/>
        <v>77.184526500000004</v>
      </c>
      <c r="R119" s="384">
        <f t="shared" si="7"/>
        <v>0.95346279077185159</v>
      </c>
      <c r="S119" s="378">
        <v>119.8425</v>
      </c>
      <c r="T119" s="385">
        <f t="shared" si="8"/>
        <v>70.607206250000004</v>
      </c>
      <c r="U119" s="386">
        <f t="shared" si="9"/>
        <v>-5.6238574592281481</v>
      </c>
      <c r="V119" s="385">
        <f t="shared" si="10"/>
        <v>74.776103125000006</v>
      </c>
      <c r="W119" s="385">
        <f t="shared" si="11"/>
        <v>98.276103125000006</v>
      </c>
      <c r="X119" s="387">
        <f t="shared" si="12"/>
        <v>-1.4549605842281466</v>
      </c>
      <c r="Y119" s="357"/>
      <c r="Z119" s="357"/>
    </row>
    <row r="120" spans="1:26" ht="15.75" customHeight="1" x14ac:dyDescent="0.4">
      <c r="A120" s="392">
        <v>45352</v>
      </c>
      <c r="B120" s="391">
        <v>56.83</v>
      </c>
      <c r="C120" s="393">
        <v>121.68600000000001</v>
      </c>
      <c r="D120" s="394">
        <f t="shared" ref="D120:H120" si="124">D119</f>
        <v>5000</v>
      </c>
      <c r="E120" s="394">
        <f t="shared" si="124"/>
        <v>28</v>
      </c>
      <c r="F120" s="394">
        <f t="shared" si="124"/>
        <v>13</v>
      </c>
      <c r="G120" s="394">
        <f t="shared" si="124"/>
        <v>0.8</v>
      </c>
      <c r="H120" s="394">
        <f t="shared" si="124"/>
        <v>8</v>
      </c>
      <c r="I120" s="395">
        <f t="shared" si="0"/>
        <v>0.66206896551724137</v>
      </c>
      <c r="J120" s="395">
        <f t="shared" si="1"/>
        <v>6.6206896551724137</v>
      </c>
      <c r="K120" s="396">
        <f t="shared" si="116"/>
        <v>77.640442189391536</v>
      </c>
      <c r="L120" s="397">
        <v>0</v>
      </c>
      <c r="M120" s="398">
        <f t="shared" si="117"/>
        <v>2.8165517241379314</v>
      </c>
      <c r="N120" s="381">
        <f t="shared" si="4"/>
        <v>74.823890465253598</v>
      </c>
      <c r="O120" s="381">
        <v>78.221999999999994</v>
      </c>
      <c r="P120" s="382">
        <f t="shared" si="5"/>
        <v>3.3981095347463963</v>
      </c>
      <c r="Q120" s="383">
        <f t="shared" si="6"/>
        <v>76.47764939999999</v>
      </c>
      <c r="R120" s="384">
        <f t="shared" si="7"/>
        <v>1.6537589347463921</v>
      </c>
      <c r="S120" s="378">
        <v>129.20999999999998</v>
      </c>
      <c r="T120" s="385">
        <f t="shared" si="8"/>
        <v>76.126224999999991</v>
      </c>
      <c r="U120" s="386">
        <f t="shared" si="9"/>
        <v>1.302334534746393</v>
      </c>
      <c r="V120" s="385">
        <f t="shared" si="10"/>
        <v>77.174112499999993</v>
      </c>
      <c r="W120" s="385">
        <f t="shared" si="11"/>
        <v>100.67411249999999</v>
      </c>
      <c r="X120" s="387">
        <f t="shared" si="12"/>
        <v>2.3502220347463947</v>
      </c>
      <c r="Y120" s="357"/>
      <c r="Z120" s="357"/>
    </row>
    <row r="121" spans="1:26" ht="15.75" customHeight="1" x14ac:dyDescent="0.4">
      <c r="A121" s="392">
        <v>45383</v>
      </c>
      <c r="B121" s="391">
        <v>57.17</v>
      </c>
      <c r="C121" s="393">
        <v>119.4975</v>
      </c>
      <c r="D121" s="394">
        <f t="shared" ref="D121:H121" si="125">D120</f>
        <v>5000</v>
      </c>
      <c r="E121" s="394">
        <f t="shared" si="125"/>
        <v>28</v>
      </c>
      <c r="F121" s="394">
        <f t="shared" si="125"/>
        <v>13</v>
      </c>
      <c r="G121" s="394">
        <f t="shared" si="125"/>
        <v>0.8</v>
      </c>
      <c r="H121" s="394">
        <f t="shared" si="125"/>
        <v>8</v>
      </c>
      <c r="I121" s="395">
        <f t="shared" si="0"/>
        <v>0.66206896551724137</v>
      </c>
      <c r="J121" s="395">
        <f t="shared" si="1"/>
        <v>6.6206896551724137</v>
      </c>
      <c r="K121" s="396">
        <f t="shared" si="116"/>
        <v>78.104945978664688</v>
      </c>
      <c r="L121" s="397">
        <v>0</v>
      </c>
      <c r="M121" s="398">
        <f t="shared" si="117"/>
        <v>2.8165517241379314</v>
      </c>
      <c r="N121" s="381">
        <f t="shared" si="4"/>
        <v>75.28839425452675</v>
      </c>
      <c r="O121" s="381">
        <v>72.502499999999998</v>
      </c>
      <c r="P121" s="382">
        <f t="shared" si="5"/>
        <v>-2.7858942545267524</v>
      </c>
      <c r="Q121" s="383">
        <f t="shared" si="6"/>
        <v>70.88569425</v>
      </c>
      <c r="R121" s="384">
        <f t="shared" si="7"/>
        <v>-4.4027000045267499</v>
      </c>
      <c r="S121" s="378">
        <v>129.94999999999999</v>
      </c>
      <c r="T121" s="385">
        <f t="shared" si="8"/>
        <v>76.562208333333331</v>
      </c>
      <c r="U121" s="386">
        <f t="shared" si="9"/>
        <v>1.2738140788065806</v>
      </c>
      <c r="V121" s="385">
        <f t="shared" si="10"/>
        <v>74.532354166666664</v>
      </c>
      <c r="W121" s="385">
        <f t="shared" si="11"/>
        <v>98.032354166666664</v>
      </c>
      <c r="X121" s="387">
        <f t="shared" si="12"/>
        <v>-0.75604008786008592</v>
      </c>
      <c r="Y121" s="357"/>
      <c r="Z121" s="357"/>
    </row>
    <row r="122" spans="1:26" ht="15.75" customHeight="1" x14ac:dyDescent="0.4">
      <c r="A122" s="392">
        <v>45413</v>
      </c>
      <c r="B122" s="391">
        <v>56.52</v>
      </c>
      <c r="C122" s="393">
        <v>125.37</v>
      </c>
      <c r="D122" s="394">
        <f t="shared" ref="D122:H122" si="126">D121</f>
        <v>5000</v>
      </c>
      <c r="E122" s="394">
        <f t="shared" si="126"/>
        <v>28</v>
      </c>
      <c r="F122" s="394">
        <f t="shared" si="126"/>
        <v>13</v>
      </c>
      <c r="G122" s="394">
        <f t="shared" si="126"/>
        <v>0.8</v>
      </c>
      <c r="H122" s="394">
        <f t="shared" si="126"/>
        <v>8</v>
      </c>
      <c r="I122" s="395">
        <f t="shared" si="0"/>
        <v>0.66206896551724137</v>
      </c>
      <c r="J122" s="395">
        <f t="shared" si="1"/>
        <v>6.6206896551724137</v>
      </c>
      <c r="K122" s="396">
        <f t="shared" si="116"/>
        <v>77.216924028583662</v>
      </c>
      <c r="L122" s="397">
        <v>0</v>
      </c>
      <c r="M122" s="398">
        <f t="shared" si="117"/>
        <v>2.8165517241379314</v>
      </c>
      <c r="N122" s="381">
        <f t="shared" si="4"/>
        <v>74.400372304445725</v>
      </c>
      <c r="O122" s="381">
        <v>73.562000000000012</v>
      </c>
      <c r="P122" s="382">
        <f t="shared" si="5"/>
        <v>-0.83837230444571276</v>
      </c>
      <c r="Q122" s="383">
        <f t="shared" si="6"/>
        <v>71.921567400000015</v>
      </c>
      <c r="R122" s="384">
        <f t="shared" si="7"/>
        <v>-2.4788049044457097</v>
      </c>
      <c r="S122" s="378">
        <v>143.54749999999999</v>
      </c>
      <c r="T122" s="385">
        <f t="shared" si="8"/>
        <v>84.57340208333332</v>
      </c>
      <c r="U122" s="386">
        <f t="shared" si="9"/>
        <v>10.173029778887596</v>
      </c>
      <c r="V122" s="385">
        <f t="shared" si="10"/>
        <v>79.067701041666666</v>
      </c>
      <c r="W122" s="385">
        <f t="shared" si="11"/>
        <v>102.56770104166667</v>
      </c>
      <c r="X122" s="387">
        <f t="shared" si="12"/>
        <v>4.6673287372209415</v>
      </c>
      <c r="Y122" s="357"/>
      <c r="Z122" s="357"/>
    </row>
    <row r="123" spans="1:26" ht="15.75" customHeight="1" x14ac:dyDescent="0.4">
      <c r="A123" s="392">
        <v>45444</v>
      </c>
      <c r="B123" s="391">
        <v>54.79</v>
      </c>
      <c r="C123" s="393">
        <v>126.1725</v>
      </c>
      <c r="D123" s="394">
        <f t="shared" ref="D123:H123" si="127">D122</f>
        <v>5000</v>
      </c>
      <c r="E123" s="394">
        <f t="shared" si="127"/>
        <v>28</v>
      </c>
      <c r="F123" s="394">
        <f t="shared" si="127"/>
        <v>13</v>
      </c>
      <c r="G123" s="394">
        <f t="shared" si="127"/>
        <v>0.8</v>
      </c>
      <c r="H123" s="394">
        <f t="shared" si="127"/>
        <v>8</v>
      </c>
      <c r="I123" s="395">
        <f t="shared" si="0"/>
        <v>0.66206896551724137</v>
      </c>
      <c r="J123" s="395">
        <f t="shared" si="1"/>
        <v>6.6206896551724137</v>
      </c>
      <c r="K123" s="396">
        <f t="shared" si="116"/>
        <v>74.853419453752636</v>
      </c>
      <c r="L123" s="397">
        <v>0</v>
      </c>
      <c r="M123" s="398">
        <f t="shared" si="117"/>
        <v>2.8165517241379314</v>
      </c>
      <c r="N123" s="381">
        <f t="shared" si="4"/>
        <v>72.036867729614698</v>
      </c>
      <c r="O123" s="381">
        <v>72.732500000000002</v>
      </c>
      <c r="P123" s="382">
        <f t="shared" si="5"/>
        <v>0.69563227038530329</v>
      </c>
      <c r="Q123" s="383">
        <f t="shared" si="6"/>
        <v>71.110565250000008</v>
      </c>
      <c r="R123" s="384">
        <f t="shared" si="7"/>
        <v>-0.92630247961469081</v>
      </c>
      <c r="S123" s="378">
        <v>134.02500000000001</v>
      </c>
      <c r="T123" s="385">
        <f t="shared" si="8"/>
        <v>78.963062499999992</v>
      </c>
      <c r="U123" s="386">
        <f t="shared" si="9"/>
        <v>6.926194770385294</v>
      </c>
      <c r="V123" s="385">
        <f t="shared" si="10"/>
        <v>75.847781249999997</v>
      </c>
      <c r="W123" s="385">
        <f t="shared" si="11"/>
        <v>99.347781249999997</v>
      </c>
      <c r="X123" s="387">
        <f t="shared" si="12"/>
        <v>3.8109135203852986</v>
      </c>
      <c r="Y123" s="357"/>
      <c r="Z123" s="357"/>
    </row>
    <row r="124" spans="1:26" ht="15.75" customHeight="1" x14ac:dyDescent="0.4">
      <c r="A124" s="392">
        <v>45474</v>
      </c>
      <c r="B124" s="391">
        <v>56.09</v>
      </c>
      <c r="C124" s="393">
        <v>123.5675</v>
      </c>
      <c r="D124" s="394">
        <f t="shared" ref="D124:H124" si="128">D123</f>
        <v>5000</v>
      </c>
      <c r="E124" s="394">
        <f t="shared" si="128"/>
        <v>28</v>
      </c>
      <c r="F124" s="394">
        <f t="shared" si="128"/>
        <v>13</v>
      </c>
      <c r="G124" s="394">
        <f t="shared" si="128"/>
        <v>0.8</v>
      </c>
      <c r="H124" s="394">
        <f t="shared" si="128"/>
        <v>8</v>
      </c>
      <c r="I124" s="395">
        <f t="shared" si="0"/>
        <v>0.66206896551724137</v>
      </c>
      <c r="J124" s="395">
        <f t="shared" si="1"/>
        <v>6.6206896551724137</v>
      </c>
      <c r="K124" s="396">
        <f t="shared" si="116"/>
        <v>76.629463353914687</v>
      </c>
      <c r="L124" s="397">
        <v>0</v>
      </c>
      <c r="M124" s="398">
        <f t="shared" si="117"/>
        <v>2.8165517241379314</v>
      </c>
      <c r="N124" s="381">
        <f t="shared" si="4"/>
        <v>73.81291162977675</v>
      </c>
      <c r="O124" s="381">
        <v>76.72999999999999</v>
      </c>
      <c r="P124" s="382">
        <f t="shared" si="5"/>
        <v>2.9170883702232402</v>
      </c>
      <c r="Q124" s="383">
        <f t="shared" si="6"/>
        <v>75.018920999999992</v>
      </c>
      <c r="R124" s="384">
        <f t="shared" si="7"/>
        <v>1.2060093702232422</v>
      </c>
      <c r="S124" s="378">
        <v>135.08749999999998</v>
      </c>
      <c r="T124" s="385">
        <f t="shared" si="8"/>
        <v>79.589052083333314</v>
      </c>
      <c r="U124" s="386">
        <f t="shared" si="9"/>
        <v>5.7761404535565646</v>
      </c>
      <c r="V124" s="385">
        <f t="shared" si="10"/>
        <v>78.159526041666652</v>
      </c>
      <c r="W124" s="385">
        <f t="shared" si="11"/>
        <v>101.65952604166665</v>
      </c>
      <c r="X124" s="387">
        <f t="shared" si="12"/>
        <v>4.3466144118899024</v>
      </c>
      <c r="Y124" s="357"/>
      <c r="Z124" s="357"/>
    </row>
    <row r="125" spans="1:26" ht="15.75" customHeight="1" x14ac:dyDescent="0.4">
      <c r="A125" s="392">
        <v>45505</v>
      </c>
      <c r="B125" s="391">
        <v>54.63</v>
      </c>
      <c r="C125" s="393">
        <v>127.24600000000001</v>
      </c>
      <c r="D125" s="394">
        <f t="shared" ref="D125:H125" si="129">D124</f>
        <v>5000</v>
      </c>
      <c r="E125" s="394">
        <f t="shared" si="129"/>
        <v>28</v>
      </c>
      <c r="F125" s="394">
        <f t="shared" si="129"/>
        <v>13</v>
      </c>
      <c r="G125" s="394">
        <f t="shared" si="129"/>
        <v>0.8</v>
      </c>
      <c r="H125" s="394">
        <f t="shared" si="129"/>
        <v>8</v>
      </c>
      <c r="I125" s="395">
        <f t="shared" si="0"/>
        <v>0.66206896551724137</v>
      </c>
      <c r="J125" s="395">
        <f t="shared" si="1"/>
        <v>6.6206896551724137</v>
      </c>
      <c r="K125" s="396">
        <f t="shared" si="116"/>
        <v>74.634829435271158</v>
      </c>
      <c r="L125" s="397">
        <v>0</v>
      </c>
      <c r="M125" s="398">
        <f t="shared" si="117"/>
        <v>2.8165517241379314</v>
      </c>
      <c r="N125" s="381">
        <f t="shared" si="4"/>
        <v>71.81827771113322</v>
      </c>
      <c r="O125" s="381">
        <v>72.049999999999983</v>
      </c>
      <c r="P125" s="382">
        <f t="shared" si="5"/>
        <v>0.23172228886676294</v>
      </c>
      <c r="Q125" s="383">
        <f t="shared" si="6"/>
        <v>70.443284999999989</v>
      </c>
      <c r="R125" s="384">
        <f t="shared" si="7"/>
        <v>-1.3749927111332312</v>
      </c>
      <c r="S125" s="378">
        <v>146.376</v>
      </c>
      <c r="T125" s="385">
        <f t="shared" si="8"/>
        <v>86.239859999999993</v>
      </c>
      <c r="U125" s="386">
        <f t="shared" si="9"/>
        <v>14.421582288866773</v>
      </c>
      <c r="V125" s="385">
        <f t="shared" si="10"/>
        <v>79.144929999999988</v>
      </c>
      <c r="W125" s="385">
        <f t="shared" si="11"/>
        <v>102.64492999999999</v>
      </c>
      <c r="X125" s="387">
        <f t="shared" si="12"/>
        <v>7.326652288866768</v>
      </c>
      <c r="Y125" s="357"/>
      <c r="Z125" s="357"/>
    </row>
    <row r="126" spans="1:26" ht="15.75" customHeight="1" x14ac:dyDescent="0.4">
      <c r="A126" s="392">
        <v>45536</v>
      </c>
      <c r="B126" s="391">
        <v>53.26</v>
      </c>
      <c r="C126" s="393">
        <v>128.51749999999998</v>
      </c>
      <c r="D126" s="394">
        <f t="shared" ref="D126:H126" si="130">D125</f>
        <v>5000</v>
      </c>
      <c r="E126" s="394">
        <f t="shared" si="130"/>
        <v>28</v>
      </c>
      <c r="F126" s="394">
        <f t="shared" si="130"/>
        <v>13</v>
      </c>
      <c r="G126" s="394">
        <f t="shared" si="130"/>
        <v>0.8</v>
      </c>
      <c r="H126" s="394">
        <f t="shared" si="130"/>
        <v>8</v>
      </c>
      <c r="I126" s="395">
        <f t="shared" si="0"/>
        <v>0.66206896551724137</v>
      </c>
      <c r="J126" s="395">
        <f t="shared" si="1"/>
        <v>6.6206896551724137</v>
      </c>
      <c r="K126" s="396">
        <f t="shared" si="116"/>
        <v>72.763152402023465</v>
      </c>
      <c r="L126" s="397">
        <v>0</v>
      </c>
      <c r="M126" s="398">
        <f t="shared" si="117"/>
        <v>2.8165517241379314</v>
      </c>
      <c r="N126" s="381">
        <f t="shared" si="4"/>
        <v>69.946600677885527</v>
      </c>
      <c r="O126" s="381">
        <v>72.347499999999997</v>
      </c>
      <c r="P126" s="382">
        <f t="shared" si="5"/>
        <v>2.4008993221144692</v>
      </c>
      <c r="Q126" s="383">
        <f t="shared" si="6"/>
        <v>70.734150749999998</v>
      </c>
      <c r="R126" s="384">
        <f t="shared" si="7"/>
        <v>0.78755007211447037</v>
      </c>
      <c r="S126" s="378">
        <v>140.25749999999999</v>
      </c>
      <c r="T126" s="385">
        <f t="shared" si="8"/>
        <v>82.635043749999994</v>
      </c>
      <c r="U126" s="386">
        <f t="shared" si="9"/>
        <v>12.688443072114467</v>
      </c>
      <c r="V126" s="385">
        <f t="shared" si="10"/>
        <v>77.491271874999995</v>
      </c>
      <c r="W126" s="385">
        <f t="shared" si="11"/>
        <v>100.991271875</v>
      </c>
      <c r="X126" s="387">
        <f t="shared" si="12"/>
        <v>7.544671197114468</v>
      </c>
      <c r="Y126" s="357"/>
      <c r="Z126" s="357"/>
    </row>
    <row r="127" spans="1:26" ht="15.75" customHeight="1" x14ac:dyDescent="0.4">
      <c r="A127" s="392">
        <v>45566</v>
      </c>
      <c r="B127" s="391">
        <v>52.41</v>
      </c>
      <c r="C127" s="393">
        <v>129.65499999999997</v>
      </c>
      <c r="D127" s="394">
        <f t="shared" ref="D127:H127" si="131">D126</f>
        <v>5000</v>
      </c>
      <c r="E127" s="394">
        <f t="shared" si="131"/>
        <v>28</v>
      </c>
      <c r="F127" s="394">
        <f t="shared" si="131"/>
        <v>13</v>
      </c>
      <c r="G127" s="394">
        <f t="shared" si="131"/>
        <v>0.8</v>
      </c>
      <c r="H127" s="394">
        <f t="shared" si="131"/>
        <v>8</v>
      </c>
      <c r="I127" s="395">
        <f t="shared" si="0"/>
        <v>0.66206896551724137</v>
      </c>
      <c r="J127" s="395">
        <f t="shared" si="1"/>
        <v>6.6206896551724137</v>
      </c>
      <c r="K127" s="396">
        <f t="shared" si="116"/>
        <v>71.601892928840584</v>
      </c>
      <c r="L127" s="397">
        <v>0</v>
      </c>
      <c r="M127" s="398">
        <f t="shared" si="117"/>
        <v>2.8165517241379314</v>
      </c>
      <c r="N127" s="381">
        <f t="shared" si="4"/>
        <v>68.785341204702647</v>
      </c>
      <c r="O127" s="381">
        <v>73.245000000000005</v>
      </c>
      <c r="P127" s="382">
        <f t="shared" si="5"/>
        <v>4.4596587952973579</v>
      </c>
      <c r="Q127" s="383">
        <f t="shared" si="6"/>
        <v>71.611636500000003</v>
      </c>
      <c r="R127" s="384">
        <f t="shared" si="7"/>
        <v>2.8262952952973563</v>
      </c>
      <c r="S127" s="378">
        <v>145.0325</v>
      </c>
      <c r="T127" s="385">
        <f t="shared" si="8"/>
        <v>85.448314583333328</v>
      </c>
      <c r="U127" s="386">
        <f t="shared" si="9"/>
        <v>16.662973378630682</v>
      </c>
      <c r="V127" s="385">
        <f t="shared" si="10"/>
        <v>79.346657291666673</v>
      </c>
      <c r="W127" s="385">
        <f t="shared" si="11"/>
        <v>102.84665729166667</v>
      </c>
      <c r="X127" s="387">
        <f t="shared" si="12"/>
        <v>10.561316086964027</v>
      </c>
      <c r="Y127" s="357"/>
      <c r="Z127" s="357"/>
    </row>
    <row r="128" spans="1:26" ht="15.75" customHeight="1" x14ac:dyDescent="0.4">
      <c r="A128" s="392">
        <v>45597</v>
      </c>
      <c r="B128" s="391">
        <v>51.91</v>
      </c>
      <c r="C128" s="393">
        <v>131.572</v>
      </c>
      <c r="D128" s="394">
        <f t="shared" ref="D128:H128" si="132">D127</f>
        <v>5000</v>
      </c>
      <c r="E128" s="394">
        <f t="shared" si="132"/>
        <v>28</v>
      </c>
      <c r="F128" s="394">
        <f t="shared" si="132"/>
        <v>13</v>
      </c>
      <c r="G128" s="394">
        <f t="shared" si="132"/>
        <v>0.8</v>
      </c>
      <c r="H128" s="394">
        <f t="shared" si="132"/>
        <v>8</v>
      </c>
      <c r="I128" s="395">
        <f t="shared" si="0"/>
        <v>0.66206896551724137</v>
      </c>
      <c r="J128" s="395">
        <f t="shared" si="1"/>
        <v>6.6206896551724137</v>
      </c>
      <c r="K128" s="396">
        <f t="shared" si="116"/>
        <v>70.918799121085954</v>
      </c>
      <c r="L128" s="397">
        <v>0</v>
      </c>
      <c r="M128" s="398">
        <f t="shared" si="117"/>
        <v>2.8165517241379314</v>
      </c>
      <c r="N128" s="381">
        <f t="shared" si="4"/>
        <v>68.102247396948016</v>
      </c>
      <c r="O128" s="381">
        <v>73.318000000000012</v>
      </c>
      <c r="P128" s="382">
        <f t="shared" si="5"/>
        <v>5.2157526030519961</v>
      </c>
      <c r="Q128" s="383">
        <f t="shared" si="6"/>
        <v>71.683008600000008</v>
      </c>
      <c r="R128" s="384">
        <f t="shared" si="7"/>
        <v>3.580761203051992</v>
      </c>
      <c r="S128" s="378">
        <v>141.50400000000002</v>
      </c>
      <c r="T128" s="385">
        <f t="shared" si="8"/>
        <v>83.369440000000012</v>
      </c>
      <c r="U128" s="386">
        <f t="shared" si="9"/>
        <v>15.267192603051996</v>
      </c>
      <c r="V128" s="385">
        <f t="shared" si="10"/>
        <v>78.343720000000019</v>
      </c>
      <c r="W128" s="385">
        <f t="shared" si="11"/>
        <v>101.84372000000002</v>
      </c>
      <c r="X128" s="387">
        <f t="shared" si="12"/>
        <v>10.241472603052003</v>
      </c>
      <c r="Y128" s="357"/>
      <c r="Z128" s="357"/>
    </row>
    <row r="129" spans="1:26" ht="15.75" customHeight="1" x14ac:dyDescent="0.4">
      <c r="A129" s="392">
        <v>45627</v>
      </c>
      <c r="B129" s="391">
        <v>51.78</v>
      </c>
      <c r="C129" s="393">
        <v>127.42750000000001</v>
      </c>
      <c r="D129" s="394">
        <f t="shared" ref="D129:H129" si="133">D128</f>
        <v>5000</v>
      </c>
      <c r="E129" s="394">
        <f t="shared" si="133"/>
        <v>28</v>
      </c>
      <c r="F129" s="394">
        <f t="shared" si="133"/>
        <v>13</v>
      </c>
      <c r="G129" s="394">
        <f t="shared" si="133"/>
        <v>0.8</v>
      </c>
      <c r="H129" s="394">
        <f t="shared" si="133"/>
        <v>8</v>
      </c>
      <c r="I129" s="395">
        <f t="shared" si="0"/>
        <v>0.66206896551724137</v>
      </c>
      <c r="J129" s="395">
        <f t="shared" si="1"/>
        <v>6.6206896551724137</v>
      </c>
      <c r="K129" s="396">
        <f t="shared" si="116"/>
        <v>70.741194731069754</v>
      </c>
      <c r="L129" s="397">
        <v>0</v>
      </c>
      <c r="M129" s="398">
        <f t="shared" si="117"/>
        <v>2.8165517241379314</v>
      </c>
      <c r="N129" s="381">
        <f t="shared" si="4"/>
        <v>67.924643006931817</v>
      </c>
      <c r="O129" s="381">
        <v>72.454999999999998</v>
      </c>
      <c r="P129" s="382">
        <f t="shared" si="5"/>
        <v>4.5303569930681817</v>
      </c>
      <c r="Q129" s="383">
        <f t="shared" si="6"/>
        <v>70.839253499999998</v>
      </c>
      <c r="R129" s="384">
        <f t="shared" si="7"/>
        <v>2.9146104930681815</v>
      </c>
      <c r="S129" s="378">
        <v>126.6275</v>
      </c>
      <c r="T129" s="385">
        <f t="shared" si="8"/>
        <v>74.604702083333322</v>
      </c>
      <c r="U129" s="386">
        <f t="shared" si="9"/>
        <v>6.6800590764015055</v>
      </c>
      <c r="V129" s="385">
        <f t="shared" si="10"/>
        <v>73.52985104166666</v>
      </c>
      <c r="W129" s="385">
        <f t="shared" si="11"/>
        <v>97.02985104166666</v>
      </c>
      <c r="X129" s="387">
        <f t="shared" si="12"/>
        <v>5.6052080347348436</v>
      </c>
      <c r="Y129" s="357"/>
      <c r="Z129" s="357"/>
    </row>
    <row r="130" spans="1:26" ht="15.75" customHeight="1" x14ac:dyDescent="0.4">
      <c r="A130" s="392">
        <v>45658</v>
      </c>
      <c r="B130" s="391">
        <v>52.75</v>
      </c>
      <c r="C130" s="393">
        <v>119.06199999999998</v>
      </c>
      <c r="D130" s="394">
        <f t="shared" ref="D130:H130" si="134">D129</f>
        <v>5000</v>
      </c>
      <c r="E130" s="394">
        <f t="shared" si="134"/>
        <v>28</v>
      </c>
      <c r="F130" s="394">
        <f t="shared" si="134"/>
        <v>13</v>
      </c>
      <c r="G130" s="394">
        <f t="shared" si="134"/>
        <v>0.8</v>
      </c>
      <c r="H130" s="394">
        <f t="shared" si="134"/>
        <v>8</v>
      </c>
      <c r="I130" s="395">
        <f t="shared" si="0"/>
        <v>0.66206896551724137</v>
      </c>
      <c r="J130" s="395">
        <f t="shared" si="1"/>
        <v>6.6206896551724137</v>
      </c>
      <c r="K130" s="396">
        <f t="shared" si="116"/>
        <v>72.066396718113737</v>
      </c>
      <c r="L130" s="397">
        <v>0</v>
      </c>
      <c r="M130" s="398">
        <f t="shared" si="117"/>
        <v>2.8165517241379314</v>
      </c>
      <c r="N130" s="381">
        <f t="shared" si="4"/>
        <v>69.249844993975799</v>
      </c>
      <c r="O130" s="381">
        <v>70.191999999999993</v>
      </c>
      <c r="P130" s="382">
        <f t="shared" si="5"/>
        <v>0.94215500602419411</v>
      </c>
      <c r="Q130" s="383">
        <f t="shared" si="6"/>
        <v>68.626718399999987</v>
      </c>
      <c r="R130" s="384">
        <f t="shared" si="7"/>
        <v>-0.62312659397581172</v>
      </c>
      <c r="S130" s="378">
        <v>115.18000000000002</v>
      </c>
      <c r="T130" s="385">
        <f t="shared" si="8"/>
        <v>67.860216666666673</v>
      </c>
      <c r="U130" s="386">
        <f t="shared" si="9"/>
        <v>-1.3896283273091257</v>
      </c>
      <c r="V130" s="385">
        <f t="shared" si="10"/>
        <v>69.026108333333326</v>
      </c>
      <c r="W130" s="385">
        <f t="shared" si="11"/>
        <v>92.526108333333326</v>
      </c>
      <c r="X130" s="387">
        <f t="shared" si="12"/>
        <v>-0.22373666064247288</v>
      </c>
      <c r="Y130" s="357"/>
      <c r="Z130" s="357"/>
    </row>
    <row r="131" spans="1:26" ht="15.75" customHeight="1" x14ac:dyDescent="0.4">
      <c r="A131" s="392">
        <v>45689</v>
      </c>
      <c r="B131" s="391">
        <v>50.52</v>
      </c>
      <c r="C131" s="393">
        <v>112.57250000000001</v>
      </c>
      <c r="D131" s="394">
        <f t="shared" ref="D131:H131" si="135">D130</f>
        <v>5000</v>
      </c>
      <c r="E131" s="394">
        <f t="shared" si="135"/>
        <v>28</v>
      </c>
      <c r="F131" s="394">
        <f t="shared" si="135"/>
        <v>13</v>
      </c>
      <c r="G131" s="394">
        <f t="shared" si="135"/>
        <v>0.8</v>
      </c>
      <c r="H131" s="394">
        <f t="shared" si="135"/>
        <v>8</v>
      </c>
      <c r="I131" s="395">
        <f t="shared" si="0"/>
        <v>0.66206896551724137</v>
      </c>
      <c r="J131" s="395">
        <f t="shared" si="1"/>
        <v>6.6206896551724137</v>
      </c>
      <c r="K131" s="396">
        <f t="shared" si="116"/>
        <v>69.01979833552808</v>
      </c>
      <c r="L131" s="397">
        <v>0</v>
      </c>
      <c r="M131" s="398">
        <f t="shared" si="117"/>
        <v>2.8165517241379314</v>
      </c>
      <c r="N131" s="381">
        <f t="shared" si="4"/>
        <v>66.203246611390142</v>
      </c>
      <c r="O131" s="381">
        <v>68.710000000000008</v>
      </c>
      <c r="P131" s="382">
        <f t="shared" si="5"/>
        <v>2.5067533886098659</v>
      </c>
      <c r="Q131" s="383">
        <f t="shared" si="6"/>
        <v>67.177767000000003</v>
      </c>
      <c r="R131" s="384">
        <f t="shared" si="7"/>
        <v>0.97452038860986079</v>
      </c>
      <c r="S131" s="378">
        <v>101.8875</v>
      </c>
      <c r="T131" s="385">
        <f t="shared" si="8"/>
        <v>60.028718749999996</v>
      </c>
      <c r="U131" s="386">
        <f t="shared" si="9"/>
        <v>-6.1745278613901462</v>
      </c>
      <c r="V131" s="385">
        <f t="shared" si="10"/>
        <v>64.369359375000002</v>
      </c>
      <c r="W131" s="385">
        <f t="shared" si="11"/>
        <v>87.869359375000002</v>
      </c>
      <c r="X131" s="387">
        <f t="shared" si="12"/>
        <v>-1.8338872363901402</v>
      </c>
      <c r="Y131" s="357"/>
      <c r="Z131" s="357"/>
    </row>
    <row r="132" spans="1:26" ht="15.75" customHeight="1" x14ac:dyDescent="0.4">
      <c r="A132" s="392">
        <v>45717</v>
      </c>
      <c r="B132" s="391">
        <v>50.7</v>
      </c>
      <c r="C132" s="393">
        <v>110.31</v>
      </c>
      <c r="D132" s="394">
        <f t="shared" ref="D132:H132" si="136">D131</f>
        <v>5000</v>
      </c>
      <c r="E132" s="394">
        <f t="shared" si="136"/>
        <v>28</v>
      </c>
      <c r="F132" s="394">
        <f t="shared" si="136"/>
        <v>13</v>
      </c>
      <c r="G132" s="394">
        <f t="shared" si="136"/>
        <v>0.8</v>
      </c>
      <c r="H132" s="394">
        <f t="shared" si="136"/>
        <v>8</v>
      </c>
      <c r="I132" s="395">
        <f t="shared" si="0"/>
        <v>0.66206896551724137</v>
      </c>
      <c r="J132" s="395">
        <f t="shared" si="1"/>
        <v>6.6206896551724137</v>
      </c>
      <c r="K132" s="396">
        <f t="shared" si="116"/>
        <v>69.265712106319754</v>
      </c>
      <c r="L132" s="397">
        <v>0</v>
      </c>
      <c r="M132" s="398">
        <f t="shared" si="117"/>
        <v>2.8165517241379314</v>
      </c>
      <c r="N132" s="381">
        <f t="shared" si="4"/>
        <v>66.449160382181816</v>
      </c>
      <c r="O132" s="381">
        <v>69.97</v>
      </c>
      <c r="P132" s="382">
        <f t="shared" si="5"/>
        <v>3.5208396178181829</v>
      </c>
      <c r="Q132" s="383">
        <f t="shared" si="6"/>
        <v>68.409668999999994</v>
      </c>
      <c r="R132" s="384">
        <f t="shared" si="7"/>
        <v>1.9605086178181779</v>
      </c>
      <c r="S132" s="378">
        <v>96.41</v>
      </c>
      <c r="T132" s="385">
        <f t="shared" si="8"/>
        <v>56.801558333333332</v>
      </c>
      <c r="U132" s="386">
        <f t="shared" si="9"/>
        <v>-9.6476020488484835</v>
      </c>
      <c r="V132" s="385">
        <f t="shared" si="10"/>
        <v>63.385779166666666</v>
      </c>
      <c r="W132" s="385">
        <f t="shared" si="11"/>
        <v>86.885779166666666</v>
      </c>
      <c r="X132" s="387">
        <f t="shared" si="12"/>
        <v>-3.0633812155151503</v>
      </c>
      <c r="Y132" s="357"/>
      <c r="Z132" s="357"/>
    </row>
    <row r="133" spans="1:26" ht="15.75" customHeight="1" x14ac:dyDescent="0.4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99">
        <f>AVERAGE(N10:N132)</f>
        <v>69.314212812700745</v>
      </c>
      <c r="O133" s="399"/>
      <c r="P133" s="400"/>
      <c r="Q133" s="399">
        <f>AVERAGE(Q10:Q132)</f>
        <v>67.301720282926809</v>
      </c>
      <c r="R133" s="400"/>
      <c r="S133" s="399"/>
      <c r="T133" s="399">
        <f>AVERAGE(T10:T132)</f>
        <v>74.192443485772387</v>
      </c>
      <c r="U133" s="400"/>
      <c r="V133" s="399">
        <f>AVERAGE(V10:V132)</f>
        <v>71.514611986788594</v>
      </c>
      <c r="W133" s="357"/>
      <c r="X133" s="357"/>
      <c r="Y133" s="357"/>
      <c r="Z133" s="357"/>
    </row>
    <row r="134" spans="1:26" ht="15.75" customHeight="1" x14ac:dyDescent="0.4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</row>
    <row r="135" spans="1:26" ht="15.75" customHeight="1" x14ac:dyDescent="0.4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</row>
    <row r="136" spans="1:26" ht="15.75" customHeight="1" x14ac:dyDescent="0.4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</row>
    <row r="137" spans="1:26" ht="15.75" customHeight="1" x14ac:dyDescent="0.4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</row>
    <row r="138" spans="1:26" ht="15.75" customHeight="1" x14ac:dyDescent="0.4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</row>
    <row r="139" spans="1:26" ht="15.75" customHeight="1" x14ac:dyDescent="0.4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</row>
    <row r="140" spans="1:26" ht="15.75" customHeight="1" x14ac:dyDescent="0.4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</row>
    <row r="141" spans="1:26" ht="15.75" customHeight="1" x14ac:dyDescent="0.4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</row>
    <row r="142" spans="1:26" ht="15.75" customHeight="1" x14ac:dyDescent="0.4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</row>
    <row r="143" spans="1:26" ht="15.75" customHeight="1" x14ac:dyDescent="0.4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</row>
    <row r="144" spans="1:26" ht="15.75" customHeight="1" x14ac:dyDescent="0.4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</row>
    <row r="145" spans="1:26" ht="15.75" customHeight="1" x14ac:dyDescent="0.4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</row>
    <row r="146" spans="1:26" ht="15.75" customHeight="1" x14ac:dyDescent="0.4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</row>
    <row r="147" spans="1:26" ht="15.75" customHeight="1" x14ac:dyDescent="0.4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</row>
    <row r="148" spans="1:26" ht="15.75" customHeight="1" x14ac:dyDescent="0.4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</row>
    <row r="149" spans="1:26" ht="15.75" customHeight="1" x14ac:dyDescent="0.4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</row>
    <row r="150" spans="1:26" ht="15.75" customHeight="1" x14ac:dyDescent="0.4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</row>
    <row r="151" spans="1:26" ht="15.75" customHeight="1" x14ac:dyDescent="0.4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</row>
    <row r="152" spans="1:26" ht="15.75" customHeight="1" x14ac:dyDescent="0.4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</row>
    <row r="153" spans="1:26" ht="15.75" customHeight="1" x14ac:dyDescent="0.4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</row>
    <row r="154" spans="1:26" ht="15.75" customHeight="1" x14ac:dyDescent="0.4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</row>
    <row r="155" spans="1:26" ht="15.75" customHeight="1" x14ac:dyDescent="0.4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</row>
    <row r="156" spans="1:26" ht="15.75" customHeight="1" x14ac:dyDescent="0.4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</row>
    <row r="157" spans="1:26" ht="15.75" customHeight="1" x14ac:dyDescent="0.4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</row>
    <row r="158" spans="1:26" ht="15.75" customHeight="1" x14ac:dyDescent="0.4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</row>
    <row r="159" spans="1:26" ht="15.75" customHeight="1" x14ac:dyDescent="0.4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</row>
    <row r="160" spans="1:26" ht="15.75" customHeight="1" x14ac:dyDescent="0.4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</row>
    <row r="161" spans="1:26" ht="15.75" customHeight="1" x14ac:dyDescent="0.4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</row>
    <row r="162" spans="1:26" ht="15.75" customHeight="1" x14ac:dyDescent="0.4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</row>
    <row r="163" spans="1:26" ht="15.75" customHeight="1" x14ac:dyDescent="0.4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</row>
    <row r="164" spans="1:26" ht="15.75" customHeight="1" x14ac:dyDescent="0.4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</row>
    <row r="165" spans="1:26" ht="15.75" customHeight="1" x14ac:dyDescent="0.4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</row>
    <row r="166" spans="1:26" ht="15.75" customHeight="1" x14ac:dyDescent="0.4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</row>
    <row r="167" spans="1:26" ht="15.75" customHeight="1" x14ac:dyDescent="0.4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</row>
    <row r="168" spans="1:26" ht="15.75" customHeight="1" x14ac:dyDescent="0.4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</row>
    <row r="169" spans="1:26" ht="15.75" customHeight="1" x14ac:dyDescent="0.4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</row>
    <row r="170" spans="1:26" ht="15.75" customHeight="1" x14ac:dyDescent="0.4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</row>
    <row r="171" spans="1:26" ht="15.75" customHeight="1" x14ac:dyDescent="0.4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</row>
    <row r="172" spans="1:26" ht="15.75" customHeight="1" x14ac:dyDescent="0.4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</row>
    <row r="173" spans="1:26" ht="15.75" customHeight="1" x14ac:dyDescent="0.4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</row>
    <row r="174" spans="1:26" ht="15.75" customHeight="1" x14ac:dyDescent="0.4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</row>
    <row r="175" spans="1:26" ht="15.75" customHeight="1" x14ac:dyDescent="0.4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</row>
    <row r="176" spans="1:26" ht="15.75" customHeight="1" x14ac:dyDescent="0.4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</row>
    <row r="177" spans="1:26" ht="15.75" customHeight="1" x14ac:dyDescent="0.4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</row>
    <row r="178" spans="1:26" ht="15.75" customHeight="1" x14ac:dyDescent="0.4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</row>
    <row r="179" spans="1:26" ht="15.75" customHeight="1" x14ac:dyDescent="0.4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</row>
    <row r="180" spans="1:26" ht="15.75" customHeight="1" x14ac:dyDescent="0.4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</row>
    <row r="181" spans="1:26" ht="15.75" customHeight="1" x14ac:dyDescent="0.4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</row>
    <row r="182" spans="1:26" ht="15.75" customHeight="1" x14ac:dyDescent="0.4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</row>
    <row r="183" spans="1:26" ht="15.75" customHeight="1" x14ac:dyDescent="0.4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</row>
    <row r="184" spans="1:26" ht="15.75" customHeight="1" x14ac:dyDescent="0.4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</row>
    <row r="185" spans="1:26" ht="15.75" customHeight="1" x14ac:dyDescent="0.4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</row>
    <row r="186" spans="1:26" ht="15.75" customHeight="1" x14ac:dyDescent="0.4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</row>
    <row r="187" spans="1:26" ht="15.75" customHeight="1" x14ac:dyDescent="0.4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</row>
    <row r="188" spans="1:26" ht="15.75" customHeight="1" x14ac:dyDescent="0.4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</row>
    <row r="189" spans="1:26" ht="15.75" customHeight="1" x14ac:dyDescent="0.4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</row>
    <row r="190" spans="1:26" ht="15.75" customHeight="1" x14ac:dyDescent="0.4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</row>
    <row r="191" spans="1:26" ht="15.75" customHeight="1" x14ac:dyDescent="0.4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</row>
    <row r="192" spans="1:26" ht="15.75" customHeight="1" x14ac:dyDescent="0.4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</row>
    <row r="193" spans="1:26" ht="15.75" customHeight="1" x14ac:dyDescent="0.4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</row>
    <row r="194" spans="1:26" ht="15.75" customHeight="1" x14ac:dyDescent="0.4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</row>
    <row r="195" spans="1:26" ht="15.75" customHeight="1" x14ac:dyDescent="0.4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</row>
    <row r="196" spans="1:26" ht="15.75" customHeight="1" x14ac:dyDescent="0.4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</row>
    <row r="197" spans="1:26" ht="15.75" customHeight="1" x14ac:dyDescent="0.4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</row>
    <row r="198" spans="1:26" ht="15.75" customHeight="1" x14ac:dyDescent="0.4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</row>
    <row r="199" spans="1:26" ht="15.75" customHeight="1" x14ac:dyDescent="0.4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</row>
    <row r="200" spans="1:26" ht="15.75" customHeight="1" x14ac:dyDescent="0.4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</row>
    <row r="201" spans="1:26" ht="15.75" customHeight="1" x14ac:dyDescent="0.4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</row>
    <row r="202" spans="1:26" ht="15.75" customHeight="1" x14ac:dyDescent="0.4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</row>
    <row r="203" spans="1:26" ht="15.75" customHeight="1" x14ac:dyDescent="0.4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</row>
    <row r="204" spans="1:26" ht="15.75" customHeight="1" x14ac:dyDescent="0.4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</row>
    <row r="205" spans="1:26" ht="15.75" customHeight="1" x14ac:dyDescent="0.4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</row>
    <row r="206" spans="1:26" ht="15.75" customHeight="1" x14ac:dyDescent="0.4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</row>
    <row r="207" spans="1:26" ht="15.75" customHeight="1" x14ac:dyDescent="0.4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</row>
    <row r="208" spans="1:26" ht="15.75" customHeight="1" x14ac:dyDescent="0.4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</row>
    <row r="209" spans="1:26" ht="15.75" customHeight="1" x14ac:dyDescent="0.4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</row>
    <row r="210" spans="1:26" ht="15.75" customHeight="1" x14ac:dyDescent="0.4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</row>
    <row r="211" spans="1:26" ht="15.75" customHeight="1" x14ac:dyDescent="0.4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</row>
    <row r="212" spans="1:26" ht="15.75" customHeight="1" x14ac:dyDescent="0.4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</row>
    <row r="213" spans="1:26" ht="15.75" customHeight="1" x14ac:dyDescent="0.4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</row>
    <row r="214" spans="1:26" ht="15.75" customHeight="1" x14ac:dyDescent="0.4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</row>
    <row r="215" spans="1:26" ht="15.75" customHeight="1" x14ac:dyDescent="0.4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</row>
    <row r="216" spans="1:26" ht="15.75" customHeight="1" x14ac:dyDescent="0.4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</row>
    <row r="217" spans="1:26" ht="15.75" customHeight="1" x14ac:dyDescent="0.4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</row>
    <row r="218" spans="1:26" ht="15.75" customHeight="1" x14ac:dyDescent="0.4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</row>
    <row r="219" spans="1:26" ht="15.75" customHeight="1" x14ac:dyDescent="0.4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</row>
    <row r="220" spans="1:26" ht="15.75" customHeight="1" x14ac:dyDescent="0.4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</row>
    <row r="221" spans="1:26" ht="15.75" customHeight="1" x14ac:dyDescent="0.4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</row>
    <row r="222" spans="1:26" ht="15.75" customHeight="1" x14ac:dyDescent="0.4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</row>
    <row r="223" spans="1:26" ht="15.75" customHeight="1" x14ac:dyDescent="0.4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</row>
    <row r="224" spans="1:26" ht="15.75" customHeight="1" x14ac:dyDescent="0.4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</row>
    <row r="225" spans="1:26" ht="15.75" customHeight="1" x14ac:dyDescent="0.4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</row>
    <row r="226" spans="1:26" ht="15.75" customHeight="1" x14ac:dyDescent="0.4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</row>
    <row r="227" spans="1:26" ht="15.75" customHeight="1" x14ac:dyDescent="0.4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</row>
    <row r="228" spans="1:26" ht="15.75" customHeight="1" x14ac:dyDescent="0.4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</row>
    <row r="229" spans="1:26" ht="15.75" customHeight="1" x14ac:dyDescent="0.4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</row>
    <row r="230" spans="1:26" ht="15.75" customHeight="1" x14ac:dyDescent="0.4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</row>
    <row r="231" spans="1:26" ht="15.75" customHeight="1" x14ac:dyDescent="0.4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</row>
    <row r="232" spans="1:26" ht="15.75" customHeight="1" x14ac:dyDescent="0.4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</row>
    <row r="233" spans="1:26" ht="15.75" customHeight="1" x14ac:dyDescent="0.4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</row>
    <row r="234" spans="1:26" ht="15.75" customHeight="1" x14ac:dyDescent="0.4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</row>
    <row r="235" spans="1:26" ht="15.75" customHeight="1" x14ac:dyDescent="0.4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</row>
    <row r="236" spans="1:26" ht="15.75" customHeight="1" x14ac:dyDescent="0.4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</row>
    <row r="237" spans="1:26" ht="15.75" customHeight="1" x14ac:dyDescent="0.4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</row>
    <row r="238" spans="1:26" ht="15.75" customHeight="1" x14ac:dyDescent="0.4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</row>
    <row r="239" spans="1:26" ht="15.75" customHeight="1" x14ac:dyDescent="0.4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</row>
    <row r="240" spans="1:26" ht="15.75" customHeight="1" x14ac:dyDescent="0.4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</row>
    <row r="241" spans="1:26" ht="15.75" customHeight="1" x14ac:dyDescent="0.4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</row>
    <row r="242" spans="1:26" ht="15.75" customHeight="1" x14ac:dyDescent="0.4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</row>
    <row r="243" spans="1:26" ht="15.75" customHeight="1" x14ac:dyDescent="0.4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</row>
    <row r="244" spans="1:26" ht="15.75" customHeight="1" x14ac:dyDescent="0.4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</row>
    <row r="245" spans="1:26" ht="15.75" customHeight="1" x14ac:dyDescent="0.4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</row>
    <row r="246" spans="1:26" ht="15.75" customHeight="1" x14ac:dyDescent="0.4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</row>
    <row r="247" spans="1:26" ht="15.75" customHeight="1" x14ac:dyDescent="0.4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</row>
    <row r="248" spans="1:26" ht="15.75" customHeight="1" x14ac:dyDescent="0.4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</row>
    <row r="249" spans="1:26" ht="15.75" customHeight="1" x14ac:dyDescent="0.4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</row>
    <row r="250" spans="1:26" ht="15.75" customHeight="1" x14ac:dyDescent="0.4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</row>
    <row r="251" spans="1:26" ht="15.75" customHeight="1" x14ac:dyDescent="0.4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</row>
    <row r="252" spans="1:26" ht="15.75" customHeight="1" x14ac:dyDescent="0.4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</row>
    <row r="253" spans="1:26" ht="15.75" customHeight="1" x14ac:dyDescent="0.4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</row>
    <row r="254" spans="1:26" ht="15.75" customHeight="1" x14ac:dyDescent="0.4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</row>
    <row r="255" spans="1:26" ht="15.75" customHeight="1" x14ac:dyDescent="0.4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</row>
    <row r="256" spans="1:26" ht="15.75" customHeight="1" x14ac:dyDescent="0.4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</row>
    <row r="257" spans="1:26" ht="15.75" customHeight="1" x14ac:dyDescent="0.4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</row>
    <row r="258" spans="1:26" ht="15.75" customHeight="1" x14ac:dyDescent="0.4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</row>
    <row r="259" spans="1:26" ht="15.75" customHeight="1" x14ac:dyDescent="0.4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</row>
    <row r="260" spans="1:26" ht="15.75" customHeight="1" x14ac:dyDescent="0.4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</row>
    <row r="261" spans="1:26" ht="15.75" customHeight="1" x14ac:dyDescent="0.4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</row>
    <row r="262" spans="1:26" ht="15.75" customHeight="1" x14ac:dyDescent="0.4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</row>
    <row r="263" spans="1:26" ht="15.75" customHeight="1" x14ac:dyDescent="0.4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</row>
    <row r="264" spans="1:26" ht="15.75" customHeight="1" x14ac:dyDescent="0.4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</row>
    <row r="265" spans="1:26" ht="15.75" customHeight="1" x14ac:dyDescent="0.4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</row>
    <row r="266" spans="1:26" ht="15.75" customHeight="1" x14ac:dyDescent="0.4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</row>
    <row r="267" spans="1:26" ht="15.75" customHeight="1" x14ac:dyDescent="0.4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</row>
    <row r="268" spans="1:26" ht="15.75" customHeight="1" x14ac:dyDescent="0.4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</row>
    <row r="269" spans="1:26" ht="15.75" customHeight="1" x14ac:dyDescent="0.4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</row>
    <row r="270" spans="1:26" ht="15.75" customHeight="1" x14ac:dyDescent="0.4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</row>
    <row r="271" spans="1:26" ht="15.75" customHeight="1" x14ac:dyDescent="0.4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</row>
    <row r="272" spans="1:26" ht="15.75" customHeight="1" x14ac:dyDescent="0.4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</row>
    <row r="273" spans="1:26" ht="15.75" customHeight="1" x14ac:dyDescent="0.4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</row>
    <row r="274" spans="1:26" ht="15.75" customHeight="1" x14ac:dyDescent="0.4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</row>
    <row r="275" spans="1:26" ht="15.75" customHeight="1" x14ac:dyDescent="0.4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</row>
    <row r="276" spans="1:26" ht="15.75" customHeight="1" x14ac:dyDescent="0.4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</row>
    <row r="277" spans="1:26" ht="15.75" customHeight="1" x14ac:dyDescent="0.4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</row>
    <row r="278" spans="1:26" ht="15.75" customHeight="1" x14ac:dyDescent="0.4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</row>
    <row r="279" spans="1:26" ht="15.75" customHeight="1" x14ac:dyDescent="0.4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</row>
    <row r="280" spans="1:26" ht="15.75" customHeight="1" x14ac:dyDescent="0.4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</row>
    <row r="281" spans="1:26" ht="15.75" customHeight="1" x14ac:dyDescent="0.4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</row>
    <row r="282" spans="1:26" ht="15.75" customHeight="1" x14ac:dyDescent="0.4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</row>
    <row r="283" spans="1:26" ht="15.75" customHeight="1" x14ac:dyDescent="0.4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</row>
    <row r="284" spans="1:26" ht="15.75" customHeight="1" x14ac:dyDescent="0.4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</row>
    <row r="285" spans="1:26" ht="15.75" customHeight="1" x14ac:dyDescent="0.4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</row>
    <row r="286" spans="1:26" ht="15.75" customHeight="1" x14ac:dyDescent="0.4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</row>
    <row r="287" spans="1:26" ht="15.75" customHeight="1" x14ac:dyDescent="0.4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</row>
    <row r="288" spans="1:26" ht="15.75" customHeight="1" x14ac:dyDescent="0.4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</row>
    <row r="289" spans="1:26" ht="15.75" customHeight="1" x14ac:dyDescent="0.4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</row>
    <row r="290" spans="1:26" ht="15.75" customHeight="1" x14ac:dyDescent="0.4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</row>
    <row r="291" spans="1:26" ht="15.75" customHeight="1" x14ac:dyDescent="0.4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</row>
    <row r="292" spans="1:26" ht="15.75" customHeight="1" x14ac:dyDescent="0.4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</row>
    <row r="293" spans="1:26" ht="15.75" customHeight="1" x14ac:dyDescent="0.4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</row>
    <row r="294" spans="1:26" ht="15.75" customHeight="1" x14ac:dyDescent="0.4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</row>
    <row r="295" spans="1:26" ht="15.75" customHeight="1" x14ac:dyDescent="0.4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</row>
    <row r="296" spans="1:26" ht="15.75" customHeight="1" x14ac:dyDescent="0.4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</row>
    <row r="297" spans="1:26" ht="15.75" customHeight="1" x14ac:dyDescent="0.4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</row>
    <row r="298" spans="1:26" ht="15.75" customHeight="1" x14ac:dyDescent="0.4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</row>
    <row r="299" spans="1:26" ht="15.75" customHeight="1" x14ac:dyDescent="0.4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</row>
    <row r="300" spans="1:26" ht="15.75" customHeight="1" x14ac:dyDescent="0.4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</row>
    <row r="301" spans="1:26" ht="15.75" customHeight="1" x14ac:dyDescent="0.4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</row>
    <row r="302" spans="1:26" ht="15.75" customHeight="1" x14ac:dyDescent="0.4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</row>
    <row r="303" spans="1:26" ht="15.75" customHeight="1" x14ac:dyDescent="0.4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</row>
    <row r="304" spans="1:26" ht="15.75" customHeight="1" x14ac:dyDescent="0.4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</row>
    <row r="305" spans="1:26" ht="15.75" customHeight="1" x14ac:dyDescent="0.4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</row>
    <row r="306" spans="1:26" ht="15.75" customHeight="1" x14ac:dyDescent="0.4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</row>
    <row r="307" spans="1:26" ht="15.75" customHeight="1" x14ac:dyDescent="0.4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</row>
    <row r="308" spans="1:26" ht="15.75" customHeight="1" x14ac:dyDescent="0.4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</row>
    <row r="309" spans="1:26" ht="15.75" customHeight="1" x14ac:dyDescent="0.4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</row>
    <row r="310" spans="1:26" ht="15.75" customHeight="1" x14ac:dyDescent="0.4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</row>
    <row r="311" spans="1:26" ht="15.75" customHeight="1" x14ac:dyDescent="0.4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</row>
    <row r="312" spans="1:26" ht="15.75" customHeight="1" x14ac:dyDescent="0.4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</row>
    <row r="313" spans="1:26" ht="15.75" customHeight="1" x14ac:dyDescent="0.4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</row>
    <row r="314" spans="1:26" ht="15.75" customHeight="1" x14ac:dyDescent="0.4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</row>
    <row r="315" spans="1:26" ht="15.75" customHeight="1" x14ac:dyDescent="0.4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</row>
    <row r="316" spans="1:26" ht="15.75" customHeight="1" x14ac:dyDescent="0.4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</row>
    <row r="317" spans="1:26" ht="15.75" customHeight="1" x14ac:dyDescent="0.4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</row>
    <row r="318" spans="1:26" ht="15.75" customHeight="1" x14ac:dyDescent="0.4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</row>
    <row r="319" spans="1:26" ht="15.75" customHeight="1" x14ac:dyDescent="0.4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</row>
    <row r="320" spans="1:26" ht="15.75" customHeight="1" x14ac:dyDescent="0.4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</row>
    <row r="321" spans="1:26" ht="15.75" customHeight="1" x14ac:dyDescent="0.4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</row>
    <row r="322" spans="1:26" ht="15.75" customHeight="1" x14ac:dyDescent="0.4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</row>
    <row r="323" spans="1:26" ht="15.75" customHeight="1" x14ac:dyDescent="0.4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</row>
    <row r="324" spans="1:26" ht="15.75" customHeight="1" x14ac:dyDescent="0.4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</row>
    <row r="325" spans="1:26" ht="15.75" customHeight="1" x14ac:dyDescent="0.4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</row>
    <row r="326" spans="1:26" ht="15.75" customHeight="1" x14ac:dyDescent="0.4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</row>
    <row r="327" spans="1:26" ht="15.75" customHeight="1" x14ac:dyDescent="0.4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</row>
    <row r="328" spans="1:26" ht="15.75" customHeight="1" x14ac:dyDescent="0.4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</row>
    <row r="329" spans="1:26" ht="15.75" customHeight="1" x14ac:dyDescent="0.4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</row>
    <row r="330" spans="1:26" ht="15.75" customHeight="1" x14ac:dyDescent="0.4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</row>
    <row r="331" spans="1:26" ht="15.75" customHeight="1" x14ac:dyDescent="0.4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</row>
    <row r="332" spans="1:26" ht="15.75" customHeight="1" x14ac:dyDescent="0.4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</row>
    <row r="333" spans="1:26" ht="15.75" customHeight="1" x14ac:dyDescent="0.4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</row>
    <row r="334" spans="1:26" ht="15.75" customHeight="1" x14ac:dyDescent="0.4"/>
    <row r="335" spans="1:26" ht="15.75" customHeight="1" x14ac:dyDescent="0.4"/>
    <row r="336" spans="1:2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3">
    <mergeCell ref="A8:A9"/>
    <mergeCell ref="B8:B9"/>
    <mergeCell ref="D8:H8"/>
  </mergeCells>
  <pageMargins left="0.25" right="0.1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1.25" defaultRowHeight="15" customHeight="1" x14ac:dyDescent="0.4"/>
  <cols>
    <col min="1" max="1" width="9" customWidth="1"/>
    <col min="2" max="2" width="15.33203125" customWidth="1"/>
    <col min="3" max="3" width="17.6640625" customWidth="1"/>
    <col min="4" max="4" width="9.6640625" hidden="1" customWidth="1"/>
    <col min="5" max="6" width="8.6640625" hidden="1" customWidth="1"/>
    <col min="7" max="7" width="18" customWidth="1"/>
    <col min="8" max="8" width="10.6640625" hidden="1" customWidth="1"/>
    <col min="9" max="9" width="8.6640625" hidden="1" customWidth="1"/>
    <col min="10" max="10" width="7.6640625" hidden="1" customWidth="1"/>
    <col min="11" max="11" width="18" customWidth="1"/>
    <col min="12" max="12" width="9.6640625" hidden="1" customWidth="1"/>
    <col min="13" max="13" width="8.6640625" hidden="1" customWidth="1"/>
    <col min="14" max="14" width="7.6640625" hidden="1" customWidth="1"/>
    <col min="15" max="15" width="8.6640625" customWidth="1"/>
    <col min="16" max="22" width="7.6640625" customWidth="1"/>
    <col min="23" max="26" width="12.6640625" customWidth="1"/>
  </cols>
  <sheetData>
    <row r="1" spans="1:26" ht="23.5" x14ac:dyDescent="0.55000000000000004">
      <c r="A1" s="357"/>
      <c r="B1" s="357"/>
      <c r="C1" s="357"/>
      <c r="D1" s="357"/>
      <c r="E1" s="357"/>
      <c r="F1" s="401" t="s">
        <v>93</v>
      </c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spans="1:26" ht="55.5" customHeight="1" x14ac:dyDescent="0.4">
      <c r="A2" s="402" t="s">
        <v>88</v>
      </c>
      <c r="B2" s="403" t="s">
        <v>258</v>
      </c>
      <c r="C2" s="403" t="s">
        <v>259</v>
      </c>
      <c r="D2" s="404" t="s">
        <v>260</v>
      </c>
      <c r="E2" s="405" t="s">
        <v>261</v>
      </c>
      <c r="F2" s="405" t="s">
        <v>262</v>
      </c>
      <c r="G2" s="403" t="s">
        <v>263</v>
      </c>
      <c r="H2" s="404" t="s">
        <v>264</v>
      </c>
      <c r="I2" s="405" t="s">
        <v>265</v>
      </c>
      <c r="J2" s="405" t="s">
        <v>266</v>
      </c>
      <c r="K2" s="403" t="s">
        <v>267</v>
      </c>
      <c r="L2" s="404" t="s">
        <v>268</v>
      </c>
      <c r="M2" s="405" t="s">
        <v>269</v>
      </c>
      <c r="N2" s="405" t="s">
        <v>270</v>
      </c>
      <c r="O2" s="406"/>
      <c r="P2" s="406"/>
      <c r="Q2" s="406"/>
      <c r="R2" s="406"/>
      <c r="S2" s="406"/>
      <c r="T2" s="406"/>
      <c r="U2" s="406"/>
      <c r="V2" s="406"/>
      <c r="W2" s="357"/>
      <c r="X2" s="357"/>
      <c r="Y2" s="357"/>
      <c r="Z2" s="357"/>
    </row>
    <row r="3" spans="1:26" ht="16.5" customHeight="1" x14ac:dyDescent="0.4">
      <c r="A3" s="407" t="s">
        <v>199</v>
      </c>
      <c r="B3" s="408">
        <v>63.84</v>
      </c>
      <c r="C3" s="408"/>
      <c r="D3" s="408"/>
      <c r="E3" s="409">
        <f>MAX(C3:C14)</f>
        <v>0</v>
      </c>
      <c r="F3" s="409">
        <f>MIN(C3:C14)</f>
        <v>0</v>
      </c>
      <c r="G3" s="408"/>
      <c r="H3" s="408"/>
      <c r="I3" s="409">
        <f>MAX(G3:G14)</f>
        <v>0</v>
      </c>
      <c r="J3" s="409">
        <f>MIN(G3:G14)</f>
        <v>0</v>
      </c>
      <c r="K3" s="408"/>
      <c r="L3" s="408"/>
      <c r="M3" s="409">
        <f>MAX(K3:K14)</f>
        <v>0</v>
      </c>
      <c r="N3" s="409">
        <f>MIN(K3:K14)</f>
        <v>0</v>
      </c>
      <c r="O3" s="410"/>
      <c r="P3" s="410"/>
      <c r="Q3" s="410"/>
      <c r="R3" s="410"/>
      <c r="S3" s="410"/>
      <c r="T3" s="410"/>
      <c r="U3" s="410"/>
      <c r="V3" s="410"/>
      <c r="W3" s="357"/>
      <c r="X3" s="357"/>
      <c r="Y3" s="357"/>
      <c r="Z3" s="357"/>
    </row>
    <row r="4" spans="1:26" ht="16.5" customHeight="1" x14ac:dyDescent="0.4">
      <c r="A4" s="407" t="s">
        <v>200</v>
      </c>
      <c r="B4" s="408">
        <v>62.92</v>
      </c>
      <c r="C4" s="408"/>
      <c r="D4" s="408"/>
      <c r="E4" s="411"/>
      <c r="F4" s="411"/>
      <c r="G4" s="408"/>
      <c r="H4" s="408"/>
      <c r="I4" s="411"/>
      <c r="J4" s="411"/>
      <c r="K4" s="408"/>
      <c r="L4" s="408"/>
      <c r="M4" s="411"/>
      <c r="N4" s="411"/>
      <c r="O4" s="410"/>
      <c r="P4" s="410"/>
      <c r="Q4" s="410"/>
      <c r="R4" s="410"/>
      <c r="S4" s="410"/>
      <c r="T4" s="410"/>
      <c r="U4" s="410"/>
      <c r="V4" s="410"/>
      <c r="W4" s="357"/>
      <c r="X4" s="357"/>
      <c r="Y4" s="357"/>
      <c r="Z4" s="357"/>
    </row>
    <row r="5" spans="1:26" ht="16.5" customHeight="1" x14ac:dyDescent="0.4">
      <c r="A5" s="407" t="s">
        <v>201</v>
      </c>
      <c r="B5" s="408">
        <v>67.760000000000005</v>
      </c>
      <c r="C5" s="408"/>
      <c r="D5" s="408"/>
      <c r="E5" s="411"/>
      <c r="F5" s="411"/>
      <c r="G5" s="408"/>
      <c r="H5" s="408"/>
      <c r="I5" s="411"/>
      <c r="J5" s="411"/>
      <c r="K5" s="408"/>
      <c r="L5" s="408"/>
      <c r="M5" s="411"/>
      <c r="N5" s="411"/>
      <c r="O5" s="410"/>
      <c r="P5" s="410"/>
      <c r="Q5" s="410"/>
      <c r="R5" s="410"/>
      <c r="S5" s="410"/>
      <c r="T5" s="410"/>
      <c r="U5" s="410"/>
      <c r="V5" s="410"/>
      <c r="W5" s="357"/>
      <c r="X5" s="357"/>
      <c r="Y5" s="357"/>
      <c r="Z5" s="357"/>
    </row>
    <row r="6" spans="1:26" ht="16.5" customHeight="1" x14ac:dyDescent="0.4">
      <c r="A6" s="407" t="s">
        <v>202</v>
      </c>
      <c r="B6" s="408">
        <v>64.48</v>
      </c>
      <c r="C6" s="408"/>
      <c r="D6" s="408"/>
      <c r="E6" s="411"/>
      <c r="F6" s="411"/>
      <c r="G6" s="408"/>
      <c r="H6" s="408"/>
      <c r="I6" s="411"/>
      <c r="J6" s="411"/>
      <c r="K6" s="408"/>
      <c r="L6" s="408"/>
      <c r="M6" s="411"/>
      <c r="N6" s="411"/>
      <c r="O6" s="410"/>
      <c r="P6" s="410"/>
      <c r="Q6" s="410"/>
      <c r="R6" s="410"/>
      <c r="S6" s="410"/>
      <c r="T6" s="410"/>
      <c r="U6" s="410"/>
      <c r="V6" s="410"/>
      <c r="W6" s="357"/>
      <c r="X6" s="357"/>
      <c r="Y6" s="357"/>
      <c r="Z6" s="357"/>
    </row>
    <row r="7" spans="1:26" ht="16.5" customHeight="1" x14ac:dyDescent="0.4">
      <c r="A7" s="407" t="s">
        <v>203</v>
      </c>
      <c r="B7" s="408">
        <v>61.08</v>
      </c>
      <c r="C7" s="408"/>
      <c r="D7" s="408"/>
      <c r="E7" s="411"/>
      <c r="F7" s="411"/>
      <c r="G7" s="408"/>
      <c r="H7" s="408"/>
      <c r="I7" s="411"/>
      <c r="J7" s="411"/>
      <c r="K7" s="408"/>
      <c r="L7" s="408"/>
      <c r="M7" s="411"/>
      <c r="N7" s="411"/>
      <c r="O7" s="410"/>
      <c r="P7" s="410"/>
      <c r="Q7" s="410"/>
      <c r="R7" s="410"/>
      <c r="S7" s="410"/>
      <c r="T7" s="410"/>
      <c r="U7" s="410"/>
      <c r="V7" s="410"/>
      <c r="W7" s="357"/>
      <c r="X7" s="357"/>
      <c r="Y7" s="357"/>
      <c r="Z7" s="357"/>
    </row>
    <row r="8" spans="1:26" ht="16.5" customHeight="1" x14ac:dyDescent="0.4">
      <c r="A8" s="407" t="s">
        <v>204</v>
      </c>
      <c r="B8" s="408">
        <v>59.59</v>
      </c>
      <c r="C8" s="408"/>
      <c r="D8" s="408"/>
      <c r="E8" s="411"/>
      <c r="F8" s="411"/>
      <c r="G8" s="408"/>
      <c r="H8" s="408"/>
      <c r="I8" s="411"/>
      <c r="J8" s="411"/>
      <c r="K8" s="408"/>
      <c r="L8" s="408"/>
      <c r="M8" s="411"/>
      <c r="N8" s="411"/>
      <c r="O8" s="410"/>
      <c r="P8" s="410"/>
      <c r="Q8" s="410"/>
      <c r="R8" s="410"/>
      <c r="S8" s="410"/>
      <c r="T8" s="410"/>
      <c r="U8" s="410"/>
      <c r="V8" s="410"/>
      <c r="W8" s="357"/>
      <c r="X8" s="357"/>
      <c r="Y8" s="357"/>
      <c r="Z8" s="357"/>
    </row>
    <row r="9" spans="1:26" ht="16.5" customHeight="1" x14ac:dyDescent="0.4">
      <c r="A9" s="407" t="s">
        <v>205</v>
      </c>
      <c r="B9" s="408">
        <v>59.19</v>
      </c>
      <c r="C9" s="408"/>
      <c r="D9" s="408"/>
      <c r="E9" s="411"/>
      <c r="F9" s="411"/>
      <c r="G9" s="408"/>
      <c r="H9" s="408"/>
      <c r="I9" s="411"/>
      <c r="J9" s="411"/>
      <c r="K9" s="408"/>
      <c r="L9" s="408"/>
      <c r="M9" s="411"/>
      <c r="N9" s="411"/>
      <c r="O9" s="410"/>
      <c r="P9" s="410"/>
      <c r="Q9" s="410"/>
      <c r="R9" s="410"/>
      <c r="S9" s="410"/>
      <c r="T9" s="410"/>
      <c r="U9" s="410"/>
      <c r="V9" s="410"/>
      <c r="W9" s="357"/>
      <c r="X9" s="357"/>
      <c r="Y9" s="357"/>
      <c r="Z9" s="357"/>
    </row>
    <row r="10" spans="1:26" ht="16.5" customHeight="1" x14ac:dyDescent="0.4">
      <c r="A10" s="407" t="s">
        <v>206</v>
      </c>
      <c r="B10" s="408">
        <v>59.14</v>
      </c>
      <c r="C10" s="408"/>
      <c r="D10" s="408"/>
      <c r="E10" s="411"/>
      <c r="F10" s="411"/>
      <c r="G10" s="408"/>
      <c r="H10" s="408"/>
      <c r="I10" s="411"/>
      <c r="J10" s="411"/>
      <c r="K10" s="408"/>
      <c r="L10" s="408"/>
      <c r="M10" s="411"/>
      <c r="N10" s="411"/>
      <c r="O10" s="410"/>
      <c r="P10" s="410"/>
      <c r="Q10" s="410"/>
      <c r="R10" s="410"/>
      <c r="S10" s="410"/>
      <c r="T10" s="410"/>
      <c r="U10" s="410"/>
      <c r="V10" s="410"/>
      <c r="W10" s="357"/>
      <c r="X10" s="357"/>
      <c r="Y10" s="357"/>
      <c r="Z10" s="357"/>
    </row>
    <row r="11" spans="1:26" ht="16.5" customHeight="1" x14ac:dyDescent="0.4">
      <c r="A11" s="407" t="s">
        <v>207</v>
      </c>
      <c r="B11" s="408">
        <v>58.21</v>
      </c>
      <c r="C11" s="408"/>
      <c r="D11" s="408"/>
      <c r="E11" s="411"/>
      <c r="F11" s="411"/>
      <c r="G11" s="408"/>
      <c r="H11" s="408"/>
      <c r="I11" s="411"/>
      <c r="J11" s="411"/>
      <c r="K11" s="408"/>
      <c r="L11" s="408"/>
      <c r="M11" s="411"/>
      <c r="N11" s="411"/>
      <c r="O11" s="410"/>
      <c r="P11" s="410"/>
      <c r="Q11" s="410"/>
      <c r="R11" s="410"/>
      <c r="S11" s="410"/>
      <c r="T11" s="410"/>
      <c r="U11" s="410"/>
      <c r="V11" s="410"/>
      <c r="W11" s="357"/>
      <c r="X11" s="357"/>
      <c r="Y11" s="357"/>
      <c r="Z11" s="357"/>
    </row>
    <row r="12" spans="1:26" ht="16.5" customHeight="1" x14ac:dyDescent="0.4">
      <c r="A12" s="407" t="s">
        <v>208</v>
      </c>
      <c r="B12" s="408">
        <v>57.39</v>
      </c>
      <c r="C12" s="408"/>
      <c r="D12" s="408"/>
      <c r="E12" s="411"/>
      <c r="F12" s="411"/>
      <c r="G12" s="408"/>
      <c r="H12" s="408"/>
      <c r="I12" s="411"/>
      <c r="J12" s="411"/>
      <c r="K12" s="408"/>
      <c r="L12" s="408"/>
      <c r="M12" s="411"/>
      <c r="N12" s="411"/>
      <c r="O12" s="410"/>
      <c r="P12" s="410"/>
      <c r="Q12" s="410"/>
      <c r="R12" s="410"/>
      <c r="S12" s="410"/>
      <c r="T12" s="410"/>
      <c r="U12" s="410"/>
      <c r="V12" s="410"/>
      <c r="W12" s="357"/>
      <c r="X12" s="357"/>
      <c r="Y12" s="357"/>
      <c r="Z12" s="357"/>
    </row>
    <row r="13" spans="1:26" ht="16.5" customHeight="1" x14ac:dyDescent="0.4">
      <c r="A13" s="407" t="s">
        <v>209</v>
      </c>
      <c r="B13" s="408">
        <v>54.43</v>
      </c>
      <c r="C13" s="408"/>
      <c r="D13" s="408"/>
      <c r="E13" s="411"/>
      <c r="F13" s="411"/>
      <c r="G13" s="408"/>
      <c r="H13" s="408"/>
      <c r="I13" s="411"/>
      <c r="J13" s="411"/>
      <c r="K13" s="408"/>
      <c r="L13" s="408"/>
      <c r="M13" s="411"/>
      <c r="N13" s="411"/>
      <c r="O13" s="410"/>
      <c r="P13" s="410"/>
      <c r="Q13" s="410"/>
      <c r="R13" s="410"/>
      <c r="S13" s="410"/>
      <c r="T13" s="410"/>
      <c r="U13" s="410"/>
      <c r="V13" s="410"/>
      <c r="W13" s="357"/>
      <c r="X13" s="357"/>
      <c r="Y13" s="357"/>
      <c r="Z13" s="357"/>
    </row>
    <row r="14" spans="1:26" ht="16.5" customHeight="1" x14ac:dyDescent="0.4">
      <c r="A14" s="407" t="s">
        <v>210</v>
      </c>
      <c r="B14" s="408">
        <v>53.51</v>
      </c>
      <c r="C14" s="408"/>
      <c r="D14" s="408"/>
      <c r="E14" s="411"/>
      <c r="F14" s="411"/>
      <c r="G14" s="408"/>
      <c r="H14" s="408"/>
      <c r="I14" s="411"/>
      <c r="J14" s="411"/>
      <c r="K14" s="408"/>
      <c r="L14" s="408"/>
      <c r="M14" s="411"/>
      <c r="N14" s="411"/>
      <c r="O14" s="410"/>
      <c r="P14" s="410"/>
      <c r="Q14" s="410"/>
      <c r="R14" s="410"/>
      <c r="S14" s="410"/>
      <c r="T14" s="410"/>
      <c r="U14" s="410"/>
      <c r="V14" s="410"/>
      <c r="W14" s="357"/>
      <c r="X14" s="357"/>
      <c r="Y14" s="357"/>
      <c r="Z14" s="357"/>
    </row>
    <row r="15" spans="1:26" ht="16.5" customHeight="1" x14ac:dyDescent="0.4">
      <c r="A15" s="412" t="s">
        <v>211</v>
      </c>
      <c r="B15" s="413">
        <v>53.2</v>
      </c>
      <c r="C15" s="413"/>
      <c r="D15" s="413"/>
      <c r="E15" s="414">
        <f>MAX(C15:C26)</f>
        <v>0</v>
      </c>
      <c r="F15" s="414">
        <f>MIN(C15:C26)</f>
        <v>0</v>
      </c>
      <c r="G15" s="413"/>
      <c r="H15" s="413"/>
      <c r="I15" s="414">
        <f>MAX(G15:G26)</f>
        <v>0</v>
      </c>
      <c r="J15" s="414">
        <f>MIN(G15:G26)</f>
        <v>0</v>
      </c>
      <c r="K15" s="413"/>
      <c r="L15" s="413"/>
      <c r="M15" s="414">
        <f>MAX(K15:K26)</f>
        <v>0</v>
      </c>
      <c r="N15" s="414">
        <f>MIN(K15:K26)</f>
        <v>0</v>
      </c>
      <c r="O15" s="410"/>
      <c r="P15" s="410"/>
      <c r="Q15" s="410"/>
      <c r="R15" s="410"/>
      <c r="S15" s="410"/>
      <c r="T15" s="410"/>
      <c r="U15" s="410"/>
      <c r="V15" s="410"/>
      <c r="W15" s="357"/>
      <c r="X15" s="357"/>
      <c r="Y15" s="357"/>
      <c r="Z15" s="357"/>
    </row>
    <row r="16" spans="1:26" ht="16.5" customHeight="1" x14ac:dyDescent="0.4">
      <c r="A16" s="412" t="s">
        <v>212</v>
      </c>
      <c r="B16" s="413">
        <v>50.92</v>
      </c>
      <c r="C16" s="413"/>
      <c r="D16" s="413"/>
      <c r="E16" s="415"/>
      <c r="F16" s="415"/>
      <c r="G16" s="413"/>
      <c r="H16" s="413"/>
      <c r="I16" s="415"/>
      <c r="J16" s="415"/>
      <c r="K16" s="413"/>
      <c r="L16" s="413"/>
      <c r="M16" s="415"/>
      <c r="N16" s="415"/>
      <c r="O16" s="410"/>
      <c r="P16" s="410"/>
      <c r="Q16" s="410"/>
      <c r="R16" s="410"/>
      <c r="S16" s="410"/>
      <c r="T16" s="410"/>
      <c r="U16" s="410"/>
      <c r="V16" s="410"/>
      <c r="W16" s="357"/>
      <c r="X16" s="357"/>
      <c r="Y16" s="357"/>
      <c r="Z16" s="357"/>
    </row>
    <row r="17" spans="1:26" ht="16.5" customHeight="1" x14ac:dyDescent="0.4">
      <c r="A17" s="412" t="s">
        <v>213</v>
      </c>
      <c r="B17" s="413">
        <v>51.62</v>
      </c>
      <c r="C17" s="413"/>
      <c r="D17" s="413"/>
      <c r="E17" s="415"/>
      <c r="F17" s="415"/>
      <c r="G17" s="413"/>
      <c r="H17" s="413"/>
      <c r="I17" s="415"/>
      <c r="J17" s="415"/>
      <c r="K17" s="413"/>
      <c r="L17" s="413"/>
      <c r="M17" s="415"/>
      <c r="N17" s="415"/>
      <c r="O17" s="410"/>
      <c r="P17" s="410"/>
      <c r="Q17" s="410"/>
      <c r="R17" s="410"/>
      <c r="S17" s="410"/>
      <c r="T17" s="410"/>
      <c r="U17" s="410"/>
      <c r="V17" s="410"/>
      <c r="W17" s="357"/>
      <c r="X17" s="357"/>
      <c r="Y17" s="357"/>
      <c r="Z17" s="357"/>
    </row>
    <row r="18" spans="1:26" ht="16.5" customHeight="1" x14ac:dyDescent="0.4">
      <c r="A18" s="412" t="s">
        <v>214</v>
      </c>
      <c r="B18" s="413">
        <v>52.32</v>
      </c>
      <c r="C18" s="413"/>
      <c r="D18" s="413"/>
      <c r="E18" s="415"/>
      <c r="F18" s="415"/>
      <c r="G18" s="413"/>
      <c r="H18" s="413"/>
      <c r="I18" s="415"/>
      <c r="J18" s="415"/>
      <c r="K18" s="413"/>
      <c r="L18" s="413"/>
      <c r="M18" s="415"/>
      <c r="N18" s="415"/>
      <c r="O18" s="410"/>
      <c r="P18" s="410"/>
      <c r="Q18" s="410"/>
      <c r="R18" s="410"/>
      <c r="S18" s="410"/>
      <c r="T18" s="410"/>
      <c r="U18" s="410"/>
      <c r="V18" s="410"/>
      <c r="W18" s="357"/>
      <c r="X18" s="357"/>
      <c r="Y18" s="357"/>
      <c r="Z18" s="357"/>
    </row>
    <row r="19" spans="1:26" ht="16.5" customHeight="1" x14ac:dyDescent="0.4">
      <c r="A19" s="412" t="s">
        <v>215</v>
      </c>
      <c r="B19" s="413">
        <v>51.2</v>
      </c>
      <c r="C19" s="413"/>
      <c r="D19" s="413"/>
      <c r="E19" s="415"/>
      <c r="F19" s="415"/>
      <c r="G19" s="413"/>
      <c r="H19" s="413"/>
      <c r="I19" s="415"/>
      <c r="J19" s="415"/>
      <c r="K19" s="413"/>
      <c r="L19" s="413"/>
      <c r="M19" s="415"/>
      <c r="N19" s="415"/>
      <c r="O19" s="410"/>
      <c r="P19" s="410"/>
      <c r="Q19" s="410"/>
      <c r="R19" s="410"/>
      <c r="S19" s="410"/>
      <c r="T19" s="410"/>
      <c r="U19" s="410"/>
      <c r="V19" s="410"/>
      <c r="W19" s="357"/>
      <c r="X19" s="357"/>
      <c r="Y19" s="357"/>
      <c r="Z19" s="357"/>
    </row>
    <row r="20" spans="1:26" ht="16.5" customHeight="1" x14ac:dyDescent="0.4">
      <c r="A20" s="412" t="s">
        <v>216</v>
      </c>
      <c r="B20" s="413">
        <v>51.81</v>
      </c>
      <c r="C20" s="413"/>
      <c r="D20" s="413"/>
      <c r="E20" s="415"/>
      <c r="F20" s="415"/>
      <c r="G20" s="413"/>
      <c r="H20" s="413"/>
      <c r="I20" s="415"/>
      <c r="J20" s="415"/>
      <c r="K20" s="413"/>
      <c r="L20" s="413"/>
      <c r="M20" s="415"/>
      <c r="N20" s="415"/>
      <c r="O20" s="410"/>
      <c r="P20" s="410"/>
      <c r="Q20" s="410"/>
      <c r="R20" s="410"/>
      <c r="S20" s="410"/>
      <c r="T20" s="410"/>
      <c r="U20" s="410"/>
      <c r="V20" s="410"/>
      <c r="W20" s="357"/>
      <c r="X20" s="357"/>
      <c r="Y20" s="357"/>
      <c r="Z20" s="357"/>
    </row>
    <row r="21" spans="1:26" ht="16.5" customHeight="1" x14ac:dyDescent="0.4">
      <c r="A21" s="412" t="s">
        <v>217</v>
      </c>
      <c r="B21" s="413">
        <v>53</v>
      </c>
      <c r="C21" s="413"/>
      <c r="D21" s="413"/>
      <c r="E21" s="415"/>
      <c r="F21" s="415"/>
      <c r="G21" s="413"/>
      <c r="H21" s="413"/>
      <c r="I21" s="415"/>
      <c r="J21" s="415"/>
      <c r="K21" s="413"/>
      <c r="L21" s="413"/>
      <c r="M21" s="415"/>
      <c r="N21" s="415"/>
      <c r="O21" s="410"/>
      <c r="P21" s="410"/>
      <c r="Q21" s="410"/>
      <c r="R21" s="410"/>
      <c r="S21" s="410"/>
      <c r="T21" s="410"/>
      <c r="U21" s="410"/>
      <c r="V21" s="410"/>
      <c r="W21" s="357"/>
      <c r="X21" s="357"/>
      <c r="Y21" s="357"/>
      <c r="Z21" s="357"/>
    </row>
    <row r="22" spans="1:26" ht="16.5" customHeight="1" x14ac:dyDescent="0.4">
      <c r="A22" s="412" t="s">
        <v>218</v>
      </c>
      <c r="B22" s="413">
        <v>58.37</v>
      </c>
      <c r="C22" s="413"/>
      <c r="D22" s="413"/>
      <c r="E22" s="415"/>
      <c r="F22" s="415"/>
      <c r="G22" s="413"/>
      <c r="H22" s="413"/>
      <c r="I22" s="415"/>
      <c r="J22" s="415"/>
      <c r="K22" s="413"/>
      <c r="L22" s="413"/>
      <c r="M22" s="415"/>
      <c r="N22" s="415"/>
      <c r="O22" s="410"/>
      <c r="P22" s="410"/>
      <c r="Q22" s="410"/>
      <c r="R22" s="410"/>
      <c r="S22" s="410"/>
      <c r="T22" s="410"/>
      <c r="U22" s="410"/>
      <c r="V22" s="410"/>
      <c r="W22" s="357"/>
      <c r="X22" s="357"/>
      <c r="Y22" s="357"/>
      <c r="Z22" s="357"/>
    </row>
    <row r="23" spans="1:26" ht="16.5" customHeight="1" x14ac:dyDescent="0.4">
      <c r="A23" s="412" t="s">
        <v>219</v>
      </c>
      <c r="B23" s="413">
        <v>63.93</v>
      </c>
      <c r="C23" s="413"/>
      <c r="D23" s="413"/>
      <c r="E23" s="415"/>
      <c r="F23" s="415"/>
      <c r="G23" s="413"/>
      <c r="H23" s="413"/>
      <c r="I23" s="415"/>
      <c r="J23" s="415"/>
      <c r="K23" s="413"/>
      <c r="L23" s="413"/>
      <c r="M23" s="415"/>
      <c r="N23" s="415"/>
      <c r="O23" s="410"/>
      <c r="P23" s="410"/>
      <c r="Q23" s="410"/>
      <c r="R23" s="410"/>
      <c r="S23" s="410"/>
      <c r="T23" s="410"/>
      <c r="U23" s="410"/>
      <c r="V23" s="410"/>
      <c r="W23" s="357"/>
      <c r="X23" s="357"/>
      <c r="Y23" s="357"/>
      <c r="Z23" s="357"/>
    </row>
    <row r="24" spans="1:26" ht="16.5" customHeight="1" x14ac:dyDescent="0.4">
      <c r="A24" s="412" t="s">
        <v>220</v>
      </c>
      <c r="B24" s="413">
        <v>69.069999999999993</v>
      </c>
      <c r="C24" s="413"/>
      <c r="D24" s="413"/>
      <c r="E24" s="415"/>
      <c r="F24" s="415"/>
      <c r="G24" s="413"/>
      <c r="H24" s="413"/>
      <c r="I24" s="415"/>
      <c r="J24" s="415"/>
      <c r="K24" s="413"/>
      <c r="L24" s="413"/>
      <c r="M24" s="415"/>
      <c r="N24" s="415"/>
      <c r="O24" s="410"/>
      <c r="P24" s="410"/>
      <c r="Q24" s="410"/>
      <c r="R24" s="410"/>
      <c r="S24" s="410"/>
      <c r="T24" s="410"/>
      <c r="U24" s="410"/>
      <c r="V24" s="410"/>
      <c r="W24" s="357"/>
      <c r="X24" s="357"/>
      <c r="Y24" s="357"/>
      <c r="Z24" s="357"/>
    </row>
    <row r="25" spans="1:26" ht="16.5" customHeight="1" x14ac:dyDescent="0.4">
      <c r="A25" s="412" t="s">
        <v>221</v>
      </c>
      <c r="B25" s="413">
        <v>84.89</v>
      </c>
      <c r="C25" s="413"/>
      <c r="D25" s="413"/>
      <c r="E25" s="415"/>
      <c r="F25" s="415"/>
      <c r="G25" s="413"/>
      <c r="H25" s="413"/>
      <c r="I25" s="415"/>
      <c r="J25" s="415"/>
      <c r="K25" s="413"/>
      <c r="L25" s="413"/>
      <c r="M25" s="415"/>
      <c r="N25" s="415"/>
      <c r="O25" s="410"/>
      <c r="P25" s="410"/>
      <c r="Q25" s="410"/>
      <c r="R25" s="410"/>
      <c r="S25" s="410"/>
      <c r="T25" s="410"/>
      <c r="U25" s="410"/>
      <c r="V25" s="410"/>
      <c r="W25" s="357"/>
      <c r="X25" s="357"/>
      <c r="Y25" s="357"/>
      <c r="Z25" s="357"/>
    </row>
    <row r="26" spans="1:26" ht="16.5" customHeight="1" x14ac:dyDescent="0.4">
      <c r="A26" s="412" t="s">
        <v>222</v>
      </c>
      <c r="B26" s="413">
        <v>101.69</v>
      </c>
      <c r="C26" s="413"/>
      <c r="D26" s="413"/>
      <c r="E26" s="415"/>
      <c r="F26" s="414"/>
      <c r="G26" s="413"/>
      <c r="H26" s="413"/>
      <c r="I26" s="415"/>
      <c r="J26" s="414"/>
      <c r="K26" s="413"/>
      <c r="L26" s="413"/>
      <c r="M26" s="415"/>
      <c r="N26" s="414"/>
      <c r="O26" s="410"/>
      <c r="P26" s="410"/>
      <c r="Q26" s="410"/>
      <c r="R26" s="410"/>
      <c r="S26" s="410"/>
      <c r="T26" s="410"/>
      <c r="U26" s="410"/>
      <c r="V26" s="410"/>
      <c r="W26" s="357"/>
      <c r="X26" s="357"/>
      <c r="Y26" s="357"/>
      <c r="Z26" s="357"/>
    </row>
    <row r="27" spans="1:26" ht="16.5" customHeight="1" x14ac:dyDescent="0.4">
      <c r="A27" s="416" t="s">
        <v>223</v>
      </c>
      <c r="B27" s="417">
        <v>86.23</v>
      </c>
      <c r="C27" s="417"/>
      <c r="D27" s="417"/>
      <c r="E27" s="418">
        <f>MAX(C27:C38)</f>
        <v>0</v>
      </c>
      <c r="F27" s="418">
        <f>MIN(C27:C38)</f>
        <v>0</v>
      </c>
      <c r="G27" s="417"/>
      <c r="H27" s="417"/>
      <c r="I27" s="418">
        <f>MAX(G27:G38)</f>
        <v>0</v>
      </c>
      <c r="J27" s="418">
        <f>MIN(G27:G38)</f>
        <v>0</v>
      </c>
      <c r="K27" s="417"/>
      <c r="L27" s="417"/>
      <c r="M27" s="418">
        <f>MAX(K27:K38)</f>
        <v>0</v>
      </c>
      <c r="N27" s="418">
        <f>MIN(K27:K38)</f>
        <v>0</v>
      </c>
      <c r="O27" s="410"/>
      <c r="P27" s="410"/>
      <c r="Q27" s="410"/>
      <c r="R27" s="410"/>
      <c r="S27" s="410"/>
      <c r="T27" s="410"/>
      <c r="U27" s="410"/>
      <c r="V27" s="410"/>
      <c r="W27" s="357"/>
      <c r="X27" s="357"/>
      <c r="Y27" s="357"/>
      <c r="Z27" s="357"/>
    </row>
    <row r="28" spans="1:26" ht="16.5" customHeight="1" x14ac:dyDescent="0.4">
      <c r="A28" s="416" t="s">
        <v>224</v>
      </c>
      <c r="B28" s="417">
        <v>83.32</v>
      </c>
      <c r="C28" s="417"/>
      <c r="D28" s="417"/>
      <c r="E28" s="419"/>
      <c r="F28" s="419"/>
      <c r="G28" s="417"/>
      <c r="H28" s="417"/>
      <c r="I28" s="419"/>
      <c r="J28" s="419"/>
      <c r="K28" s="417"/>
      <c r="L28" s="417"/>
      <c r="M28" s="419"/>
      <c r="N28" s="419"/>
      <c r="O28" s="410"/>
      <c r="P28" s="410"/>
      <c r="Q28" s="410"/>
      <c r="R28" s="410"/>
      <c r="S28" s="410"/>
      <c r="T28" s="410"/>
      <c r="U28" s="410"/>
      <c r="V28" s="410"/>
      <c r="W28" s="357"/>
      <c r="X28" s="357"/>
      <c r="Y28" s="357"/>
      <c r="Z28" s="357"/>
    </row>
    <row r="29" spans="1:26" ht="16.5" customHeight="1" x14ac:dyDescent="0.4">
      <c r="A29" s="416" t="s">
        <v>225</v>
      </c>
      <c r="B29" s="417">
        <v>81.900000000000006</v>
      </c>
      <c r="C29" s="417"/>
      <c r="D29" s="417"/>
      <c r="E29" s="419"/>
      <c r="F29" s="419"/>
      <c r="G29" s="417"/>
      <c r="H29" s="417"/>
      <c r="I29" s="419"/>
      <c r="J29" s="419"/>
      <c r="K29" s="417"/>
      <c r="L29" s="417"/>
      <c r="M29" s="419"/>
      <c r="N29" s="419"/>
      <c r="O29" s="410"/>
      <c r="P29" s="410"/>
      <c r="Q29" s="410"/>
      <c r="R29" s="410"/>
      <c r="S29" s="410"/>
      <c r="T29" s="410"/>
      <c r="U29" s="410"/>
      <c r="V29" s="410"/>
      <c r="W29" s="357"/>
      <c r="X29" s="357"/>
      <c r="Y29" s="357"/>
      <c r="Z29" s="357"/>
    </row>
    <row r="30" spans="1:26" ht="16.5" customHeight="1" x14ac:dyDescent="0.4">
      <c r="A30" s="416" t="s">
        <v>226</v>
      </c>
      <c r="B30" s="417">
        <v>82.51</v>
      </c>
      <c r="C30" s="417"/>
      <c r="D30" s="417"/>
      <c r="E30" s="419"/>
      <c r="F30" s="419"/>
      <c r="G30" s="417"/>
      <c r="H30" s="417"/>
      <c r="I30" s="419"/>
      <c r="J30" s="419"/>
      <c r="K30" s="417"/>
      <c r="L30" s="417"/>
      <c r="M30" s="419"/>
      <c r="N30" s="419"/>
      <c r="O30" s="410"/>
      <c r="P30" s="410"/>
      <c r="Q30" s="410"/>
      <c r="R30" s="410"/>
      <c r="S30" s="410"/>
      <c r="T30" s="410"/>
      <c r="U30" s="410"/>
      <c r="V30" s="410"/>
      <c r="W30" s="357"/>
      <c r="X30" s="357"/>
      <c r="Y30" s="357"/>
      <c r="Z30" s="357"/>
    </row>
    <row r="31" spans="1:26" ht="16.5" customHeight="1" x14ac:dyDescent="0.4">
      <c r="A31" s="416" t="s">
        <v>227</v>
      </c>
      <c r="B31" s="417">
        <v>83.81</v>
      </c>
      <c r="C31" s="417"/>
      <c r="D31" s="417"/>
      <c r="E31" s="419"/>
      <c r="F31" s="419"/>
      <c r="G31" s="417"/>
      <c r="H31" s="417"/>
      <c r="I31" s="419"/>
      <c r="J31" s="419"/>
      <c r="K31" s="417"/>
      <c r="L31" s="417"/>
      <c r="M31" s="419"/>
      <c r="N31" s="419"/>
      <c r="O31" s="410"/>
      <c r="P31" s="410"/>
      <c r="Q31" s="410"/>
      <c r="R31" s="410"/>
      <c r="S31" s="410"/>
      <c r="T31" s="410"/>
      <c r="U31" s="410"/>
      <c r="V31" s="410"/>
      <c r="W31" s="357"/>
      <c r="X31" s="357"/>
      <c r="Y31" s="357"/>
      <c r="Z31" s="357"/>
    </row>
    <row r="32" spans="1:26" ht="16.5" customHeight="1" x14ac:dyDescent="0.4">
      <c r="A32" s="416" t="s">
        <v>228</v>
      </c>
      <c r="B32" s="417">
        <v>75.459999999999994</v>
      </c>
      <c r="C32" s="417"/>
      <c r="D32" s="417"/>
      <c r="E32" s="419"/>
      <c r="F32" s="419"/>
      <c r="G32" s="417"/>
      <c r="H32" s="417"/>
      <c r="I32" s="419"/>
      <c r="J32" s="419"/>
      <c r="K32" s="417"/>
      <c r="L32" s="417"/>
      <c r="M32" s="419"/>
      <c r="N32" s="419"/>
      <c r="O32" s="410"/>
      <c r="P32" s="410"/>
      <c r="Q32" s="410"/>
      <c r="R32" s="410"/>
      <c r="S32" s="410"/>
      <c r="T32" s="410"/>
      <c r="U32" s="410"/>
      <c r="V32" s="410"/>
      <c r="W32" s="357"/>
      <c r="X32" s="357"/>
      <c r="Y32" s="357"/>
      <c r="Z32" s="357"/>
    </row>
    <row r="33" spans="1:26" ht="16.5" customHeight="1" x14ac:dyDescent="0.4">
      <c r="A33" s="416" t="s">
        <v>229</v>
      </c>
      <c r="B33" s="417">
        <v>78.95</v>
      </c>
      <c r="C33" s="417"/>
      <c r="D33" s="417"/>
      <c r="E33" s="419"/>
      <c r="F33" s="419"/>
      <c r="G33" s="417"/>
      <c r="H33" s="417"/>
      <c r="I33" s="419"/>
      <c r="J33" s="419"/>
      <c r="K33" s="417"/>
      <c r="L33" s="417"/>
      <c r="M33" s="419"/>
      <c r="N33" s="419"/>
      <c r="O33" s="410"/>
      <c r="P33" s="410"/>
      <c r="Q33" s="410"/>
      <c r="R33" s="410"/>
      <c r="S33" s="410"/>
      <c r="T33" s="410"/>
      <c r="U33" s="410"/>
      <c r="V33" s="410"/>
      <c r="W33" s="357"/>
      <c r="X33" s="357"/>
      <c r="Y33" s="357"/>
      <c r="Z33" s="357"/>
    </row>
    <row r="34" spans="1:26" ht="16.5" customHeight="1" x14ac:dyDescent="0.4">
      <c r="A34" s="416" t="s">
        <v>230</v>
      </c>
      <c r="B34" s="417">
        <v>83.97</v>
      </c>
      <c r="C34" s="417"/>
      <c r="D34" s="417"/>
      <c r="E34" s="419"/>
      <c r="F34" s="419"/>
      <c r="G34" s="417"/>
      <c r="H34" s="417"/>
      <c r="I34" s="419"/>
      <c r="J34" s="419"/>
      <c r="K34" s="417"/>
      <c r="L34" s="417"/>
      <c r="M34" s="419"/>
      <c r="N34" s="419"/>
      <c r="O34" s="410"/>
      <c r="P34" s="410"/>
      <c r="Q34" s="410"/>
      <c r="R34" s="410"/>
      <c r="S34" s="410"/>
      <c r="T34" s="410"/>
      <c r="U34" s="410"/>
      <c r="V34" s="410"/>
      <c r="W34" s="357"/>
      <c r="X34" s="357"/>
      <c r="Y34" s="357"/>
      <c r="Z34" s="357"/>
    </row>
    <row r="35" spans="1:26" ht="16.5" customHeight="1" x14ac:dyDescent="0.4">
      <c r="A35" s="416" t="s">
        <v>231</v>
      </c>
      <c r="B35" s="417">
        <v>92.03</v>
      </c>
      <c r="C35" s="417"/>
      <c r="D35" s="417"/>
      <c r="E35" s="419"/>
      <c r="F35" s="419"/>
      <c r="G35" s="417"/>
      <c r="H35" s="417"/>
      <c r="I35" s="419"/>
      <c r="J35" s="419"/>
      <c r="K35" s="417"/>
      <c r="L35" s="417"/>
      <c r="M35" s="419"/>
      <c r="N35" s="419"/>
      <c r="O35" s="410"/>
      <c r="P35" s="410"/>
      <c r="Q35" s="410"/>
      <c r="R35" s="410"/>
      <c r="S35" s="410"/>
      <c r="T35" s="410"/>
      <c r="U35" s="410"/>
      <c r="V35" s="410"/>
      <c r="W35" s="357"/>
      <c r="X35" s="357"/>
      <c r="Y35" s="357"/>
      <c r="Z35" s="357"/>
    </row>
    <row r="36" spans="1:26" ht="16.5" customHeight="1" x14ac:dyDescent="0.4">
      <c r="A36" s="416" t="s">
        <v>232</v>
      </c>
      <c r="B36" s="417">
        <v>93.99</v>
      </c>
      <c r="C36" s="417"/>
      <c r="D36" s="417"/>
      <c r="E36" s="419"/>
      <c r="F36" s="419"/>
      <c r="G36" s="417"/>
      <c r="H36" s="417"/>
      <c r="I36" s="419"/>
      <c r="J36" s="419"/>
      <c r="K36" s="417"/>
      <c r="L36" s="417"/>
      <c r="M36" s="419"/>
      <c r="N36" s="419"/>
      <c r="O36" s="410"/>
      <c r="P36" s="410"/>
      <c r="Q36" s="410"/>
      <c r="R36" s="410"/>
      <c r="S36" s="410"/>
      <c r="T36" s="410"/>
      <c r="U36" s="410"/>
      <c r="V36" s="410"/>
      <c r="W36" s="357"/>
      <c r="X36" s="357"/>
      <c r="Y36" s="357"/>
      <c r="Z36" s="357"/>
    </row>
    <row r="37" spans="1:26" ht="16.5" customHeight="1" x14ac:dyDescent="0.4">
      <c r="A37" s="416" t="s">
        <v>233</v>
      </c>
      <c r="B37" s="417">
        <v>94.8</v>
      </c>
      <c r="C37" s="417"/>
      <c r="D37" s="417"/>
      <c r="E37" s="419"/>
      <c r="F37" s="419"/>
      <c r="G37" s="417"/>
      <c r="H37" s="417"/>
      <c r="I37" s="419"/>
      <c r="J37" s="419"/>
      <c r="K37" s="417"/>
      <c r="L37" s="417"/>
      <c r="M37" s="419"/>
      <c r="N37" s="419"/>
      <c r="O37" s="410"/>
      <c r="P37" s="410"/>
      <c r="Q37" s="410"/>
      <c r="R37" s="410"/>
      <c r="S37" s="410"/>
      <c r="T37" s="410"/>
      <c r="U37" s="410"/>
      <c r="V37" s="410"/>
      <c r="W37" s="357"/>
      <c r="X37" s="357"/>
      <c r="Y37" s="357"/>
      <c r="Z37" s="357"/>
    </row>
    <row r="38" spans="1:26" ht="16.5" customHeight="1" x14ac:dyDescent="0.4">
      <c r="A38" s="416" t="s">
        <v>234</v>
      </c>
      <c r="B38" s="417">
        <v>94.04</v>
      </c>
      <c r="C38" s="417"/>
      <c r="D38" s="417"/>
      <c r="E38" s="419"/>
      <c r="F38" s="418"/>
      <c r="G38" s="417"/>
      <c r="H38" s="417"/>
      <c r="I38" s="419"/>
      <c r="J38" s="418"/>
      <c r="K38" s="417"/>
      <c r="L38" s="417"/>
      <c r="M38" s="419"/>
      <c r="N38" s="418"/>
      <c r="O38" s="410"/>
      <c r="P38" s="410"/>
      <c r="Q38" s="410"/>
      <c r="R38" s="410"/>
      <c r="S38" s="410"/>
      <c r="T38" s="410"/>
      <c r="U38" s="410"/>
      <c r="V38" s="410"/>
      <c r="W38" s="357"/>
      <c r="X38" s="357"/>
      <c r="Y38" s="357"/>
      <c r="Z38" s="357"/>
    </row>
    <row r="39" spans="1:26" ht="16.5" customHeight="1" x14ac:dyDescent="0.4">
      <c r="A39" s="420" t="s">
        <v>235</v>
      </c>
      <c r="B39" s="421">
        <v>95.54</v>
      </c>
      <c r="C39" s="421"/>
      <c r="D39" s="421"/>
      <c r="E39" s="422">
        <f>MAX(C39:C50)</f>
        <v>0</v>
      </c>
      <c r="F39" s="422">
        <f>MIN(C39:C50)</f>
        <v>0</v>
      </c>
      <c r="G39" s="421"/>
      <c r="H39" s="421"/>
      <c r="I39" s="422">
        <f>MAX(G39:G50)</f>
        <v>0</v>
      </c>
      <c r="J39" s="422">
        <f>MIN(G39:G50)</f>
        <v>0</v>
      </c>
      <c r="K39" s="421"/>
      <c r="L39" s="421"/>
      <c r="M39" s="422">
        <f>MAX(K39:K50)</f>
        <v>0</v>
      </c>
      <c r="N39" s="422">
        <f>MIN(K39:K50)</f>
        <v>0</v>
      </c>
      <c r="O39" s="410"/>
      <c r="P39" s="410"/>
      <c r="Q39" s="410"/>
      <c r="R39" s="410"/>
      <c r="S39" s="410"/>
      <c r="T39" s="410"/>
      <c r="U39" s="410"/>
      <c r="V39" s="410"/>
      <c r="W39" s="357"/>
      <c r="X39" s="357"/>
      <c r="Y39" s="357"/>
      <c r="Z39" s="357"/>
    </row>
    <row r="40" spans="1:26" ht="16.5" customHeight="1" x14ac:dyDescent="0.4">
      <c r="A40" s="423" t="s">
        <v>236</v>
      </c>
      <c r="B40" s="421">
        <v>100.69</v>
      </c>
      <c r="C40" s="421"/>
      <c r="D40" s="421"/>
      <c r="E40" s="424"/>
      <c r="F40" s="424"/>
      <c r="G40" s="421"/>
      <c r="H40" s="421"/>
      <c r="I40" s="424"/>
      <c r="J40" s="424"/>
      <c r="K40" s="421"/>
      <c r="L40" s="421"/>
      <c r="M40" s="424"/>
      <c r="N40" s="424"/>
      <c r="O40" s="410"/>
      <c r="P40" s="410"/>
      <c r="Q40" s="410"/>
      <c r="R40" s="410"/>
      <c r="S40" s="410"/>
      <c r="T40" s="410"/>
      <c r="U40" s="410"/>
      <c r="V40" s="410"/>
      <c r="W40" s="357"/>
      <c r="X40" s="357"/>
      <c r="Y40" s="357"/>
      <c r="Z40" s="357"/>
    </row>
    <row r="41" spans="1:26" ht="16.5" customHeight="1" x14ac:dyDescent="0.4">
      <c r="A41" s="423" t="s">
        <v>237</v>
      </c>
      <c r="B41" s="421">
        <v>101.86</v>
      </c>
      <c r="C41" s="421"/>
      <c r="D41" s="421"/>
      <c r="E41" s="424"/>
      <c r="F41" s="424"/>
      <c r="G41" s="421"/>
      <c r="H41" s="421"/>
      <c r="I41" s="424"/>
      <c r="J41" s="424"/>
      <c r="K41" s="421"/>
      <c r="L41" s="421"/>
      <c r="M41" s="424"/>
      <c r="N41" s="424"/>
      <c r="O41" s="410"/>
      <c r="P41" s="410"/>
      <c r="Q41" s="410"/>
      <c r="R41" s="410"/>
      <c r="S41" s="410"/>
      <c r="T41" s="410"/>
      <c r="U41" s="410"/>
      <c r="V41" s="410"/>
      <c r="W41" s="357"/>
      <c r="X41" s="357"/>
      <c r="Y41" s="357"/>
      <c r="Z41" s="357"/>
    </row>
    <row r="42" spans="1:26" ht="16.5" customHeight="1" x14ac:dyDescent="0.4">
      <c r="A42" s="423" t="s">
        <v>238</v>
      </c>
      <c r="B42" s="421">
        <v>94.75</v>
      </c>
      <c r="C42" s="421"/>
      <c r="D42" s="421"/>
      <c r="E42" s="424"/>
      <c r="F42" s="424"/>
      <c r="G42" s="421"/>
      <c r="H42" s="421"/>
      <c r="I42" s="424"/>
      <c r="J42" s="424"/>
      <c r="K42" s="421"/>
      <c r="L42" s="421"/>
      <c r="M42" s="424"/>
      <c r="N42" s="424"/>
      <c r="O42" s="410"/>
      <c r="P42" s="410"/>
      <c r="Q42" s="410"/>
      <c r="R42" s="410"/>
      <c r="S42" s="410"/>
      <c r="T42" s="410"/>
      <c r="U42" s="410"/>
      <c r="V42" s="410"/>
      <c r="W42" s="357"/>
      <c r="X42" s="357"/>
      <c r="Y42" s="357"/>
      <c r="Z42" s="357"/>
    </row>
    <row r="43" spans="1:26" ht="16.5" customHeight="1" x14ac:dyDescent="0.4">
      <c r="A43" s="423" t="s">
        <v>239</v>
      </c>
      <c r="B43" s="421">
        <v>89.53</v>
      </c>
      <c r="C43" s="421"/>
      <c r="D43" s="421"/>
      <c r="E43" s="424"/>
      <c r="F43" s="424"/>
      <c r="G43" s="421"/>
      <c r="H43" s="421"/>
      <c r="I43" s="424"/>
      <c r="J43" s="424"/>
      <c r="K43" s="421"/>
      <c r="L43" s="421"/>
      <c r="M43" s="424"/>
      <c r="N43" s="424"/>
      <c r="O43" s="410"/>
      <c r="P43" s="410"/>
      <c r="Q43" s="410"/>
      <c r="R43" s="410"/>
      <c r="S43" s="410"/>
      <c r="T43" s="410"/>
      <c r="U43" s="410"/>
      <c r="V43" s="410"/>
      <c r="W43" s="357"/>
      <c r="X43" s="357"/>
      <c r="Y43" s="357"/>
      <c r="Z43" s="357"/>
    </row>
    <row r="44" spans="1:26" ht="16.5" customHeight="1" x14ac:dyDescent="0.4">
      <c r="A44" s="423" t="s">
        <v>240</v>
      </c>
      <c r="B44" s="421">
        <v>96.61</v>
      </c>
      <c r="C44" s="421"/>
      <c r="D44" s="421"/>
      <c r="E44" s="424"/>
      <c r="F44" s="424"/>
      <c r="G44" s="421"/>
      <c r="H44" s="421"/>
      <c r="I44" s="424"/>
      <c r="J44" s="424"/>
      <c r="K44" s="421"/>
      <c r="L44" s="421"/>
      <c r="M44" s="424"/>
      <c r="N44" s="424"/>
      <c r="O44" s="410"/>
      <c r="P44" s="410"/>
      <c r="Q44" s="410"/>
      <c r="R44" s="410"/>
      <c r="S44" s="410"/>
      <c r="T44" s="410"/>
      <c r="U44" s="410"/>
      <c r="V44" s="410"/>
      <c r="W44" s="357"/>
      <c r="X44" s="357"/>
      <c r="Y44" s="357"/>
      <c r="Z44" s="357"/>
    </row>
    <row r="45" spans="1:26" ht="16.5" customHeight="1" x14ac:dyDescent="0.4">
      <c r="A45" s="423" t="s">
        <v>241</v>
      </c>
      <c r="B45" s="421">
        <v>104.65</v>
      </c>
      <c r="C45" s="421"/>
      <c r="D45" s="421"/>
      <c r="E45" s="424"/>
      <c r="F45" s="424"/>
      <c r="G45" s="421"/>
      <c r="H45" s="421"/>
      <c r="I45" s="424"/>
      <c r="J45" s="424"/>
      <c r="K45" s="421"/>
      <c r="L45" s="421"/>
      <c r="M45" s="424"/>
      <c r="N45" s="424"/>
      <c r="O45" s="410"/>
      <c r="P45" s="410"/>
      <c r="Q45" s="410"/>
      <c r="R45" s="410"/>
      <c r="S45" s="410"/>
      <c r="T45" s="410"/>
      <c r="U45" s="410"/>
      <c r="V45" s="410"/>
      <c r="W45" s="357"/>
      <c r="X45" s="357"/>
      <c r="Y45" s="357"/>
      <c r="Z45" s="357"/>
    </row>
    <row r="46" spans="1:26" ht="16.5" customHeight="1" x14ac:dyDescent="0.4">
      <c r="A46" s="423" t="s">
        <v>242</v>
      </c>
      <c r="B46" s="421">
        <v>107.83</v>
      </c>
      <c r="C46" s="421"/>
      <c r="D46" s="421"/>
      <c r="E46" s="424"/>
      <c r="F46" s="424"/>
      <c r="G46" s="421"/>
      <c r="H46" s="421"/>
      <c r="I46" s="424"/>
      <c r="J46" s="424"/>
      <c r="K46" s="421"/>
      <c r="L46" s="421"/>
      <c r="M46" s="424"/>
      <c r="N46" s="424"/>
      <c r="O46" s="410"/>
      <c r="P46" s="410"/>
      <c r="Q46" s="410"/>
      <c r="R46" s="410"/>
      <c r="S46" s="410"/>
      <c r="T46" s="410"/>
      <c r="U46" s="410"/>
      <c r="V46" s="410"/>
      <c r="W46" s="357"/>
      <c r="X46" s="357"/>
      <c r="Y46" s="357"/>
      <c r="Z46" s="357"/>
    </row>
    <row r="47" spans="1:26" ht="16.5" customHeight="1" x14ac:dyDescent="0.4">
      <c r="A47" s="423" t="s">
        <v>243</v>
      </c>
      <c r="B47" s="421">
        <v>104.81</v>
      </c>
      <c r="C47" s="421"/>
      <c r="D47" s="421"/>
      <c r="E47" s="424"/>
      <c r="F47" s="424"/>
      <c r="G47" s="421"/>
      <c r="H47" s="421"/>
      <c r="I47" s="424"/>
      <c r="J47" s="424"/>
      <c r="K47" s="421"/>
      <c r="L47" s="421"/>
      <c r="M47" s="424"/>
      <c r="N47" s="424"/>
      <c r="O47" s="410"/>
      <c r="P47" s="410"/>
      <c r="Q47" s="410"/>
      <c r="R47" s="410"/>
      <c r="S47" s="410"/>
      <c r="T47" s="410"/>
      <c r="U47" s="410"/>
      <c r="V47" s="410"/>
      <c r="W47" s="357"/>
      <c r="X47" s="357"/>
      <c r="Y47" s="357"/>
      <c r="Z47" s="357"/>
    </row>
    <row r="48" spans="1:26" ht="16.5" customHeight="1" x14ac:dyDescent="0.4">
      <c r="A48" s="423" t="s">
        <v>244</v>
      </c>
      <c r="B48" s="421">
        <v>100.89</v>
      </c>
      <c r="C48" s="421"/>
      <c r="D48" s="421"/>
      <c r="E48" s="424"/>
      <c r="F48" s="424"/>
      <c r="G48" s="421"/>
      <c r="H48" s="421"/>
      <c r="I48" s="424"/>
      <c r="J48" s="424"/>
      <c r="K48" s="421"/>
      <c r="L48" s="421"/>
      <c r="M48" s="424"/>
      <c r="N48" s="424"/>
      <c r="O48" s="410"/>
      <c r="P48" s="410"/>
      <c r="Q48" s="410"/>
      <c r="R48" s="410"/>
      <c r="S48" s="410"/>
      <c r="T48" s="410"/>
      <c r="U48" s="410"/>
      <c r="V48" s="410"/>
      <c r="W48" s="357"/>
      <c r="X48" s="357"/>
      <c r="Y48" s="357"/>
      <c r="Z48" s="357"/>
    </row>
    <row r="49" spans="1:26" ht="16.5" customHeight="1" x14ac:dyDescent="0.4">
      <c r="A49" s="425">
        <v>43422</v>
      </c>
      <c r="B49" s="421">
        <v>97.9</v>
      </c>
      <c r="C49" s="421"/>
      <c r="D49" s="421"/>
      <c r="E49" s="424"/>
      <c r="F49" s="424"/>
      <c r="G49" s="421"/>
      <c r="H49" s="421"/>
      <c r="I49" s="424"/>
      <c r="J49" s="424"/>
      <c r="K49" s="421"/>
      <c r="L49" s="421"/>
      <c r="M49" s="424"/>
      <c r="N49" s="424"/>
      <c r="O49" s="410"/>
      <c r="P49" s="410"/>
      <c r="Q49" s="410"/>
      <c r="R49" s="410"/>
      <c r="S49" s="410"/>
      <c r="T49" s="410"/>
      <c r="U49" s="410"/>
      <c r="V49" s="410"/>
      <c r="W49" s="357"/>
      <c r="X49" s="357"/>
      <c r="Y49" s="357"/>
      <c r="Z49" s="357"/>
    </row>
    <row r="50" spans="1:26" ht="16.5" customHeight="1" x14ac:dyDescent="0.4">
      <c r="A50" s="423" t="s">
        <v>245</v>
      </c>
      <c r="B50" s="421">
        <v>92.51</v>
      </c>
      <c r="C50" s="421"/>
      <c r="D50" s="421"/>
      <c r="E50" s="424"/>
      <c r="F50" s="424"/>
      <c r="G50" s="421"/>
      <c r="H50" s="421"/>
      <c r="I50" s="424"/>
      <c r="J50" s="424"/>
      <c r="K50" s="421"/>
      <c r="L50" s="421"/>
      <c r="M50" s="424"/>
      <c r="N50" s="424"/>
      <c r="O50" s="410"/>
      <c r="P50" s="410"/>
      <c r="Q50" s="410"/>
      <c r="R50" s="410"/>
      <c r="S50" s="410"/>
      <c r="T50" s="410"/>
      <c r="U50" s="410"/>
      <c r="V50" s="410"/>
      <c r="W50" s="357"/>
      <c r="X50" s="357"/>
      <c r="Y50" s="357"/>
      <c r="Z50" s="357"/>
    </row>
    <row r="51" spans="1:26" ht="16.5" customHeight="1" x14ac:dyDescent="0.4">
      <c r="A51" s="420" t="s">
        <v>246</v>
      </c>
      <c r="B51" s="421">
        <v>92.41</v>
      </c>
      <c r="C51" s="421"/>
      <c r="D51" s="421"/>
      <c r="E51" s="422">
        <f>MAX(C51:C62)</f>
        <v>0</v>
      </c>
      <c r="F51" s="422">
        <f>MIN(C51:C62)</f>
        <v>0</v>
      </c>
      <c r="G51" s="421"/>
      <c r="H51" s="421"/>
      <c r="I51" s="422">
        <f>MAX(G51:G62)</f>
        <v>0</v>
      </c>
      <c r="J51" s="422">
        <f>MIN(G51:G62)</f>
        <v>0</v>
      </c>
      <c r="K51" s="421"/>
      <c r="L51" s="421"/>
      <c r="M51" s="422">
        <f>MAX(K51:K62)</f>
        <v>0</v>
      </c>
      <c r="N51" s="422">
        <f>MIN(K51:K62)</f>
        <v>0</v>
      </c>
      <c r="O51" s="410"/>
      <c r="P51" s="410"/>
      <c r="Q51" s="410"/>
      <c r="R51" s="410"/>
      <c r="S51" s="410"/>
      <c r="T51" s="410"/>
      <c r="U51" s="410"/>
      <c r="V51" s="410"/>
      <c r="W51" s="357"/>
      <c r="X51" s="357"/>
      <c r="Y51" s="357"/>
      <c r="Z51" s="357"/>
    </row>
    <row r="52" spans="1:26" ht="16.5" customHeight="1" x14ac:dyDescent="0.4">
      <c r="A52" s="423" t="s">
        <v>247</v>
      </c>
      <c r="B52" s="421">
        <v>91.8</v>
      </c>
      <c r="C52" s="421"/>
      <c r="D52" s="421"/>
      <c r="E52" s="424"/>
      <c r="F52" s="424"/>
      <c r="G52" s="421"/>
      <c r="H52" s="421"/>
      <c r="I52" s="424"/>
      <c r="J52" s="424"/>
      <c r="K52" s="421"/>
      <c r="L52" s="421"/>
      <c r="M52" s="424"/>
      <c r="N52" s="424"/>
      <c r="O52" s="410"/>
      <c r="P52" s="410"/>
      <c r="Q52" s="410"/>
      <c r="R52" s="410"/>
      <c r="S52" s="410"/>
      <c r="T52" s="410"/>
      <c r="U52" s="410"/>
      <c r="V52" s="410"/>
      <c r="W52" s="357"/>
      <c r="X52" s="357"/>
      <c r="Y52" s="357"/>
      <c r="Z52" s="357"/>
    </row>
    <row r="53" spans="1:26" ht="16.5" customHeight="1" x14ac:dyDescent="0.4">
      <c r="A53" s="423" t="s">
        <v>248</v>
      </c>
      <c r="B53" s="421">
        <v>90.57</v>
      </c>
      <c r="C53" s="421"/>
      <c r="D53" s="421"/>
      <c r="E53" s="424"/>
      <c r="F53" s="424"/>
      <c r="G53" s="421"/>
      <c r="H53" s="421"/>
      <c r="I53" s="424"/>
      <c r="J53" s="424"/>
      <c r="K53" s="421"/>
      <c r="L53" s="421"/>
      <c r="M53" s="424"/>
      <c r="N53" s="424"/>
      <c r="O53" s="410"/>
      <c r="P53" s="410"/>
      <c r="Q53" s="410"/>
      <c r="R53" s="410"/>
      <c r="S53" s="410"/>
      <c r="T53" s="410"/>
      <c r="U53" s="410"/>
      <c r="V53" s="410"/>
      <c r="W53" s="357"/>
      <c r="X53" s="357"/>
      <c r="Y53" s="357"/>
      <c r="Z53" s="357"/>
    </row>
    <row r="54" spans="1:26" ht="16.5" customHeight="1" x14ac:dyDescent="0.4">
      <c r="A54" s="423" t="s">
        <v>249</v>
      </c>
      <c r="B54" s="421">
        <v>88.85</v>
      </c>
      <c r="C54" s="421"/>
      <c r="D54" s="421"/>
      <c r="E54" s="424"/>
      <c r="F54" s="424"/>
      <c r="G54" s="421"/>
      <c r="H54" s="421"/>
      <c r="I54" s="424"/>
      <c r="J54" s="424"/>
      <c r="K54" s="421"/>
      <c r="L54" s="421"/>
      <c r="M54" s="424"/>
      <c r="N54" s="424"/>
      <c r="O54" s="410"/>
      <c r="P54" s="410"/>
      <c r="Q54" s="410"/>
      <c r="R54" s="410"/>
      <c r="S54" s="410"/>
      <c r="T54" s="410"/>
      <c r="U54" s="410"/>
      <c r="V54" s="410"/>
      <c r="W54" s="357"/>
      <c r="X54" s="357"/>
      <c r="Y54" s="357"/>
      <c r="Z54" s="357"/>
    </row>
    <row r="55" spans="1:26" ht="16.5" customHeight="1" x14ac:dyDescent="0.4">
      <c r="A55" s="423" t="s">
        <v>250</v>
      </c>
      <c r="B55" s="421">
        <v>81.86</v>
      </c>
      <c r="C55" s="421"/>
      <c r="D55" s="421"/>
      <c r="E55" s="424"/>
      <c r="F55" s="424"/>
      <c r="G55" s="421"/>
      <c r="H55" s="421"/>
      <c r="I55" s="424"/>
      <c r="J55" s="424"/>
      <c r="K55" s="421"/>
      <c r="L55" s="421"/>
      <c r="M55" s="424"/>
      <c r="N55" s="424"/>
      <c r="O55" s="410"/>
      <c r="P55" s="410"/>
      <c r="Q55" s="410"/>
      <c r="R55" s="410"/>
      <c r="S55" s="410"/>
      <c r="T55" s="410"/>
      <c r="U55" s="410"/>
      <c r="V55" s="410"/>
      <c r="W55" s="357"/>
      <c r="X55" s="357"/>
      <c r="Y55" s="357"/>
      <c r="Z55" s="357"/>
    </row>
    <row r="56" spans="1:26" ht="16.5" customHeight="1" x14ac:dyDescent="0.4">
      <c r="A56" s="423" t="s">
        <v>251</v>
      </c>
      <c r="B56" s="421">
        <v>81.48</v>
      </c>
      <c r="C56" s="421"/>
      <c r="D56" s="421"/>
      <c r="E56" s="424"/>
      <c r="F56" s="424"/>
      <c r="G56" s="421"/>
      <c r="H56" s="421"/>
      <c r="I56" s="424"/>
      <c r="J56" s="424"/>
      <c r="K56" s="421"/>
      <c r="L56" s="421"/>
      <c r="M56" s="424"/>
      <c r="N56" s="424"/>
      <c r="O56" s="410"/>
      <c r="P56" s="410"/>
      <c r="Q56" s="410"/>
      <c r="R56" s="410"/>
      <c r="S56" s="410"/>
      <c r="T56" s="410"/>
      <c r="U56" s="410"/>
      <c r="V56" s="410"/>
      <c r="W56" s="357"/>
      <c r="X56" s="357"/>
      <c r="Y56" s="357"/>
      <c r="Z56" s="357"/>
    </row>
    <row r="57" spans="1:26" ht="16.5" customHeight="1" x14ac:dyDescent="0.4">
      <c r="A57" s="423" t="s">
        <v>252</v>
      </c>
      <c r="B57" s="421">
        <v>71.92</v>
      </c>
      <c r="C57" s="421"/>
      <c r="D57" s="421"/>
      <c r="E57" s="424"/>
      <c r="F57" s="424"/>
      <c r="G57" s="421"/>
      <c r="H57" s="421"/>
      <c r="I57" s="424"/>
      <c r="J57" s="424"/>
      <c r="K57" s="421"/>
      <c r="L57" s="421"/>
      <c r="M57" s="424"/>
      <c r="N57" s="424"/>
      <c r="O57" s="410"/>
      <c r="P57" s="410"/>
      <c r="Q57" s="410"/>
      <c r="R57" s="410"/>
      <c r="S57" s="410"/>
      <c r="T57" s="410"/>
      <c r="U57" s="410"/>
      <c r="V57" s="410"/>
      <c r="W57" s="357"/>
      <c r="X57" s="357"/>
      <c r="Y57" s="357"/>
      <c r="Z57" s="357"/>
    </row>
    <row r="58" spans="1:26" ht="16.5" customHeight="1" x14ac:dyDescent="0.4">
      <c r="A58" s="423" t="s">
        <v>253</v>
      </c>
      <c r="B58" s="421">
        <v>72.67</v>
      </c>
      <c r="C58" s="421"/>
      <c r="D58" s="421"/>
      <c r="E58" s="424"/>
      <c r="F58" s="424"/>
      <c r="G58" s="421"/>
      <c r="H58" s="421"/>
      <c r="I58" s="424"/>
      <c r="J58" s="424"/>
      <c r="K58" s="421"/>
      <c r="L58" s="421"/>
      <c r="M58" s="424"/>
      <c r="N58" s="424"/>
      <c r="O58" s="410"/>
      <c r="P58" s="410"/>
      <c r="Q58" s="410"/>
      <c r="R58" s="410"/>
      <c r="S58" s="410"/>
      <c r="T58" s="410"/>
      <c r="U58" s="410"/>
      <c r="V58" s="410"/>
      <c r="W58" s="357"/>
      <c r="X58" s="357"/>
      <c r="Y58" s="357"/>
      <c r="Z58" s="357"/>
    </row>
    <row r="59" spans="1:26" ht="16.5" customHeight="1" x14ac:dyDescent="0.4">
      <c r="A59" s="423" t="s">
        <v>254</v>
      </c>
      <c r="B59" s="421"/>
      <c r="C59" s="421"/>
      <c r="D59" s="421"/>
      <c r="E59" s="424"/>
      <c r="F59" s="424"/>
      <c r="G59" s="421"/>
      <c r="H59" s="421"/>
      <c r="I59" s="424"/>
      <c r="J59" s="424"/>
      <c r="K59" s="421"/>
      <c r="L59" s="421"/>
      <c r="M59" s="424"/>
      <c r="N59" s="424"/>
      <c r="O59" s="410"/>
      <c r="P59" s="410"/>
      <c r="Q59" s="410"/>
      <c r="R59" s="410"/>
      <c r="S59" s="410"/>
      <c r="T59" s="410"/>
      <c r="U59" s="410"/>
      <c r="V59" s="410"/>
      <c r="W59" s="357"/>
      <c r="X59" s="357"/>
      <c r="Y59" s="357"/>
      <c r="Z59" s="357"/>
    </row>
    <row r="60" spans="1:26" ht="16.5" customHeight="1" x14ac:dyDescent="0.4">
      <c r="A60" s="423" t="s">
        <v>255</v>
      </c>
      <c r="B60" s="421"/>
      <c r="C60" s="421"/>
      <c r="D60" s="421"/>
      <c r="E60" s="424"/>
      <c r="F60" s="424"/>
      <c r="G60" s="421"/>
      <c r="H60" s="421"/>
      <c r="I60" s="424"/>
      <c r="J60" s="424"/>
      <c r="K60" s="421"/>
      <c r="L60" s="421"/>
      <c r="M60" s="424"/>
      <c r="N60" s="424"/>
      <c r="O60" s="410"/>
      <c r="P60" s="410"/>
      <c r="Q60" s="410"/>
      <c r="R60" s="410"/>
      <c r="S60" s="410"/>
      <c r="T60" s="410"/>
      <c r="U60" s="410"/>
      <c r="V60" s="410"/>
      <c r="W60" s="357"/>
      <c r="X60" s="357"/>
      <c r="Y60" s="357"/>
      <c r="Z60" s="357"/>
    </row>
    <row r="61" spans="1:26" ht="16.5" customHeight="1" x14ac:dyDescent="0.4">
      <c r="A61" s="423" t="s">
        <v>256</v>
      </c>
      <c r="B61" s="421"/>
      <c r="C61" s="421"/>
      <c r="D61" s="421"/>
      <c r="E61" s="424"/>
      <c r="F61" s="424"/>
      <c r="G61" s="421"/>
      <c r="H61" s="421"/>
      <c r="I61" s="424"/>
      <c r="J61" s="424"/>
      <c r="K61" s="421"/>
      <c r="L61" s="421"/>
      <c r="M61" s="424"/>
      <c r="N61" s="424"/>
      <c r="O61" s="410"/>
      <c r="P61" s="410"/>
      <c r="Q61" s="410"/>
      <c r="R61" s="410"/>
      <c r="S61" s="410"/>
      <c r="T61" s="410"/>
      <c r="U61" s="410"/>
      <c r="V61" s="410"/>
      <c r="W61" s="357"/>
      <c r="X61" s="357"/>
      <c r="Y61" s="357"/>
      <c r="Z61" s="357"/>
    </row>
    <row r="62" spans="1:26" ht="16.5" customHeight="1" x14ac:dyDescent="0.4">
      <c r="A62" s="423" t="s">
        <v>257</v>
      </c>
      <c r="B62" s="421"/>
      <c r="C62" s="421"/>
      <c r="D62" s="421"/>
      <c r="E62" s="424"/>
      <c r="F62" s="424"/>
      <c r="G62" s="421"/>
      <c r="H62" s="421"/>
      <c r="I62" s="424"/>
      <c r="J62" s="424"/>
      <c r="K62" s="421"/>
      <c r="L62" s="421"/>
      <c r="M62" s="424"/>
      <c r="N62" s="424"/>
      <c r="O62" s="410"/>
      <c r="P62" s="410"/>
      <c r="Q62" s="410"/>
      <c r="R62" s="410"/>
      <c r="S62" s="410"/>
      <c r="T62" s="410"/>
      <c r="U62" s="410"/>
      <c r="V62" s="410"/>
      <c r="W62" s="357"/>
      <c r="X62" s="357"/>
      <c r="Y62" s="357"/>
      <c r="Z62" s="357"/>
    </row>
    <row r="63" spans="1:26" ht="16.5" customHeight="1" x14ac:dyDescent="0.4">
      <c r="A63" s="426">
        <v>43831</v>
      </c>
      <c r="B63" s="421"/>
      <c r="C63" s="421"/>
      <c r="D63" s="421"/>
      <c r="E63" s="422">
        <f>MAX(C63:C74)</f>
        <v>0</v>
      </c>
      <c r="F63" s="422">
        <f>MIN(C63:C74)</f>
        <v>0</v>
      </c>
      <c r="G63" s="421"/>
      <c r="H63" s="421"/>
      <c r="I63" s="422">
        <f>MAX(G63:G74)</f>
        <v>0</v>
      </c>
      <c r="J63" s="422">
        <f>MIN(G63:G74)</f>
        <v>0</v>
      </c>
      <c r="K63" s="421"/>
      <c r="L63" s="421"/>
      <c r="M63" s="422">
        <f>MAX(K63:K74)</f>
        <v>0</v>
      </c>
      <c r="N63" s="422">
        <f>MIN(K63:K74)</f>
        <v>0</v>
      </c>
      <c r="O63" s="410"/>
      <c r="P63" s="410"/>
      <c r="Q63" s="410"/>
      <c r="R63" s="410"/>
      <c r="S63" s="410"/>
      <c r="T63" s="410"/>
      <c r="U63" s="410"/>
      <c r="V63" s="410"/>
      <c r="W63" s="357"/>
      <c r="X63" s="357"/>
      <c r="Y63" s="357"/>
      <c r="Z63" s="357"/>
    </row>
    <row r="64" spans="1:26" ht="16.5" customHeight="1" x14ac:dyDescent="0.4">
      <c r="A64" s="425">
        <v>43862</v>
      </c>
      <c r="B64" s="421"/>
      <c r="C64" s="421"/>
      <c r="D64" s="421"/>
      <c r="E64" s="424"/>
      <c r="F64" s="424"/>
      <c r="G64" s="421"/>
      <c r="H64" s="421"/>
      <c r="I64" s="424"/>
      <c r="J64" s="424"/>
      <c r="K64" s="421"/>
      <c r="L64" s="421"/>
      <c r="M64" s="424"/>
      <c r="N64" s="424"/>
      <c r="O64" s="410"/>
      <c r="P64" s="410"/>
      <c r="Q64" s="410"/>
      <c r="R64" s="410"/>
      <c r="S64" s="410"/>
      <c r="T64" s="410"/>
      <c r="U64" s="410"/>
      <c r="V64" s="410"/>
      <c r="W64" s="357"/>
      <c r="X64" s="357"/>
      <c r="Y64" s="357"/>
      <c r="Z64" s="357"/>
    </row>
    <row r="65" spans="1:26" ht="16.5" customHeight="1" x14ac:dyDescent="0.4">
      <c r="A65" s="425">
        <v>43891</v>
      </c>
      <c r="B65" s="421"/>
      <c r="C65" s="421"/>
      <c r="D65" s="421"/>
      <c r="E65" s="424"/>
      <c r="F65" s="424"/>
      <c r="G65" s="421"/>
      <c r="H65" s="421"/>
      <c r="I65" s="424"/>
      <c r="J65" s="424"/>
      <c r="K65" s="421"/>
      <c r="L65" s="421"/>
      <c r="M65" s="424"/>
      <c r="N65" s="424"/>
      <c r="O65" s="410"/>
      <c r="P65" s="410"/>
      <c r="Q65" s="410"/>
      <c r="R65" s="410"/>
      <c r="S65" s="410"/>
      <c r="T65" s="410"/>
      <c r="U65" s="410"/>
      <c r="V65" s="410"/>
      <c r="W65" s="357"/>
      <c r="X65" s="357"/>
      <c r="Y65" s="357"/>
      <c r="Z65" s="357"/>
    </row>
    <row r="66" spans="1:26" ht="16.5" customHeight="1" x14ac:dyDescent="0.4">
      <c r="A66" s="426">
        <v>43922</v>
      </c>
      <c r="B66" s="421"/>
      <c r="C66" s="421"/>
      <c r="D66" s="421"/>
      <c r="E66" s="424"/>
      <c r="F66" s="424"/>
      <c r="G66" s="421"/>
      <c r="H66" s="421"/>
      <c r="I66" s="424"/>
      <c r="J66" s="424"/>
      <c r="K66" s="421"/>
      <c r="L66" s="421"/>
      <c r="M66" s="424"/>
      <c r="N66" s="424"/>
      <c r="O66" s="410"/>
      <c r="P66" s="410"/>
      <c r="Q66" s="410"/>
      <c r="R66" s="410"/>
      <c r="S66" s="410"/>
      <c r="T66" s="410"/>
      <c r="U66" s="410"/>
      <c r="V66" s="410"/>
      <c r="W66" s="357"/>
      <c r="X66" s="357"/>
      <c r="Y66" s="357"/>
      <c r="Z66" s="357"/>
    </row>
    <row r="67" spans="1:26" ht="16.5" customHeight="1" x14ac:dyDescent="0.4">
      <c r="A67" s="425">
        <v>43952</v>
      </c>
      <c r="B67" s="421"/>
      <c r="C67" s="421"/>
      <c r="D67" s="421"/>
      <c r="E67" s="424"/>
      <c r="F67" s="424"/>
      <c r="G67" s="421"/>
      <c r="H67" s="421"/>
      <c r="I67" s="424"/>
      <c r="J67" s="424"/>
      <c r="K67" s="421"/>
      <c r="L67" s="421"/>
      <c r="M67" s="424"/>
      <c r="N67" s="424"/>
      <c r="O67" s="410"/>
      <c r="P67" s="410"/>
      <c r="Q67" s="410"/>
      <c r="R67" s="410"/>
      <c r="S67" s="410"/>
      <c r="T67" s="410"/>
      <c r="U67" s="410"/>
      <c r="V67" s="410"/>
      <c r="W67" s="357"/>
      <c r="X67" s="357"/>
      <c r="Y67" s="357"/>
      <c r="Z67" s="357"/>
    </row>
    <row r="68" spans="1:26" ht="16.5" customHeight="1" x14ac:dyDescent="0.4">
      <c r="A68" s="425">
        <v>43983</v>
      </c>
      <c r="B68" s="421"/>
      <c r="C68" s="421"/>
      <c r="D68" s="421"/>
      <c r="E68" s="424"/>
      <c r="F68" s="424"/>
      <c r="G68" s="421"/>
      <c r="H68" s="421"/>
      <c r="I68" s="424"/>
      <c r="J68" s="424"/>
      <c r="K68" s="421"/>
      <c r="L68" s="421"/>
      <c r="M68" s="424"/>
      <c r="N68" s="424"/>
      <c r="O68" s="410"/>
      <c r="P68" s="410"/>
      <c r="Q68" s="410"/>
      <c r="R68" s="410"/>
      <c r="S68" s="410"/>
      <c r="T68" s="410"/>
      <c r="U68" s="410"/>
      <c r="V68" s="410"/>
      <c r="W68" s="357"/>
      <c r="X68" s="357"/>
      <c r="Y68" s="357"/>
      <c r="Z68" s="357"/>
    </row>
    <row r="69" spans="1:26" ht="16.5" customHeight="1" x14ac:dyDescent="0.4">
      <c r="A69" s="426">
        <v>44013</v>
      </c>
      <c r="B69" s="421"/>
      <c r="C69" s="421"/>
      <c r="D69" s="421"/>
      <c r="E69" s="424"/>
      <c r="F69" s="424"/>
      <c r="G69" s="421"/>
      <c r="H69" s="421"/>
      <c r="I69" s="424"/>
      <c r="J69" s="424"/>
      <c r="K69" s="421"/>
      <c r="L69" s="421"/>
      <c r="M69" s="424"/>
      <c r="N69" s="424"/>
      <c r="O69" s="410"/>
      <c r="P69" s="410"/>
      <c r="Q69" s="410"/>
      <c r="R69" s="410"/>
      <c r="S69" s="410"/>
      <c r="T69" s="410"/>
      <c r="U69" s="410"/>
      <c r="V69" s="410"/>
      <c r="W69" s="357"/>
      <c r="X69" s="357"/>
      <c r="Y69" s="357"/>
      <c r="Z69" s="357"/>
    </row>
    <row r="70" spans="1:26" ht="16.5" customHeight="1" x14ac:dyDescent="0.4">
      <c r="A70" s="425">
        <v>44044</v>
      </c>
      <c r="B70" s="421"/>
      <c r="C70" s="421"/>
      <c r="D70" s="421"/>
      <c r="E70" s="424"/>
      <c r="F70" s="424"/>
      <c r="G70" s="421"/>
      <c r="H70" s="421"/>
      <c r="I70" s="424"/>
      <c r="J70" s="424"/>
      <c r="K70" s="421"/>
      <c r="L70" s="421"/>
      <c r="M70" s="424"/>
      <c r="N70" s="424"/>
      <c r="O70" s="410"/>
      <c r="P70" s="410"/>
      <c r="Q70" s="410"/>
      <c r="R70" s="410"/>
      <c r="S70" s="410"/>
      <c r="T70" s="410"/>
      <c r="U70" s="410"/>
      <c r="V70" s="410"/>
      <c r="W70" s="357"/>
      <c r="X70" s="357"/>
      <c r="Y70" s="357"/>
      <c r="Z70" s="357"/>
    </row>
    <row r="71" spans="1:26" ht="16.5" customHeight="1" x14ac:dyDescent="0.4">
      <c r="A71" s="425">
        <v>44075</v>
      </c>
      <c r="B71" s="421"/>
      <c r="C71" s="421"/>
      <c r="D71" s="421"/>
      <c r="E71" s="424"/>
      <c r="F71" s="424"/>
      <c r="G71" s="421"/>
      <c r="H71" s="421"/>
      <c r="I71" s="424"/>
      <c r="J71" s="424"/>
      <c r="K71" s="421"/>
      <c r="L71" s="421"/>
      <c r="M71" s="424"/>
      <c r="N71" s="424"/>
      <c r="O71" s="410"/>
      <c r="P71" s="410"/>
      <c r="Q71" s="410"/>
      <c r="R71" s="410"/>
      <c r="S71" s="410"/>
      <c r="T71" s="410"/>
      <c r="U71" s="410"/>
      <c r="V71" s="410"/>
      <c r="W71" s="357"/>
      <c r="X71" s="357"/>
      <c r="Y71" s="357"/>
      <c r="Z71" s="357"/>
    </row>
    <row r="72" spans="1:26" ht="16.5" customHeight="1" x14ac:dyDescent="0.4">
      <c r="A72" s="426">
        <v>44105</v>
      </c>
      <c r="B72" s="421"/>
      <c r="C72" s="421"/>
      <c r="D72" s="421"/>
      <c r="E72" s="424"/>
      <c r="F72" s="424"/>
      <c r="G72" s="421"/>
      <c r="H72" s="421"/>
      <c r="I72" s="424"/>
      <c r="J72" s="424"/>
      <c r="K72" s="421"/>
      <c r="L72" s="421"/>
      <c r="M72" s="424"/>
      <c r="N72" s="424"/>
      <c r="O72" s="410"/>
      <c r="P72" s="410"/>
      <c r="Q72" s="410"/>
      <c r="R72" s="410"/>
      <c r="S72" s="410"/>
      <c r="T72" s="410"/>
      <c r="U72" s="410"/>
      <c r="V72" s="410"/>
      <c r="W72" s="357"/>
      <c r="X72" s="357"/>
      <c r="Y72" s="357"/>
      <c r="Z72" s="357"/>
    </row>
    <row r="73" spans="1:26" ht="16.5" customHeight="1" x14ac:dyDescent="0.4">
      <c r="A73" s="425">
        <v>44136</v>
      </c>
      <c r="B73" s="421"/>
      <c r="C73" s="421"/>
      <c r="D73" s="421"/>
      <c r="E73" s="424"/>
      <c r="F73" s="424"/>
      <c r="G73" s="421"/>
      <c r="H73" s="421"/>
      <c r="I73" s="424"/>
      <c r="J73" s="424"/>
      <c r="K73" s="421"/>
      <c r="L73" s="421"/>
      <c r="M73" s="424"/>
      <c r="N73" s="424"/>
      <c r="O73" s="410"/>
      <c r="P73" s="410"/>
      <c r="Q73" s="410"/>
      <c r="R73" s="410"/>
      <c r="S73" s="410"/>
      <c r="T73" s="410"/>
      <c r="U73" s="410"/>
      <c r="V73" s="410"/>
      <c r="W73" s="357"/>
      <c r="X73" s="357"/>
      <c r="Y73" s="357"/>
      <c r="Z73" s="357"/>
    </row>
    <row r="74" spans="1:26" ht="16.5" customHeight="1" x14ac:dyDescent="0.4">
      <c r="A74" s="425">
        <v>44166</v>
      </c>
      <c r="B74" s="421"/>
      <c r="C74" s="421"/>
      <c r="D74" s="421"/>
      <c r="E74" s="424"/>
      <c r="F74" s="424"/>
      <c r="G74" s="421"/>
      <c r="H74" s="421"/>
      <c r="I74" s="424"/>
      <c r="J74" s="424"/>
      <c r="K74" s="421"/>
      <c r="L74" s="421"/>
      <c r="M74" s="424"/>
      <c r="N74" s="424"/>
      <c r="O74" s="410"/>
      <c r="P74" s="410"/>
      <c r="Q74" s="410"/>
      <c r="R74" s="410"/>
      <c r="S74" s="410"/>
      <c r="T74" s="410"/>
      <c r="U74" s="410"/>
      <c r="V74" s="410"/>
      <c r="W74" s="357"/>
      <c r="X74" s="357"/>
      <c r="Y74" s="357"/>
      <c r="Z74" s="357"/>
    </row>
    <row r="75" spans="1:26" ht="16.5" customHeight="1" x14ac:dyDescent="0.4">
      <c r="A75" s="426">
        <v>44197</v>
      </c>
      <c r="B75" s="427">
        <v>75.84</v>
      </c>
      <c r="C75" s="427"/>
      <c r="D75" s="427"/>
      <c r="E75" s="428">
        <f>MAX(C75:C86)</f>
        <v>0</v>
      </c>
      <c r="F75" s="428">
        <f>MIN(C75:C86)</f>
        <v>0</v>
      </c>
      <c r="G75" s="427"/>
      <c r="H75" s="427"/>
      <c r="I75" s="428">
        <f>MAX(G75:G86)</f>
        <v>0</v>
      </c>
      <c r="J75" s="428">
        <f>MIN(G75:G86)</f>
        <v>0</v>
      </c>
      <c r="K75" s="427"/>
      <c r="L75" s="427"/>
      <c r="M75" s="428">
        <f>MAX(K75:K86)</f>
        <v>0</v>
      </c>
      <c r="N75" s="428">
        <f>MIN(K75:K86)</f>
        <v>0</v>
      </c>
      <c r="O75" s="410"/>
      <c r="P75" s="410"/>
      <c r="Q75" s="410"/>
      <c r="R75" s="410"/>
      <c r="S75" s="410"/>
      <c r="T75" s="410"/>
      <c r="U75" s="410"/>
      <c r="V75" s="410"/>
      <c r="W75" s="357"/>
      <c r="X75" s="357"/>
      <c r="Y75" s="357"/>
      <c r="Z75" s="357"/>
    </row>
    <row r="76" spans="1:26" ht="16.5" customHeight="1" x14ac:dyDescent="0.4">
      <c r="A76" s="425">
        <v>44228</v>
      </c>
      <c r="B76" s="427">
        <v>87.79</v>
      </c>
      <c r="C76" s="427"/>
      <c r="D76" s="427"/>
      <c r="E76" s="428"/>
      <c r="F76" s="428"/>
      <c r="G76" s="427"/>
      <c r="H76" s="427"/>
      <c r="I76" s="428"/>
      <c r="J76" s="428"/>
      <c r="K76" s="427"/>
      <c r="L76" s="427"/>
      <c r="M76" s="428"/>
      <c r="N76" s="428"/>
      <c r="O76" s="410"/>
      <c r="P76" s="410"/>
      <c r="Q76" s="410"/>
      <c r="R76" s="410"/>
      <c r="S76" s="410"/>
      <c r="T76" s="410"/>
      <c r="U76" s="410"/>
      <c r="V76" s="410"/>
      <c r="W76" s="357"/>
      <c r="X76" s="357"/>
      <c r="Y76" s="357"/>
      <c r="Z76" s="357"/>
    </row>
    <row r="77" spans="1:26" ht="16.5" customHeight="1" x14ac:dyDescent="0.4">
      <c r="A77" s="426">
        <v>44256</v>
      </c>
      <c r="B77" s="427">
        <v>84.49</v>
      </c>
      <c r="C77" s="427"/>
      <c r="D77" s="427"/>
      <c r="E77" s="428"/>
      <c r="F77" s="428"/>
      <c r="G77" s="427"/>
      <c r="H77" s="427"/>
      <c r="I77" s="428"/>
      <c r="J77" s="428"/>
      <c r="K77" s="427"/>
      <c r="L77" s="427"/>
      <c r="M77" s="428"/>
      <c r="N77" s="428"/>
      <c r="O77" s="410"/>
      <c r="P77" s="410"/>
      <c r="Q77" s="410"/>
      <c r="R77" s="410"/>
      <c r="S77" s="410"/>
      <c r="T77" s="410"/>
      <c r="U77" s="410"/>
      <c r="V77" s="410"/>
      <c r="W77" s="357"/>
      <c r="X77" s="357"/>
      <c r="Y77" s="357"/>
      <c r="Z77" s="357"/>
    </row>
    <row r="78" spans="1:26" ht="16.5" customHeight="1" x14ac:dyDescent="0.4">
      <c r="A78" s="425">
        <v>44287</v>
      </c>
      <c r="B78" s="427">
        <v>86.68</v>
      </c>
      <c r="C78" s="427"/>
      <c r="D78" s="427"/>
      <c r="E78" s="428"/>
      <c r="F78" s="428"/>
      <c r="G78" s="427"/>
      <c r="H78" s="427"/>
      <c r="I78" s="428"/>
      <c r="J78" s="428"/>
      <c r="K78" s="427"/>
      <c r="L78" s="427"/>
      <c r="M78" s="428"/>
      <c r="N78" s="428"/>
      <c r="O78" s="410"/>
      <c r="P78" s="410"/>
      <c r="Q78" s="410"/>
      <c r="R78" s="410"/>
      <c r="S78" s="410"/>
      <c r="T78" s="410"/>
      <c r="U78" s="410"/>
      <c r="V78" s="410"/>
      <c r="W78" s="357"/>
      <c r="X78" s="357"/>
      <c r="Y78" s="357"/>
      <c r="Z78" s="357"/>
    </row>
    <row r="79" spans="1:26" ht="16.5" customHeight="1" x14ac:dyDescent="0.4">
      <c r="A79" s="426">
        <v>44317</v>
      </c>
      <c r="B79" s="427">
        <v>89.74</v>
      </c>
      <c r="C79" s="427"/>
      <c r="D79" s="427"/>
      <c r="E79" s="428"/>
      <c r="F79" s="428"/>
      <c r="G79" s="427"/>
      <c r="H79" s="427"/>
      <c r="I79" s="428"/>
      <c r="J79" s="428"/>
      <c r="K79" s="427"/>
      <c r="L79" s="427"/>
      <c r="M79" s="428"/>
      <c r="N79" s="428"/>
      <c r="O79" s="410"/>
      <c r="P79" s="410"/>
      <c r="Q79" s="410"/>
      <c r="R79" s="410"/>
      <c r="S79" s="410"/>
      <c r="T79" s="410"/>
      <c r="U79" s="410"/>
      <c r="V79" s="410"/>
      <c r="W79" s="357"/>
      <c r="X79" s="357"/>
      <c r="Y79" s="357"/>
      <c r="Z79" s="357"/>
    </row>
    <row r="80" spans="1:26" ht="16.5" customHeight="1" x14ac:dyDescent="0.4">
      <c r="A80" s="425">
        <v>44348</v>
      </c>
      <c r="B80" s="427">
        <v>100.33</v>
      </c>
      <c r="C80" s="427"/>
      <c r="D80" s="427"/>
      <c r="E80" s="428"/>
      <c r="F80" s="428"/>
      <c r="G80" s="427"/>
      <c r="H80" s="427"/>
      <c r="I80" s="428"/>
      <c r="J80" s="428"/>
      <c r="K80" s="427"/>
      <c r="L80" s="427"/>
      <c r="M80" s="428"/>
      <c r="N80" s="428"/>
      <c r="O80" s="410"/>
      <c r="P80" s="410"/>
      <c r="Q80" s="410"/>
      <c r="R80" s="410"/>
      <c r="S80" s="410"/>
      <c r="T80" s="410"/>
      <c r="U80" s="410"/>
      <c r="V80" s="410"/>
      <c r="W80" s="357"/>
      <c r="X80" s="357"/>
      <c r="Y80" s="357"/>
      <c r="Z80" s="357"/>
    </row>
    <row r="81" spans="1:26" ht="16.5" customHeight="1" x14ac:dyDescent="0.4">
      <c r="A81" s="426">
        <v>44378</v>
      </c>
      <c r="B81" s="427">
        <v>115.35</v>
      </c>
      <c r="C81" s="427"/>
      <c r="D81" s="427"/>
      <c r="E81" s="428"/>
      <c r="F81" s="428"/>
      <c r="G81" s="427"/>
      <c r="H81" s="427"/>
      <c r="I81" s="428"/>
      <c r="J81" s="428"/>
      <c r="K81" s="427"/>
      <c r="L81" s="427"/>
      <c r="M81" s="428"/>
      <c r="N81" s="428"/>
      <c r="O81" s="410"/>
      <c r="P81" s="410"/>
      <c r="Q81" s="410"/>
      <c r="R81" s="410"/>
      <c r="S81" s="410"/>
      <c r="T81" s="410"/>
      <c r="U81" s="410"/>
      <c r="V81" s="410"/>
      <c r="W81" s="357"/>
      <c r="X81" s="357"/>
      <c r="Y81" s="357"/>
      <c r="Z81" s="357"/>
    </row>
    <row r="82" spans="1:26" ht="16.5" customHeight="1" x14ac:dyDescent="0.4">
      <c r="A82" s="425">
        <v>44409</v>
      </c>
      <c r="B82" s="427">
        <v>130.99</v>
      </c>
      <c r="C82" s="427"/>
      <c r="D82" s="427"/>
      <c r="E82" s="428"/>
      <c r="F82" s="428"/>
      <c r="G82" s="427"/>
      <c r="H82" s="427"/>
      <c r="I82" s="428"/>
      <c r="J82" s="428"/>
      <c r="K82" s="427"/>
      <c r="L82" s="427"/>
      <c r="M82" s="428"/>
      <c r="N82" s="428"/>
      <c r="O82" s="410"/>
      <c r="P82" s="410"/>
      <c r="Q82" s="410"/>
      <c r="R82" s="410"/>
      <c r="S82" s="410"/>
      <c r="T82" s="410"/>
      <c r="U82" s="410"/>
      <c r="V82" s="410"/>
      <c r="W82" s="357"/>
      <c r="X82" s="357"/>
      <c r="Y82" s="357"/>
      <c r="Z82" s="357"/>
    </row>
    <row r="83" spans="1:26" ht="16.5" customHeight="1" x14ac:dyDescent="0.4">
      <c r="A83" s="426">
        <v>44440</v>
      </c>
      <c r="B83" s="427">
        <v>150.03</v>
      </c>
      <c r="C83" s="427"/>
      <c r="D83" s="427"/>
      <c r="E83" s="428"/>
      <c r="F83" s="428"/>
      <c r="G83" s="427"/>
      <c r="H83" s="427"/>
      <c r="I83" s="428"/>
      <c r="J83" s="428"/>
      <c r="K83" s="427"/>
      <c r="L83" s="427"/>
      <c r="M83" s="428"/>
      <c r="N83" s="428"/>
      <c r="O83" s="410"/>
      <c r="P83" s="410"/>
      <c r="Q83" s="410"/>
      <c r="R83" s="410"/>
      <c r="S83" s="410"/>
      <c r="T83" s="410"/>
      <c r="U83" s="410"/>
      <c r="V83" s="410"/>
      <c r="W83" s="357"/>
      <c r="X83" s="357"/>
      <c r="Y83" s="357"/>
      <c r="Z83" s="357"/>
    </row>
    <row r="84" spans="1:26" ht="16.5" customHeight="1" x14ac:dyDescent="0.4">
      <c r="A84" s="425">
        <v>44470</v>
      </c>
      <c r="B84" s="427">
        <v>161.63</v>
      </c>
      <c r="C84" s="427"/>
      <c r="D84" s="427"/>
      <c r="E84" s="428"/>
      <c r="F84" s="428"/>
      <c r="G84" s="427"/>
      <c r="H84" s="427"/>
      <c r="I84" s="428"/>
      <c r="J84" s="428"/>
      <c r="K84" s="427"/>
      <c r="L84" s="427"/>
      <c r="M84" s="428"/>
      <c r="N84" s="428"/>
      <c r="O84" s="410"/>
      <c r="P84" s="410"/>
      <c r="Q84" s="410"/>
      <c r="R84" s="410"/>
      <c r="S84" s="410"/>
      <c r="T84" s="410"/>
      <c r="U84" s="410"/>
      <c r="V84" s="410"/>
      <c r="W84" s="357"/>
      <c r="X84" s="357"/>
      <c r="Y84" s="357"/>
      <c r="Z84" s="357"/>
    </row>
    <row r="85" spans="1:26" ht="16.5" customHeight="1" x14ac:dyDescent="0.4">
      <c r="A85" s="426">
        <v>44501</v>
      </c>
      <c r="B85" s="427">
        <v>215.63</v>
      </c>
      <c r="C85" s="427"/>
      <c r="D85" s="427"/>
      <c r="E85" s="428"/>
      <c r="F85" s="428"/>
      <c r="G85" s="427"/>
      <c r="H85" s="427"/>
      <c r="I85" s="428"/>
      <c r="J85" s="428"/>
      <c r="K85" s="427"/>
      <c r="L85" s="427"/>
      <c r="M85" s="428"/>
      <c r="N85" s="428"/>
      <c r="O85" s="410"/>
      <c r="P85" s="410"/>
      <c r="Q85" s="410"/>
      <c r="R85" s="410"/>
      <c r="S85" s="410"/>
      <c r="T85" s="410"/>
      <c r="U85" s="410"/>
      <c r="V85" s="410"/>
      <c r="W85" s="357"/>
      <c r="X85" s="357"/>
      <c r="Y85" s="357"/>
      <c r="Z85" s="357"/>
    </row>
    <row r="86" spans="1:26" ht="16.5" customHeight="1" x14ac:dyDescent="0.4">
      <c r="A86" s="425">
        <v>44531</v>
      </c>
      <c r="B86" s="427">
        <v>159.79</v>
      </c>
      <c r="C86" s="427"/>
      <c r="D86" s="427"/>
      <c r="E86" s="428"/>
      <c r="F86" s="428"/>
      <c r="G86" s="427"/>
      <c r="H86" s="427"/>
      <c r="I86" s="428"/>
      <c r="J86" s="428"/>
      <c r="K86" s="427"/>
      <c r="L86" s="427"/>
      <c r="M86" s="428"/>
      <c r="N86" s="428"/>
      <c r="O86" s="410"/>
      <c r="P86" s="410"/>
      <c r="Q86" s="410"/>
      <c r="R86" s="410"/>
      <c r="S86" s="410"/>
      <c r="T86" s="410"/>
      <c r="U86" s="410"/>
      <c r="V86" s="410"/>
      <c r="W86" s="357"/>
      <c r="X86" s="357"/>
      <c r="Y86" s="357"/>
      <c r="Z86" s="357"/>
    </row>
    <row r="87" spans="1:26" ht="15.75" customHeight="1" x14ac:dyDescent="0.4">
      <c r="A87" s="425">
        <v>44562</v>
      </c>
      <c r="B87" s="427">
        <v>158.5</v>
      </c>
      <c r="C87" s="429"/>
      <c r="D87" s="429"/>
      <c r="E87" s="430"/>
      <c r="F87" s="430"/>
      <c r="G87" s="429"/>
      <c r="H87" s="429"/>
      <c r="I87" s="430"/>
      <c r="J87" s="430"/>
      <c r="K87" s="429"/>
      <c r="L87" s="429"/>
      <c r="M87" s="430"/>
      <c r="N87" s="430"/>
      <c r="O87" s="410"/>
      <c r="P87" s="410"/>
      <c r="Q87" s="410"/>
      <c r="R87" s="410"/>
      <c r="S87" s="410"/>
      <c r="T87" s="410"/>
      <c r="U87" s="410"/>
      <c r="V87" s="410"/>
      <c r="W87" s="357"/>
      <c r="X87" s="357"/>
      <c r="Y87" s="357"/>
      <c r="Z87" s="357"/>
    </row>
    <row r="88" spans="1:26" ht="15.75" customHeight="1" x14ac:dyDescent="0.4">
      <c r="A88" s="425">
        <v>44593</v>
      </c>
      <c r="B88" s="427">
        <v>188.38</v>
      </c>
      <c r="C88" s="429"/>
      <c r="D88" s="429"/>
      <c r="E88" s="430"/>
      <c r="F88" s="430"/>
      <c r="G88" s="429"/>
      <c r="H88" s="429"/>
      <c r="I88" s="430"/>
      <c r="J88" s="430"/>
      <c r="K88" s="429"/>
      <c r="L88" s="429"/>
      <c r="M88" s="430"/>
      <c r="N88" s="430"/>
      <c r="O88" s="410"/>
      <c r="P88" s="410"/>
      <c r="Q88" s="410"/>
      <c r="R88" s="410"/>
      <c r="S88" s="410"/>
      <c r="T88" s="410"/>
      <c r="U88" s="410"/>
      <c r="V88" s="410"/>
      <c r="W88" s="357"/>
      <c r="X88" s="357"/>
      <c r="Y88" s="357"/>
      <c r="Z88" s="357"/>
    </row>
    <row r="89" spans="1:26" ht="15.75" customHeight="1" x14ac:dyDescent="0.4">
      <c r="A89" s="425">
        <v>44621</v>
      </c>
      <c r="B89" s="427">
        <v>203.69</v>
      </c>
      <c r="C89" s="429"/>
      <c r="D89" s="429"/>
      <c r="E89" s="430"/>
      <c r="F89" s="430"/>
      <c r="G89" s="429"/>
      <c r="H89" s="429"/>
      <c r="I89" s="430"/>
      <c r="J89" s="430"/>
      <c r="K89" s="429"/>
      <c r="L89" s="429"/>
      <c r="M89" s="430"/>
      <c r="N89" s="430"/>
      <c r="O89" s="410"/>
      <c r="P89" s="410"/>
      <c r="Q89" s="410"/>
      <c r="R89" s="410"/>
      <c r="S89" s="410"/>
      <c r="T89" s="410"/>
      <c r="U89" s="410"/>
      <c r="V89" s="410"/>
      <c r="W89" s="357"/>
      <c r="X89" s="357"/>
      <c r="Y89" s="357"/>
      <c r="Z89" s="357"/>
    </row>
    <row r="90" spans="1:26" ht="15.75" customHeight="1" x14ac:dyDescent="0.4">
      <c r="A90" s="425">
        <v>44652</v>
      </c>
      <c r="B90" s="427">
        <v>288.39999999999998</v>
      </c>
      <c r="C90" s="429"/>
      <c r="D90" s="429"/>
      <c r="E90" s="430"/>
      <c r="F90" s="430"/>
      <c r="G90" s="429"/>
      <c r="H90" s="429"/>
      <c r="I90" s="430"/>
      <c r="J90" s="430"/>
      <c r="K90" s="429"/>
      <c r="L90" s="429"/>
      <c r="M90" s="430"/>
      <c r="N90" s="430"/>
      <c r="O90" s="410"/>
      <c r="P90" s="410"/>
      <c r="Q90" s="410"/>
      <c r="R90" s="410"/>
      <c r="S90" s="410"/>
      <c r="T90" s="410"/>
      <c r="U90" s="410"/>
      <c r="V90" s="410"/>
      <c r="W90" s="357"/>
      <c r="X90" s="357"/>
      <c r="Y90" s="357"/>
      <c r="Z90" s="357"/>
    </row>
    <row r="91" spans="1:26" ht="15.75" customHeight="1" x14ac:dyDescent="0.4">
      <c r="A91" s="425">
        <v>44682</v>
      </c>
      <c r="B91" s="427">
        <v>275.64</v>
      </c>
      <c r="C91" s="429"/>
      <c r="D91" s="429"/>
      <c r="E91" s="430"/>
      <c r="F91" s="430"/>
      <c r="G91" s="429"/>
      <c r="H91" s="429"/>
      <c r="I91" s="430"/>
      <c r="J91" s="430"/>
      <c r="K91" s="429"/>
      <c r="L91" s="429"/>
      <c r="M91" s="430"/>
      <c r="N91" s="430"/>
      <c r="O91" s="410"/>
      <c r="P91" s="410"/>
      <c r="Q91" s="410"/>
      <c r="R91" s="410"/>
      <c r="S91" s="410"/>
      <c r="T91" s="410"/>
      <c r="U91" s="410"/>
      <c r="V91" s="410"/>
      <c r="W91" s="357"/>
      <c r="X91" s="357"/>
      <c r="Y91" s="357"/>
      <c r="Z91" s="357"/>
    </row>
    <row r="92" spans="1:26" ht="15.75" customHeight="1" x14ac:dyDescent="0.4">
      <c r="A92" s="425">
        <v>44713</v>
      </c>
      <c r="B92" s="427">
        <v>323.91000000000003</v>
      </c>
      <c r="C92" s="429"/>
      <c r="D92" s="429"/>
      <c r="E92" s="430"/>
      <c r="F92" s="430"/>
      <c r="G92" s="429"/>
      <c r="H92" s="429"/>
      <c r="I92" s="430"/>
      <c r="J92" s="430"/>
      <c r="K92" s="429"/>
      <c r="L92" s="429"/>
      <c r="M92" s="430"/>
      <c r="N92" s="430"/>
      <c r="O92" s="410"/>
      <c r="P92" s="410"/>
      <c r="Q92" s="410"/>
      <c r="R92" s="410"/>
      <c r="S92" s="410"/>
      <c r="T92" s="410"/>
      <c r="U92" s="410"/>
      <c r="V92" s="410"/>
      <c r="W92" s="357"/>
      <c r="X92" s="357"/>
      <c r="Y92" s="357"/>
      <c r="Z92" s="357"/>
    </row>
    <row r="93" spans="1:26" ht="15.75" customHeight="1" x14ac:dyDescent="0.4">
      <c r="A93" s="425">
        <v>44743</v>
      </c>
      <c r="B93" s="427">
        <v>319</v>
      </c>
      <c r="C93" s="429"/>
      <c r="D93" s="429"/>
      <c r="E93" s="430"/>
      <c r="F93" s="430"/>
      <c r="G93" s="429"/>
      <c r="H93" s="429"/>
      <c r="I93" s="430"/>
      <c r="J93" s="430"/>
      <c r="K93" s="429"/>
      <c r="L93" s="429"/>
      <c r="M93" s="430"/>
      <c r="N93" s="430"/>
      <c r="O93" s="410"/>
      <c r="P93" s="410"/>
      <c r="Q93" s="410"/>
      <c r="R93" s="410"/>
      <c r="S93" s="410"/>
      <c r="T93" s="410"/>
      <c r="U93" s="410"/>
      <c r="V93" s="410"/>
      <c r="W93" s="357"/>
      <c r="X93" s="357"/>
      <c r="Y93" s="357"/>
      <c r="Z93" s="357"/>
    </row>
    <row r="94" spans="1:26" ht="15.75" customHeight="1" x14ac:dyDescent="0.4">
      <c r="A94" s="425">
        <v>44774</v>
      </c>
      <c r="B94" s="427">
        <v>321.58999999999997</v>
      </c>
      <c r="C94" s="429"/>
      <c r="D94" s="429"/>
      <c r="E94" s="430"/>
      <c r="F94" s="430"/>
      <c r="G94" s="429"/>
      <c r="H94" s="429"/>
      <c r="I94" s="430"/>
      <c r="J94" s="430"/>
      <c r="K94" s="429"/>
      <c r="L94" s="429"/>
      <c r="M94" s="430"/>
      <c r="N94" s="430"/>
      <c r="O94" s="410"/>
      <c r="P94" s="410"/>
      <c r="Q94" s="410"/>
      <c r="R94" s="410"/>
      <c r="S94" s="410"/>
      <c r="T94" s="410"/>
      <c r="U94" s="410"/>
      <c r="V94" s="410"/>
      <c r="W94" s="357"/>
      <c r="X94" s="357"/>
      <c r="Y94" s="357"/>
      <c r="Z94" s="357"/>
    </row>
    <row r="95" spans="1:26" ht="15.75" customHeight="1" x14ac:dyDescent="0.4">
      <c r="A95" s="425">
        <v>44805</v>
      </c>
      <c r="B95" s="427">
        <v>319.22000000000003</v>
      </c>
      <c r="C95" s="429"/>
      <c r="D95" s="429"/>
      <c r="E95" s="430"/>
      <c r="F95" s="430"/>
      <c r="G95" s="429"/>
      <c r="H95" s="429"/>
      <c r="I95" s="430"/>
      <c r="J95" s="430"/>
      <c r="K95" s="429"/>
      <c r="L95" s="429"/>
      <c r="M95" s="430"/>
      <c r="N95" s="430"/>
      <c r="O95" s="410"/>
      <c r="P95" s="410"/>
      <c r="Q95" s="410"/>
      <c r="R95" s="410"/>
      <c r="S95" s="410"/>
      <c r="T95" s="410"/>
      <c r="U95" s="410"/>
      <c r="V95" s="410"/>
      <c r="W95" s="357"/>
      <c r="X95" s="357"/>
      <c r="Y95" s="357"/>
      <c r="Z95" s="357"/>
    </row>
    <row r="96" spans="1:26" ht="15.75" customHeight="1" x14ac:dyDescent="0.4">
      <c r="A96" s="425">
        <v>44835</v>
      </c>
      <c r="B96" s="427">
        <v>330.97</v>
      </c>
      <c r="C96" s="429"/>
      <c r="D96" s="429"/>
      <c r="E96" s="430"/>
      <c r="F96" s="430"/>
      <c r="G96" s="429"/>
      <c r="H96" s="429"/>
      <c r="I96" s="430"/>
      <c r="J96" s="430"/>
      <c r="K96" s="429"/>
      <c r="L96" s="429"/>
      <c r="M96" s="430"/>
      <c r="N96" s="430"/>
      <c r="O96" s="410"/>
      <c r="P96" s="410"/>
      <c r="Q96" s="410"/>
      <c r="R96" s="410"/>
      <c r="S96" s="410"/>
      <c r="T96" s="410"/>
      <c r="U96" s="410"/>
      <c r="V96" s="410"/>
      <c r="W96" s="357"/>
      <c r="X96" s="357"/>
      <c r="Y96" s="357"/>
      <c r="Z96" s="357"/>
    </row>
    <row r="97" spans="1:26" ht="15.75" customHeight="1" x14ac:dyDescent="0.4">
      <c r="A97" s="425">
        <v>44866</v>
      </c>
      <c r="B97" s="427">
        <v>308.2</v>
      </c>
      <c r="C97" s="429"/>
      <c r="D97" s="429"/>
      <c r="E97" s="430"/>
      <c r="F97" s="430"/>
      <c r="G97" s="429"/>
      <c r="H97" s="429"/>
      <c r="I97" s="430"/>
      <c r="J97" s="430"/>
      <c r="K97" s="429"/>
      <c r="L97" s="429"/>
      <c r="M97" s="430"/>
      <c r="N97" s="430"/>
      <c r="O97" s="410"/>
      <c r="P97" s="410"/>
      <c r="Q97" s="410"/>
      <c r="R97" s="410"/>
      <c r="S97" s="410"/>
      <c r="T97" s="410"/>
      <c r="U97" s="410"/>
      <c r="V97" s="410"/>
      <c r="W97" s="357"/>
      <c r="X97" s="357"/>
      <c r="Y97" s="357"/>
      <c r="Z97" s="357"/>
    </row>
    <row r="98" spans="1:26" ht="15.75" customHeight="1" x14ac:dyDescent="0.4">
      <c r="A98" s="425">
        <v>44896</v>
      </c>
      <c r="B98" s="427">
        <v>281.48</v>
      </c>
      <c r="C98" s="429"/>
      <c r="D98" s="429"/>
      <c r="E98" s="430"/>
      <c r="F98" s="430"/>
      <c r="G98" s="429"/>
      <c r="H98" s="429"/>
      <c r="I98" s="430"/>
      <c r="J98" s="430"/>
      <c r="K98" s="429"/>
      <c r="L98" s="429"/>
      <c r="M98" s="430"/>
      <c r="N98" s="430"/>
      <c r="O98" s="410"/>
      <c r="P98" s="410"/>
      <c r="Q98" s="410"/>
      <c r="R98" s="410"/>
      <c r="S98" s="410"/>
      <c r="T98" s="410"/>
      <c r="U98" s="410"/>
      <c r="V98" s="410"/>
      <c r="W98" s="357"/>
      <c r="X98" s="357"/>
      <c r="Y98" s="357"/>
      <c r="Z98" s="357"/>
    </row>
    <row r="99" spans="1:26" ht="15.75" customHeight="1" x14ac:dyDescent="0.4">
      <c r="A99" s="425">
        <v>44927</v>
      </c>
      <c r="B99" s="427">
        <v>305.20999999999998</v>
      </c>
      <c r="C99" s="429"/>
      <c r="D99" s="429"/>
      <c r="E99" s="428">
        <f>MAX(C99:C110)</f>
        <v>136.69999999999999</v>
      </c>
      <c r="F99" s="428">
        <f>MIN(C99:C110)</f>
        <v>81.38</v>
      </c>
      <c r="G99" s="429"/>
      <c r="H99" s="429"/>
      <c r="I99" s="428">
        <f>MAX(G99:G110)</f>
        <v>102.26</v>
      </c>
      <c r="J99" s="428">
        <f>MIN(G99:G110)</f>
        <v>50.41</v>
      </c>
      <c r="K99" s="429"/>
      <c r="L99" s="429"/>
      <c r="M99" s="428">
        <f>MAX(K99:K110)</f>
        <v>34.18</v>
      </c>
      <c r="N99" s="428">
        <f>MIN(K99:K110)</f>
        <v>25.5</v>
      </c>
      <c r="O99" s="410"/>
      <c r="P99" s="410"/>
      <c r="Q99" s="410"/>
      <c r="R99" s="410"/>
      <c r="S99" s="410"/>
      <c r="T99" s="410"/>
      <c r="U99" s="410"/>
      <c r="V99" s="410"/>
      <c r="W99" s="357"/>
      <c r="X99" s="357"/>
      <c r="Y99" s="357"/>
      <c r="Z99" s="357"/>
    </row>
    <row r="100" spans="1:26" ht="15.75" customHeight="1" x14ac:dyDescent="0.4">
      <c r="A100" s="425">
        <v>44958</v>
      </c>
      <c r="B100" s="427">
        <v>277.05</v>
      </c>
      <c r="C100" s="429"/>
      <c r="D100" s="429"/>
      <c r="E100" s="431"/>
      <c r="F100" s="431"/>
      <c r="G100" s="429"/>
      <c r="H100" s="429"/>
      <c r="I100" s="431"/>
      <c r="J100" s="431"/>
      <c r="K100" s="429"/>
      <c r="L100" s="429"/>
      <c r="M100" s="431"/>
      <c r="N100" s="431"/>
      <c r="O100" s="410"/>
      <c r="P100" s="410"/>
      <c r="Q100" s="410"/>
      <c r="R100" s="410"/>
      <c r="S100" s="410"/>
      <c r="T100" s="410"/>
      <c r="U100" s="410"/>
      <c r="V100" s="410"/>
      <c r="W100" s="357"/>
      <c r="X100" s="357"/>
      <c r="Y100" s="357"/>
      <c r="Z100" s="357"/>
    </row>
    <row r="101" spans="1:26" ht="15.75" customHeight="1" x14ac:dyDescent="0.4">
      <c r="A101" s="425">
        <v>44986</v>
      </c>
      <c r="B101" s="427">
        <v>283.08</v>
      </c>
      <c r="C101" s="427">
        <v>136.69999999999999</v>
      </c>
      <c r="D101" s="427">
        <f t="shared" ref="D101:D125" si="0">C101-C100</f>
        <v>136.69999999999999</v>
      </c>
      <c r="E101" s="431"/>
      <c r="F101" s="431"/>
      <c r="G101" s="427">
        <v>102.26</v>
      </c>
      <c r="H101" s="427">
        <f t="shared" ref="H101:H125" si="1">G101-G100</f>
        <v>102.26</v>
      </c>
      <c r="I101" s="431"/>
      <c r="J101" s="431"/>
      <c r="K101" s="432"/>
      <c r="L101" s="432"/>
      <c r="M101" s="431"/>
      <c r="N101" s="431"/>
      <c r="O101" s="433">
        <v>102.26</v>
      </c>
      <c r="P101" s="434">
        <f t="shared" ref="P101:P102" si="2">O101-O100</f>
        <v>102.26</v>
      </c>
      <c r="Q101" s="410"/>
      <c r="R101" s="410"/>
      <c r="S101" s="410"/>
      <c r="T101" s="410"/>
      <c r="U101" s="410"/>
      <c r="V101" s="410"/>
      <c r="W101" s="357"/>
      <c r="X101" s="357"/>
      <c r="Y101" s="357"/>
      <c r="Z101" s="357"/>
    </row>
    <row r="102" spans="1:26" ht="15.75" customHeight="1" x14ac:dyDescent="0.4">
      <c r="A102" s="425">
        <v>45017</v>
      </c>
      <c r="B102" s="427">
        <v>265.25</v>
      </c>
      <c r="C102" s="427">
        <v>102.53</v>
      </c>
      <c r="D102" s="427">
        <f t="shared" si="0"/>
        <v>-34.169999999999987</v>
      </c>
      <c r="E102" s="431"/>
      <c r="F102" s="431"/>
      <c r="G102" s="427">
        <v>87.81</v>
      </c>
      <c r="H102" s="427">
        <f t="shared" si="1"/>
        <v>-14.450000000000003</v>
      </c>
      <c r="I102" s="431"/>
      <c r="J102" s="431"/>
      <c r="K102" s="432"/>
      <c r="L102" s="432"/>
      <c r="M102" s="431"/>
      <c r="N102" s="431"/>
      <c r="O102" s="435">
        <v>87.81</v>
      </c>
      <c r="P102" s="434">
        <f t="shared" si="2"/>
        <v>-14.450000000000003</v>
      </c>
      <c r="Q102" s="410"/>
      <c r="R102" s="410"/>
      <c r="S102" s="410"/>
      <c r="T102" s="410"/>
      <c r="U102" s="410"/>
      <c r="V102" s="410"/>
      <c r="W102" s="357"/>
      <c r="X102" s="357"/>
      <c r="Y102" s="357"/>
      <c r="Z102" s="357"/>
    </row>
    <row r="103" spans="1:26" ht="15.75" customHeight="1" x14ac:dyDescent="0.4">
      <c r="A103" s="425">
        <v>45047</v>
      </c>
      <c r="B103" s="427">
        <v>206.16</v>
      </c>
      <c r="C103" s="427">
        <v>119.64</v>
      </c>
      <c r="D103" s="427">
        <f t="shared" si="0"/>
        <v>17.11</v>
      </c>
      <c r="E103" s="431"/>
      <c r="F103" s="431"/>
      <c r="G103" s="427">
        <v>82.23</v>
      </c>
      <c r="H103" s="427">
        <f t="shared" si="1"/>
        <v>-5.5799999999999983</v>
      </c>
      <c r="I103" s="431"/>
      <c r="J103" s="431"/>
      <c r="K103" s="432"/>
      <c r="L103" s="432">
        <f t="shared" ref="L103:L125" si="3">K103-K102</f>
        <v>0</v>
      </c>
      <c r="M103" s="431"/>
      <c r="N103" s="431"/>
      <c r="O103" s="410"/>
      <c r="P103" s="410"/>
      <c r="Q103" s="410"/>
      <c r="R103" s="410"/>
      <c r="S103" s="410"/>
      <c r="T103" s="410"/>
      <c r="U103" s="410"/>
      <c r="V103" s="410"/>
      <c r="W103" s="357"/>
      <c r="X103" s="357"/>
      <c r="Y103" s="357"/>
      <c r="Z103" s="357"/>
    </row>
    <row r="104" spans="1:26" ht="15.75" customHeight="1" x14ac:dyDescent="0.4">
      <c r="A104" s="425">
        <v>45078</v>
      </c>
      <c r="B104" s="427">
        <v>191.26</v>
      </c>
      <c r="C104" s="427">
        <v>112.59</v>
      </c>
      <c r="D104" s="427">
        <f t="shared" si="0"/>
        <v>-7.0499999999999972</v>
      </c>
      <c r="E104" s="431"/>
      <c r="F104" s="431"/>
      <c r="G104" s="427">
        <v>78.349999999999994</v>
      </c>
      <c r="H104" s="427">
        <f t="shared" si="1"/>
        <v>-3.8800000000000097</v>
      </c>
      <c r="I104" s="431"/>
      <c r="J104" s="431"/>
      <c r="K104" s="432"/>
      <c r="L104" s="432">
        <f t="shared" si="3"/>
        <v>0</v>
      </c>
      <c r="M104" s="431"/>
      <c r="N104" s="431"/>
      <c r="O104" s="410"/>
      <c r="P104" s="410"/>
      <c r="Q104" s="410"/>
      <c r="R104" s="410"/>
      <c r="S104" s="410"/>
      <c r="T104" s="410"/>
      <c r="U104" s="410"/>
      <c r="V104" s="410"/>
      <c r="W104" s="357"/>
      <c r="X104" s="357"/>
      <c r="Y104" s="357"/>
      <c r="Z104" s="357"/>
    </row>
    <row r="105" spans="1:26" ht="15.75" customHeight="1" x14ac:dyDescent="0.4">
      <c r="A105" s="425">
        <v>45108</v>
      </c>
      <c r="B105" s="427">
        <v>191.6</v>
      </c>
      <c r="C105" s="427">
        <v>109.27</v>
      </c>
      <c r="D105" s="427">
        <f t="shared" si="0"/>
        <v>-3.3200000000000074</v>
      </c>
      <c r="E105" s="431"/>
      <c r="F105" s="431"/>
      <c r="G105" s="427">
        <v>75.2</v>
      </c>
      <c r="H105" s="427">
        <f t="shared" si="1"/>
        <v>-3.1499999999999915</v>
      </c>
      <c r="I105" s="431"/>
      <c r="J105" s="431"/>
      <c r="K105" s="432"/>
      <c r="L105" s="432">
        <f t="shared" si="3"/>
        <v>0</v>
      </c>
      <c r="M105" s="431"/>
      <c r="N105" s="431"/>
      <c r="O105" s="410"/>
      <c r="P105" s="410"/>
      <c r="Q105" s="410"/>
      <c r="R105" s="410"/>
      <c r="S105" s="410"/>
      <c r="T105" s="410"/>
      <c r="U105" s="410"/>
      <c r="V105" s="410"/>
      <c r="W105" s="357"/>
      <c r="X105" s="357"/>
      <c r="Y105" s="357"/>
      <c r="Z105" s="357"/>
    </row>
    <row r="106" spans="1:26" ht="15.75" customHeight="1" x14ac:dyDescent="0.4">
      <c r="A106" s="425">
        <v>45139</v>
      </c>
      <c r="B106" s="427">
        <v>179.9</v>
      </c>
      <c r="C106" s="427">
        <v>84.75</v>
      </c>
      <c r="D106" s="427">
        <f t="shared" si="0"/>
        <v>-24.519999999999996</v>
      </c>
      <c r="E106" s="431"/>
      <c r="F106" s="431"/>
      <c r="G106" s="427">
        <v>57.38</v>
      </c>
      <c r="H106" s="427">
        <f t="shared" si="1"/>
        <v>-17.82</v>
      </c>
      <c r="I106" s="431"/>
      <c r="J106" s="431"/>
      <c r="K106" s="427">
        <v>31.96</v>
      </c>
      <c r="L106" s="427">
        <f t="shared" si="3"/>
        <v>31.96</v>
      </c>
      <c r="M106" s="431"/>
      <c r="N106" s="431"/>
      <c r="O106" s="410"/>
      <c r="P106" s="410"/>
      <c r="Q106" s="410"/>
      <c r="R106" s="410"/>
      <c r="S106" s="410"/>
      <c r="T106" s="410"/>
      <c r="U106" s="410"/>
      <c r="V106" s="410"/>
      <c r="W106" s="357"/>
      <c r="X106" s="357"/>
      <c r="Y106" s="357"/>
      <c r="Z106" s="357"/>
    </row>
    <row r="107" spans="1:26" ht="15.75" customHeight="1" x14ac:dyDescent="0.4">
      <c r="A107" s="425">
        <v>45170</v>
      </c>
      <c r="B107" s="427">
        <v>133.13</v>
      </c>
      <c r="C107" s="427">
        <v>89.11</v>
      </c>
      <c r="D107" s="427">
        <f t="shared" si="0"/>
        <v>4.3599999999999994</v>
      </c>
      <c r="E107" s="431"/>
      <c r="F107" s="431"/>
      <c r="G107" s="427">
        <v>53.83</v>
      </c>
      <c r="H107" s="427">
        <f t="shared" si="1"/>
        <v>-3.5500000000000043</v>
      </c>
      <c r="I107" s="431"/>
      <c r="J107" s="431"/>
      <c r="K107" s="427">
        <v>31.82</v>
      </c>
      <c r="L107" s="427">
        <f t="shared" si="3"/>
        <v>-0.14000000000000057</v>
      </c>
      <c r="M107" s="431"/>
      <c r="N107" s="431"/>
      <c r="O107" s="410"/>
      <c r="P107" s="410"/>
      <c r="Q107" s="410"/>
      <c r="R107" s="410"/>
      <c r="S107" s="410"/>
      <c r="T107" s="410"/>
      <c r="U107" s="410"/>
      <c r="V107" s="410"/>
      <c r="W107" s="357"/>
      <c r="X107" s="357"/>
      <c r="Y107" s="357"/>
      <c r="Z107" s="357"/>
    </row>
    <row r="108" spans="1:26" ht="15.75" customHeight="1" x14ac:dyDescent="0.4">
      <c r="A108" s="425">
        <v>45200</v>
      </c>
      <c r="B108" s="427">
        <v>123.96</v>
      </c>
      <c r="C108" s="427">
        <v>81.38</v>
      </c>
      <c r="D108" s="427">
        <f t="shared" si="0"/>
        <v>-7.730000000000004</v>
      </c>
      <c r="E108" s="431"/>
      <c r="F108" s="431"/>
      <c r="G108" s="427">
        <v>50.41</v>
      </c>
      <c r="H108" s="427">
        <f t="shared" si="1"/>
        <v>-3.4200000000000017</v>
      </c>
      <c r="I108" s="431"/>
      <c r="J108" s="431"/>
      <c r="K108" s="427">
        <v>25.5</v>
      </c>
      <c r="L108" s="427">
        <f t="shared" si="3"/>
        <v>-6.32</v>
      </c>
      <c r="M108" s="431"/>
      <c r="N108" s="431"/>
      <c r="O108" s="410"/>
      <c r="P108" s="410"/>
      <c r="Q108" s="410"/>
      <c r="R108" s="410"/>
      <c r="S108" s="410"/>
      <c r="T108" s="410"/>
      <c r="U108" s="410"/>
      <c r="V108" s="410"/>
      <c r="W108" s="357"/>
      <c r="X108" s="357"/>
      <c r="Y108" s="357"/>
      <c r="Z108" s="357"/>
    </row>
    <row r="109" spans="1:26" ht="15.75" customHeight="1" x14ac:dyDescent="0.4">
      <c r="A109" s="425">
        <v>45231</v>
      </c>
      <c r="B109" s="427">
        <v>139.80000000000001</v>
      </c>
      <c r="C109" s="427">
        <v>103.2</v>
      </c>
      <c r="D109" s="427">
        <f t="shared" si="0"/>
        <v>21.820000000000007</v>
      </c>
      <c r="E109" s="431"/>
      <c r="F109" s="431"/>
      <c r="G109" s="427">
        <v>52.86</v>
      </c>
      <c r="H109" s="427">
        <f t="shared" si="1"/>
        <v>2.4500000000000028</v>
      </c>
      <c r="I109" s="431"/>
      <c r="J109" s="431"/>
      <c r="K109" s="427">
        <v>28.49</v>
      </c>
      <c r="L109" s="427">
        <f t="shared" si="3"/>
        <v>2.9899999999999984</v>
      </c>
      <c r="M109" s="431"/>
      <c r="N109" s="431"/>
      <c r="O109" s="410"/>
      <c r="P109" s="410"/>
      <c r="Q109" s="410"/>
      <c r="R109" s="410"/>
      <c r="S109" s="410"/>
      <c r="T109" s="410"/>
      <c r="U109" s="410"/>
      <c r="V109" s="410"/>
      <c r="W109" s="357"/>
      <c r="X109" s="357"/>
      <c r="Y109" s="357"/>
      <c r="Z109" s="357"/>
    </row>
    <row r="110" spans="1:26" ht="15.75" customHeight="1" x14ac:dyDescent="0.4">
      <c r="A110" s="425">
        <v>45261</v>
      </c>
      <c r="B110" s="427">
        <v>117.38</v>
      </c>
      <c r="C110" s="427">
        <v>85.92</v>
      </c>
      <c r="D110" s="427">
        <f t="shared" si="0"/>
        <v>-17.28</v>
      </c>
      <c r="E110" s="431"/>
      <c r="F110" s="431"/>
      <c r="G110" s="427">
        <v>57.7</v>
      </c>
      <c r="H110" s="427">
        <f t="shared" si="1"/>
        <v>4.8400000000000034</v>
      </c>
      <c r="I110" s="431"/>
      <c r="J110" s="431"/>
      <c r="K110" s="427">
        <v>34.18</v>
      </c>
      <c r="L110" s="427">
        <f t="shared" si="3"/>
        <v>5.6900000000000013</v>
      </c>
      <c r="M110" s="431"/>
      <c r="N110" s="431"/>
      <c r="O110" s="410"/>
      <c r="P110" s="410"/>
      <c r="Q110" s="410"/>
      <c r="R110" s="410"/>
      <c r="S110" s="410"/>
      <c r="T110" s="410"/>
      <c r="U110" s="410"/>
      <c r="V110" s="410"/>
      <c r="W110" s="357"/>
      <c r="X110" s="357"/>
      <c r="Y110" s="357"/>
      <c r="Z110" s="357"/>
    </row>
    <row r="111" spans="1:26" ht="16.5" customHeight="1" x14ac:dyDescent="0.4">
      <c r="A111" s="425">
        <v>45292</v>
      </c>
      <c r="B111" s="427">
        <v>125.85</v>
      </c>
      <c r="C111" s="427">
        <v>87.36</v>
      </c>
      <c r="D111" s="427">
        <f t="shared" si="0"/>
        <v>1.4399999999999977</v>
      </c>
      <c r="E111" s="436">
        <f>MAX(C11:C125)</f>
        <v>136.69999999999999</v>
      </c>
      <c r="F111" s="436">
        <f>MIN(C111:C125)</f>
        <v>79.69</v>
      </c>
      <c r="G111" s="427">
        <v>58.56</v>
      </c>
      <c r="H111" s="427">
        <f t="shared" si="1"/>
        <v>0.85999999999999943</v>
      </c>
      <c r="I111" s="436">
        <f>MAX(G11:G125)</f>
        <v>102.26</v>
      </c>
      <c r="J111" s="436">
        <f>MIN(G111:G125)</f>
        <v>50.52</v>
      </c>
      <c r="K111" s="427">
        <v>37.090000000000003</v>
      </c>
      <c r="L111" s="427">
        <f t="shared" si="3"/>
        <v>2.9100000000000037</v>
      </c>
      <c r="M111" s="436">
        <f>MAX(K11:K125)</f>
        <v>37.6</v>
      </c>
      <c r="N111" s="436">
        <f>MIN(K111:K125)</f>
        <v>34.159999999999997</v>
      </c>
      <c r="O111" s="410"/>
      <c r="P111" s="410"/>
      <c r="Q111" s="410"/>
      <c r="R111" s="410"/>
      <c r="S111" s="410"/>
      <c r="T111" s="410"/>
      <c r="U111" s="410"/>
      <c r="V111" s="410"/>
      <c r="W111" s="357"/>
      <c r="X111" s="357"/>
      <c r="Y111" s="357"/>
      <c r="Z111" s="357"/>
    </row>
    <row r="112" spans="1:26" ht="16.5" customHeight="1" x14ac:dyDescent="0.4">
      <c r="A112" s="425">
        <v>45323</v>
      </c>
      <c r="B112" s="427">
        <v>125.95</v>
      </c>
      <c r="C112" s="427">
        <v>87.65</v>
      </c>
      <c r="D112" s="427">
        <f t="shared" si="0"/>
        <v>0.29000000000000625</v>
      </c>
      <c r="E112" s="436"/>
      <c r="F112" s="436"/>
      <c r="G112" s="427">
        <v>57.86</v>
      </c>
      <c r="H112" s="427">
        <f t="shared" si="1"/>
        <v>-0.70000000000000284</v>
      </c>
      <c r="I112" s="436"/>
      <c r="J112" s="436"/>
      <c r="K112" s="427">
        <v>37.54</v>
      </c>
      <c r="L112" s="427">
        <f t="shared" si="3"/>
        <v>0.44999999999999574</v>
      </c>
      <c r="M112" s="436"/>
      <c r="N112" s="436"/>
      <c r="O112" s="410"/>
      <c r="P112" s="410"/>
      <c r="Q112" s="410"/>
      <c r="R112" s="410"/>
      <c r="S112" s="410"/>
      <c r="T112" s="410"/>
      <c r="U112" s="410"/>
      <c r="V112" s="410"/>
      <c r="W112" s="357"/>
      <c r="X112" s="357"/>
      <c r="Y112" s="357"/>
      <c r="Z112" s="357"/>
    </row>
    <row r="113" spans="1:26" ht="16.5" customHeight="1" x14ac:dyDescent="0.4">
      <c r="A113" s="425">
        <v>45352</v>
      </c>
      <c r="B113" s="427">
        <v>109.77</v>
      </c>
      <c r="C113" s="427">
        <v>88.77</v>
      </c>
      <c r="D113" s="427">
        <f t="shared" si="0"/>
        <v>1.1199999999999903</v>
      </c>
      <c r="E113" s="436"/>
      <c r="F113" s="436"/>
      <c r="G113" s="427">
        <v>56.83</v>
      </c>
      <c r="H113" s="427">
        <f t="shared" si="1"/>
        <v>-1.0300000000000011</v>
      </c>
      <c r="I113" s="436"/>
      <c r="J113" s="436"/>
      <c r="K113" s="427">
        <v>37.6</v>
      </c>
      <c r="L113" s="427">
        <f t="shared" si="3"/>
        <v>6.0000000000002274E-2</v>
      </c>
      <c r="M113" s="436"/>
      <c r="N113" s="436"/>
      <c r="O113" s="410"/>
      <c r="P113" s="410"/>
      <c r="Q113" s="410"/>
      <c r="R113" s="410"/>
      <c r="S113" s="410"/>
      <c r="T113" s="410"/>
      <c r="U113" s="410"/>
      <c r="V113" s="410"/>
      <c r="W113" s="357"/>
      <c r="X113" s="357"/>
      <c r="Y113" s="357"/>
      <c r="Z113" s="357"/>
    </row>
    <row r="114" spans="1:26" ht="16.5" customHeight="1" x14ac:dyDescent="0.4">
      <c r="A114" s="425">
        <v>45383</v>
      </c>
      <c r="B114" s="427">
        <v>121.13</v>
      </c>
      <c r="C114" s="427">
        <v>86.93</v>
      </c>
      <c r="D114" s="427">
        <f t="shared" si="0"/>
        <v>-1.8399999999999892</v>
      </c>
      <c r="E114" s="436"/>
      <c r="F114" s="436"/>
      <c r="G114" s="427">
        <v>57.17</v>
      </c>
      <c r="H114" s="427">
        <f t="shared" si="1"/>
        <v>0.34000000000000341</v>
      </c>
      <c r="I114" s="436"/>
      <c r="J114" s="436"/>
      <c r="K114" s="427">
        <v>36.32</v>
      </c>
      <c r="L114" s="427">
        <f t="shared" si="3"/>
        <v>-1.2800000000000011</v>
      </c>
      <c r="M114" s="436"/>
      <c r="N114" s="436"/>
      <c r="O114" s="410"/>
      <c r="P114" s="410"/>
      <c r="Q114" s="410"/>
      <c r="R114" s="410"/>
      <c r="S114" s="410"/>
      <c r="T114" s="410"/>
      <c r="U114" s="410"/>
      <c r="V114" s="410"/>
      <c r="W114" s="357"/>
      <c r="X114" s="357"/>
      <c r="Y114" s="357"/>
      <c r="Z114" s="357"/>
    </row>
    <row r="115" spans="1:26" ht="16.5" customHeight="1" x14ac:dyDescent="0.4">
      <c r="A115" s="425">
        <v>45413</v>
      </c>
      <c r="B115" s="427">
        <v>114.06</v>
      </c>
      <c r="C115" s="427">
        <v>91.77</v>
      </c>
      <c r="D115" s="427">
        <f t="shared" si="0"/>
        <v>4.8399999999999892</v>
      </c>
      <c r="E115" s="436"/>
      <c r="F115" s="436"/>
      <c r="G115" s="427">
        <v>56.52</v>
      </c>
      <c r="H115" s="427">
        <f t="shared" si="1"/>
        <v>-0.64999999999999858</v>
      </c>
      <c r="I115" s="436"/>
      <c r="J115" s="436"/>
      <c r="K115" s="427">
        <v>36.39</v>
      </c>
      <c r="L115" s="427">
        <f t="shared" si="3"/>
        <v>7.0000000000000284E-2</v>
      </c>
      <c r="M115" s="436"/>
      <c r="N115" s="436"/>
      <c r="O115" s="410"/>
      <c r="P115" s="410"/>
      <c r="Q115" s="410"/>
      <c r="R115" s="410"/>
      <c r="S115" s="410"/>
      <c r="T115" s="410"/>
      <c r="U115" s="410"/>
      <c r="V115" s="410"/>
      <c r="W115" s="357"/>
      <c r="X115" s="357"/>
      <c r="Y115" s="357"/>
      <c r="Z115" s="357"/>
    </row>
    <row r="116" spans="1:26" ht="16.5" customHeight="1" x14ac:dyDescent="0.4">
      <c r="A116" s="425">
        <v>45444</v>
      </c>
      <c r="B116" s="427">
        <v>123</v>
      </c>
      <c r="C116" s="427">
        <v>88.65</v>
      </c>
      <c r="D116" s="427">
        <f t="shared" si="0"/>
        <v>-3.1199999999999903</v>
      </c>
      <c r="E116" s="436"/>
      <c r="F116" s="436"/>
      <c r="G116" s="427">
        <v>54.79</v>
      </c>
      <c r="H116" s="427">
        <f t="shared" si="1"/>
        <v>-1.730000000000004</v>
      </c>
      <c r="I116" s="436"/>
      <c r="J116" s="436"/>
      <c r="K116" s="427">
        <v>35.82</v>
      </c>
      <c r="L116" s="427">
        <f t="shared" si="3"/>
        <v>-0.57000000000000028</v>
      </c>
      <c r="M116" s="436"/>
      <c r="N116" s="436"/>
      <c r="O116" s="410"/>
      <c r="P116" s="410"/>
      <c r="Q116" s="410"/>
      <c r="R116" s="410"/>
      <c r="S116" s="410"/>
      <c r="T116" s="410"/>
      <c r="U116" s="410"/>
      <c r="V116" s="410"/>
      <c r="W116" s="357"/>
      <c r="X116" s="357"/>
      <c r="Y116" s="357"/>
      <c r="Z116" s="357"/>
    </row>
    <row r="117" spans="1:26" ht="15" customHeight="1" x14ac:dyDescent="0.4">
      <c r="A117" s="425">
        <v>45474</v>
      </c>
      <c r="B117" s="427">
        <v>130.44</v>
      </c>
      <c r="C117" s="427">
        <v>91.85</v>
      </c>
      <c r="D117" s="427">
        <f t="shared" si="0"/>
        <v>3.1999999999999886</v>
      </c>
      <c r="E117" s="436"/>
      <c r="F117" s="436"/>
      <c r="G117" s="427">
        <v>56.09</v>
      </c>
      <c r="H117" s="427">
        <f t="shared" si="1"/>
        <v>1.3000000000000043</v>
      </c>
      <c r="I117" s="436"/>
      <c r="J117" s="436"/>
      <c r="K117" s="427">
        <v>36.22</v>
      </c>
      <c r="L117" s="427">
        <f t="shared" si="3"/>
        <v>0.39999999999999858</v>
      </c>
      <c r="M117" s="436"/>
      <c r="N117" s="436"/>
      <c r="O117" s="410"/>
      <c r="P117" s="410"/>
      <c r="Q117" s="410"/>
      <c r="R117" s="410"/>
      <c r="S117" s="410"/>
      <c r="T117" s="410"/>
      <c r="U117" s="410"/>
      <c r="V117" s="410"/>
      <c r="W117" s="357"/>
      <c r="X117" s="357"/>
      <c r="Y117" s="357"/>
      <c r="Z117" s="357"/>
    </row>
    <row r="118" spans="1:26" ht="16.5" customHeight="1" x14ac:dyDescent="0.4">
      <c r="A118" s="425">
        <v>45505</v>
      </c>
      <c r="B118" s="427">
        <v>115.29</v>
      </c>
      <c r="C118" s="427">
        <v>86.2</v>
      </c>
      <c r="D118" s="427">
        <f t="shared" si="0"/>
        <v>-5.6499999999999915</v>
      </c>
      <c r="E118" s="436"/>
      <c r="F118" s="436"/>
      <c r="G118" s="427">
        <v>54.63</v>
      </c>
      <c r="H118" s="427">
        <f t="shared" si="1"/>
        <v>-1.4600000000000009</v>
      </c>
      <c r="I118" s="436"/>
      <c r="J118" s="436"/>
      <c r="K118" s="427">
        <v>35.619999999999997</v>
      </c>
      <c r="L118" s="427">
        <f t="shared" si="3"/>
        <v>-0.60000000000000142</v>
      </c>
      <c r="M118" s="436"/>
      <c r="N118" s="436"/>
      <c r="O118" s="410"/>
      <c r="P118" s="410"/>
      <c r="Q118" s="410"/>
      <c r="R118" s="410"/>
      <c r="S118" s="410"/>
      <c r="T118" s="410"/>
      <c r="U118" s="410"/>
      <c r="V118" s="410"/>
      <c r="W118" s="357"/>
      <c r="X118" s="357"/>
      <c r="Y118" s="357"/>
      <c r="Z118" s="357"/>
    </row>
    <row r="119" spans="1:26" ht="16.5" customHeight="1" x14ac:dyDescent="0.4">
      <c r="A119" s="425">
        <v>45536</v>
      </c>
      <c r="B119" s="427">
        <v>125.15</v>
      </c>
      <c r="C119" s="427">
        <v>85.01</v>
      </c>
      <c r="D119" s="427">
        <f t="shared" si="0"/>
        <v>-1.1899999999999977</v>
      </c>
      <c r="E119" s="436"/>
      <c r="F119" s="436"/>
      <c r="G119" s="427">
        <v>53.26</v>
      </c>
      <c r="H119" s="427">
        <f t="shared" si="1"/>
        <v>-1.3700000000000045</v>
      </c>
      <c r="I119" s="436"/>
      <c r="J119" s="436"/>
      <c r="K119" s="427">
        <v>35.89</v>
      </c>
      <c r="L119" s="427">
        <f t="shared" si="3"/>
        <v>0.27000000000000313</v>
      </c>
      <c r="M119" s="436"/>
      <c r="N119" s="436"/>
      <c r="O119" s="410"/>
      <c r="P119" s="410"/>
      <c r="Q119" s="410"/>
      <c r="R119" s="410"/>
      <c r="S119" s="410"/>
      <c r="T119" s="410"/>
      <c r="U119" s="410"/>
      <c r="V119" s="410"/>
      <c r="W119" s="357"/>
      <c r="X119" s="357"/>
      <c r="Y119" s="357"/>
      <c r="Z119" s="357"/>
    </row>
    <row r="120" spans="1:26" ht="16.5" customHeight="1" x14ac:dyDescent="0.4">
      <c r="A120" s="425">
        <v>45566</v>
      </c>
      <c r="B120" s="427">
        <v>131.16999999999999</v>
      </c>
      <c r="C120" s="427">
        <v>79.69</v>
      </c>
      <c r="D120" s="427">
        <f t="shared" si="0"/>
        <v>-5.3200000000000074</v>
      </c>
      <c r="E120" s="436"/>
      <c r="F120" s="436"/>
      <c r="G120" s="427">
        <v>52.41</v>
      </c>
      <c r="H120" s="427">
        <f t="shared" si="1"/>
        <v>-0.85000000000000142</v>
      </c>
      <c r="I120" s="436"/>
      <c r="J120" s="436"/>
      <c r="K120" s="427">
        <v>34.67</v>
      </c>
      <c r="L120" s="427">
        <f t="shared" si="3"/>
        <v>-1.2199999999999989</v>
      </c>
      <c r="M120" s="436"/>
      <c r="N120" s="436"/>
      <c r="O120" s="410"/>
      <c r="P120" s="410"/>
      <c r="Q120" s="410"/>
      <c r="R120" s="410"/>
      <c r="S120" s="410"/>
      <c r="T120" s="410"/>
      <c r="U120" s="410"/>
      <c r="V120" s="410"/>
      <c r="W120" s="357"/>
      <c r="X120" s="357"/>
      <c r="Y120" s="357"/>
      <c r="Z120" s="357"/>
    </row>
    <row r="121" spans="1:26" ht="16.5" customHeight="1" x14ac:dyDescent="0.4">
      <c r="A121" s="425">
        <v>45597</v>
      </c>
      <c r="B121" s="427">
        <v>114.43</v>
      </c>
      <c r="C121" s="437">
        <v>83.46</v>
      </c>
      <c r="D121" s="437">
        <f t="shared" si="0"/>
        <v>3.769999999999996</v>
      </c>
      <c r="E121" s="438"/>
      <c r="F121" s="438"/>
      <c r="G121" s="437">
        <v>51.91</v>
      </c>
      <c r="H121" s="437">
        <f t="shared" si="1"/>
        <v>-0.5</v>
      </c>
      <c r="I121" s="438"/>
      <c r="J121" s="438"/>
      <c r="K121" s="437">
        <v>35.57</v>
      </c>
      <c r="L121" s="437">
        <f t="shared" si="3"/>
        <v>0.89999999999999858</v>
      </c>
      <c r="M121" s="438"/>
      <c r="N121" s="438"/>
      <c r="O121" s="410"/>
      <c r="P121" s="410"/>
      <c r="Q121" s="410"/>
      <c r="R121" s="410"/>
      <c r="S121" s="410"/>
      <c r="T121" s="410"/>
      <c r="U121" s="410"/>
      <c r="V121" s="410"/>
      <c r="W121" s="357"/>
      <c r="X121" s="357"/>
      <c r="Y121" s="357"/>
      <c r="Z121" s="357"/>
    </row>
    <row r="122" spans="1:26" ht="16.5" customHeight="1" x14ac:dyDescent="0.4">
      <c r="A122" s="425">
        <v>45627</v>
      </c>
      <c r="B122" s="427">
        <v>122.51</v>
      </c>
      <c r="C122" s="427">
        <v>81.59</v>
      </c>
      <c r="D122" s="427">
        <f t="shared" si="0"/>
        <v>-1.8699999999999903</v>
      </c>
      <c r="E122" s="439"/>
      <c r="F122" s="439"/>
      <c r="G122" s="427">
        <v>51.78</v>
      </c>
      <c r="H122" s="427">
        <f t="shared" si="1"/>
        <v>-0.12999999999999545</v>
      </c>
      <c r="I122" s="439"/>
      <c r="J122" s="439"/>
      <c r="K122" s="427">
        <v>35.28</v>
      </c>
      <c r="L122" s="427">
        <f t="shared" si="3"/>
        <v>-0.28999999999999915</v>
      </c>
      <c r="M122" s="439"/>
      <c r="N122" s="439"/>
      <c r="O122" s="410"/>
      <c r="P122" s="410"/>
      <c r="Q122" s="410"/>
      <c r="R122" s="410"/>
      <c r="S122" s="410"/>
      <c r="T122" s="410"/>
      <c r="U122" s="410"/>
      <c r="V122" s="410"/>
      <c r="W122" s="357"/>
      <c r="X122" s="357"/>
      <c r="Y122" s="357"/>
      <c r="Z122" s="357"/>
    </row>
    <row r="123" spans="1:26" ht="16.5" customHeight="1" x14ac:dyDescent="0.4">
      <c r="A123" s="425">
        <v>45658</v>
      </c>
      <c r="B123" s="427">
        <v>124.01</v>
      </c>
      <c r="C123" s="427">
        <v>83.95</v>
      </c>
      <c r="D123" s="440">
        <f t="shared" si="0"/>
        <v>2.3599999999999994</v>
      </c>
      <c r="E123" s="441"/>
      <c r="F123" s="441"/>
      <c r="G123" s="435">
        <v>52.75</v>
      </c>
      <c r="H123" s="440">
        <f t="shared" si="1"/>
        <v>0.96999999999999886</v>
      </c>
      <c r="I123" s="441"/>
      <c r="J123" s="441"/>
      <c r="K123" s="435">
        <v>34.700000000000003</v>
      </c>
      <c r="L123" s="440">
        <f t="shared" si="3"/>
        <v>-0.57999999999999829</v>
      </c>
      <c r="M123" s="441"/>
      <c r="N123" s="441"/>
      <c r="O123" s="410"/>
      <c r="P123" s="410"/>
      <c r="Q123" s="410"/>
      <c r="R123" s="410"/>
      <c r="S123" s="410"/>
      <c r="T123" s="410"/>
      <c r="U123" s="410"/>
      <c r="V123" s="410"/>
      <c r="W123" s="357"/>
      <c r="X123" s="357"/>
      <c r="Y123" s="357"/>
      <c r="Z123" s="357"/>
    </row>
    <row r="124" spans="1:26" ht="16.5" customHeight="1" x14ac:dyDescent="0.4">
      <c r="A124" s="425">
        <v>45689</v>
      </c>
      <c r="B124" s="427">
        <v>124.24</v>
      </c>
      <c r="C124" s="427">
        <v>82.26</v>
      </c>
      <c r="D124" s="440">
        <f t="shared" si="0"/>
        <v>-1.6899999999999977</v>
      </c>
      <c r="E124" s="441"/>
      <c r="F124" s="441"/>
      <c r="G124" s="435">
        <v>50.52</v>
      </c>
      <c r="H124" s="440">
        <f t="shared" si="1"/>
        <v>-2.2299999999999969</v>
      </c>
      <c r="I124" s="441"/>
      <c r="J124" s="441"/>
      <c r="K124" s="435">
        <v>34.380000000000003</v>
      </c>
      <c r="L124" s="440">
        <f t="shared" si="3"/>
        <v>-0.32000000000000028</v>
      </c>
      <c r="M124" s="441"/>
      <c r="N124" s="441"/>
      <c r="O124" s="410"/>
      <c r="P124" s="410"/>
      <c r="Q124" s="410"/>
      <c r="R124" s="410"/>
      <c r="S124" s="410"/>
      <c r="T124" s="410"/>
      <c r="U124" s="410"/>
      <c r="V124" s="410"/>
      <c r="W124" s="357"/>
      <c r="X124" s="357"/>
      <c r="Y124" s="357"/>
      <c r="Z124" s="357"/>
    </row>
    <row r="125" spans="1:26" ht="16.5" customHeight="1" x14ac:dyDescent="0.4">
      <c r="A125" s="425">
        <v>45717</v>
      </c>
      <c r="B125" s="427">
        <v>128.24</v>
      </c>
      <c r="C125" s="427">
        <v>82.66</v>
      </c>
      <c r="D125" s="440">
        <f t="shared" si="0"/>
        <v>0.39999999999999147</v>
      </c>
      <c r="E125" s="441"/>
      <c r="F125" s="441"/>
      <c r="G125" s="435">
        <v>50.7</v>
      </c>
      <c r="H125" s="440">
        <f t="shared" si="1"/>
        <v>0.17999999999999972</v>
      </c>
      <c r="I125" s="441"/>
      <c r="J125" s="441"/>
      <c r="K125" s="435">
        <v>34.159999999999997</v>
      </c>
      <c r="L125" s="440">
        <f t="shared" si="3"/>
        <v>-0.22000000000000597</v>
      </c>
      <c r="M125" s="441"/>
      <c r="N125" s="441"/>
      <c r="O125" s="410"/>
      <c r="P125" s="410"/>
      <c r="Q125" s="410"/>
      <c r="R125" s="410"/>
      <c r="S125" s="410"/>
      <c r="T125" s="410"/>
      <c r="U125" s="410"/>
      <c r="V125" s="410"/>
      <c r="W125" s="357"/>
      <c r="X125" s="357"/>
      <c r="Y125" s="357"/>
      <c r="Z125" s="357"/>
    </row>
    <row r="126" spans="1:26" ht="16.5" customHeight="1" x14ac:dyDescent="0.4">
      <c r="A126" s="442"/>
      <c r="B126" s="443"/>
      <c r="C126" s="410"/>
      <c r="D126" s="410"/>
      <c r="E126" s="410"/>
      <c r="F126" s="410"/>
      <c r="G126" s="410"/>
      <c r="H126" s="410"/>
      <c r="I126" s="410"/>
      <c r="J126" s="410"/>
      <c r="K126" s="410"/>
      <c r="L126" s="410"/>
      <c r="M126" s="410"/>
      <c r="N126" s="410"/>
      <c r="O126" s="410"/>
      <c r="P126" s="410"/>
      <c r="Q126" s="410"/>
      <c r="R126" s="410"/>
      <c r="S126" s="410"/>
      <c r="T126" s="410"/>
      <c r="U126" s="410"/>
      <c r="V126" s="410"/>
      <c r="W126" s="357"/>
      <c r="X126" s="357"/>
      <c r="Y126" s="357"/>
      <c r="Z126" s="357"/>
    </row>
    <row r="127" spans="1:26" ht="16.5" customHeight="1" x14ac:dyDescent="0.4">
      <c r="A127" s="442"/>
      <c r="B127" s="443"/>
      <c r="C127" s="410"/>
      <c r="D127" s="410"/>
      <c r="E127" s="410"/>
      <c r="F127" s="410"/>
      <c r="G127" s="410"/>
      <c r="H127" s="410"/>
      <c r="I127" s="410"/>
      <c r="J127" s="410"/>
      <c r="K127" s="410"/>
      <c r="L127" s="410"/>
      <c r="M127" s="410"/>
      <c r="N127" s="410"/>
      <c r="O127" s="410"/>
      <c r="P127" s="410"/>
      <c r="Q127" s="410"/>
      <c r="R127" s="410"/>
      <c r="S127" s="410"/>
      <c r="T127" s="410"/>
      <c r="U127" s="410"/>
      <c r="V127" s="410"/>
      <c r="W127" s="357"/>
      <c r="X127" s="357"/>
      <c r="Y127" s="357"/>
      <c r="Z127" s="357"/>
    </row>
    <row r="128" spans="1:26" ht="16.5" customHeight="1" x14ac:dyDescent="0.4">
      <c r="A128" s="442"/>
      <c r="B128" s="443"/>
      <c r="C128" s="410"/>
      <c r="D128" s="410"/>
      <c r="E128" s="410"/>
      <c r="F128" s="410"/>
      <c r="G128" s="410"/>
      <c r="H128" s="410"/>
      <c r="I128" s="410"/>
      <c r="J128" s="410"/>
      <c r="K128" s="410"/>
      <c r="L128" s="410"/>
      <c r="M128" s="410"/>
      <c r="N128" s="410"/>
      <c r="O128" s="410"/>
      <c r="P128" s="410"/>
      <c r="Q128" s="410"/>
      <c r="R128" s="410"/>
      <c r="S128" s="410"/>
      <c r="T128" s="410"/>
      <c r="U128" s="410"/>
      <c r="V128" s="410"/>
      <c r="W128" s="357"/>
      <c r="X128" s="357"/>
      <c r="Y128" s="357"/>
      <c r="Z128" s="357"/>
    </row>
    <row r="129" spans="1:26" ht="16.5" customHeight="1" x14ac:dyDescent="0.4">
      <c r="A129" s="442"/>
      <c r="B129" s="443"/>
      <c r="C129" s="410"/>
      <c r="D129" s="410"/>
      <c r="E129" s="410"/>
      <c r="F129" s="410"/>
      <c r="G129" s="410"/>
      <c r="H129" s="410"/>
      <c r="I129" s="410"/>
      <c r="J129" s="410"/>
      <c r="K129" s="410"/>
      <c r="L129" s="410"/>
      <c r="M129" s="410"/>
      <c r="N129" s="410"/>
      <c r="O129" s="410"/>
      <c r="P129" s="410"/>
      <c r="Q129" s="410"/>
      <c r="R129" s="410"/>
      <c r="S129" s="410"/>
      <c r="T129" s="410"/>
      <c r="U129" s="410"/>
      <c r="V129" s="410"/>
      <c r="W129" s="357"/>
      <c r="X129" s="357"/>
      <c r="Y129" s="357"/>
      <c r="Z129" s="357"/>
    </row>
    <row r="130" spans="1:26" ht="16.5" customHeight="1" x14ac:dyDescent="0.4">
      <c r="A130" s="442"/>
      <c r="B130" s="443"/>
      <c r="C130" s="410"/>
      <c r="D130" s="410"/>
      <c r="E130" s="410"/>
      <c r="F130" s="410"/>
      <c r="G130" s="410"/>
      <c r="H130" s="410"/>
      <c r="I130" s="410"/>
      <c r="J130" s="410"/>
      <c r="K130" s="410"/>
      <c r="L130" s="410"/>
      <c r="M130" s="410"/>
      <c r="N130" s="410"/>
      <c r="O130" s="410"/>
      <c r="P130" s="410"/>
      <c r="Q130" s="410"/>
      <c r="R130" s="410"/>
      <c r="S130" s="410"/>
      <c r="T130" s="410"/>
      <c r="U130" s="410"/>
      <c r="V130" s="410"/>
      <c r="W130" s="357"/>
      <c r="X130" s="357"/>
      <c r="Y130" s="357"/>
      <c r="Z130" s="357"/>
    </row>
    <row r="131" spans="1:26" ht="16.5" customHeight="1" x14ac:dyDescent="0.4">
      <c r="A131" s="442"/>
      <c r="B131" s="443"/>
      <c r="C131" s="410"/>
      <c r="D131" s="410"/>
      <c r="E131" s="410"/>
      <c r="F131" s="410"/>
      <c r="G131" s="410"/>
      <c r="H131" s="410"/>
      <c r="I131" s="410"/>
      <c r="J131" s="410"/>
      <c r="K131" s="410"/>
      <c r="L131" s="410"/>
      <c r="M131" s="410"/>
      <c r="N131" s="410"/>
      <c r="O131" s="410"/>
      <c r="P131" s="410"/>
      <c r="Q131" s="410"/>
      <c r="R131" s="410"/>
      <c r="S131" s="410"/>
      <c r="T131" s="410"/>
      <c r="U131" s="410"/>
      <c r="V131" s="410"/>
      <c r="W131" s="357"/>
      <c r="X131" s="357"/>
      <c r="Y131" s="357"/>
      <c r="Z131" s="357"/>
    </row>
    <row r="132" spans="1:26" ht="16.5" customHeight="1" x14ac:dyDescent="0.4">
      <c r="A132" s="442"/>
      <c r="B132" s="443"/>
      <c r="C132" s="410"/>
      <c r="D132" s="410"/>
      <c r="E132" s="410"/>
      <c r="F132" s="410"/>
      <c r="G132" s="410"/>
      <c r="H132" s="410"/>
      <c r="I132" s="410"/>
      <c r="J132" s="410"/>
      <c r="K132" s="410"/>
      <c r="L132" s="410"/>
      <c r="M132" s="410"/>
      <c r="N132" s="410"/>
      <c r="O132" s="410"/>
      <c r="P132" s="410"/>
      <c r="Q132" s="410"/>
      <c r="R132" s="410"/>
      <c r="S132" s="410"/>
      <c r="T132" s="410"/>
      <c r="U132" s="410"/>
      <c r="V132" s="410"/>
      <c r="W132" s="357"/>
      <c r="X132" s="357"/>
      <c r="Y132" s="357"/>
      <c r="Z132" s="357"/>
    </row>
    <row r="133" spans="1:26" ht="16.5" customHeight="1" x14ac:dyDescent="0.4">
      <c r="A133" s="442"/>
      <c r="B133" s="443"/>
      <c r="C133" s="410"/>
      <c r="D133" s="410"/>
      <c r="E133" s="410"/>
      <c r="F133" s="410"/>
      <c r="G133" s="410"/>
      <c r="H133" s="410"/>
      <c r="I133" s="410"/>
      <c r="J133" s="410"/>
      <c r="K133" s="410"/>
      <c r="L133" s="410"/>
      <c r="M133" s="410"/>
      <c r="N133" s="410"/>
      <c r="O133" s="410"/>
      <c r="P133" s="410"/>
      <c r="Q133" s="410"/>
      <c r="R133" s="410"/>
      <c r="S133" s="410"/>
      <c r="T133" s="410"/>
      <c r="U133" s="410"/>
      <c r="V133" s="410"/>
      <c r="W133" s="357"/>
      <c r="X133" s="357"/>
      <c r="Y133" s="357"/>
      <c r="Z133" s="357"/>
    </row>
    <row r="134" spans="1:26" ht="16.5" customHeight="1" x14ac:dyDescent="0.4">
      <c r="A134" s="442"/>
      <c r="B134" s="443"/>
      <c r="C134" s="410"/>
      <c r="D134" s="410"/>
      <c r="E134" s="410"/>
      <c r="F134" s="410"/>
      <c r="G134" s="410"/>
      <c r="H134" s="410"/>
      <c r="I134" s="410"/>
      <c r="J134" s="410"/>
      <c r="K134" s="410"/>
      <c r="L134" s="410"/>
      <c r="M134" s="410"/>
      <c r="N134" s="410"/>
      <c r="O134" s="410"/>
      <c r="P134" s="410"/>
      <c r="Q134" s="410"/>
      <c r="R134" s="410"/>
      <c r="S134" s="410"/>
      <c r="T134" s="410"/>
      <c r="U134" s="410"/>
      <c r="V134" s="410"/>
      <c r="W134" s="357"/>
      <c r="X134" s="357"/>
      <c r="Y134" s="357"/>
      <c r="Z134" s="357"/>
    </row>
    <row r="135" spans="1:26" ht="16.5" customHeight="1" x14ac:dyDescent="0.4">
      <c r="A135" s="442"/>
      <c r="B135" s="443"/>
      <c r="C135" s="410"/>
      <c r="D135" s="410"/>
      <c r="E135" s="410"/>
      <c r="F135" s="410"/>
      <c r="G135" s="410"/>
      <c r="H135" s="410"/>
      <c r="I135" s="410"/>
      <c r="J135" s="410"/>
      <c r="K135" s="410"/>
      <c r="L135" s="410"/>
      <c r="M135" s="410"/>
      <c r="N135" s="410"/>
      <c r="O135" s="410"/>
      <c r="P135" s="410"/>
      <c r="Q135" s="410"/>
      <c r="R135" s="410"/>
      <c r="S135" s="410"/>
      <c r="T135" s="410"/>
      <c r="U135" s="410"/>
      <c r="V135" s="410"/>
      <c r="W135" s="357"/>
      <c r="X135" s="357"/>
      <c r="Y135" s="357"/>
      <c r="Z135" s="357"/>
    </row>
    <row r="136" spans="1:26" ht="16.5" customHeight="1" x14ac:dyDescent="0.4">
      <c r="A136" s="442"/>
      <c r="B136" s="443"/>
      <c r="C136" s="410"/>
      <c r="D136" s="410"/>
      <c r="E136" s="410"/>
      <c r="F136" s="410"/>
      <c r="G136" s="410"/>
      <c r="H136" s="410"/>
      <c r="I136" s="410"/>
      <c r="J136" s="410"/>
      <c r="K136" s="410"/>
      <c r="L136" s="410"/>
      <c r="M136" s="410"/>
      <c r="N136" s="410"/>
      <c r="O136" s="410"/>
      <c r="P136" s="410"/>
      <c r="Q136" s="410"/>
      <c r="R136" s="410"/>
      <c r="S136" s="410"/>
      <c r="T136" s="410"/>
      <c r="U136" s="410"/>
      <c r="V136" s="410"/>
      <c r="W136" s="357"/>
      <c r="X136" s="357"/>
      <c r="Y136" s="357"/>
      <c r="Z136" s="357"/>
    </row>
    <row r="137" spans="1:26" ht="16.5" customHeight="1" x14ac:dyDescent="0.4">
      <c r="A137" s="442"/>
      <c r="B137" s="443"/>
      <c r="C137" s="410"/>
      <c r="D137" s="410"/>
      <c r="E137" s="410"/>
      <c r="F137" s="410"/>
      <c r="G137" s="410"/>
      <c r="H137" s="410"/>
      <c r="I137" s="410"/>
      <c r="J137" s="410"/>
      <c r="K137" s="410"/>
      <c r="L137" s="410"/>
      <c r="M137" s="410"/>
      <c r="N137" s="410"/>
      <c r="O137" s="410"/>
      <c r="P137" s="410"/>
      <c r="Q137" s="410"/>
      <c r="R137" s="410"/>
      <c r="S137" s="410"/>
      <c r="T137" s="410"/>
      <c r="U137" s="410"/>
      <c r="V137" s="410"/>
      <c r="W137" s="357"/>
      <c r="X137" s="357"/>
      <c r="Y137" s="357"/>
      <c r="Z137" s="357"/>
    </row>
    <row r="138" spans="1:26" ht="16.5" customHeight="1" x14ac:dyDescent="0.4">
      <c r="A138" s="442"/>
      <c r="B138" s="443"/>
      <c r="C138" s="410"/>
      <c r="D138" s="410"/>
      <c r="E138" s="410"/>
      <c r="F138" s="410"/>
      <c r="G138" s="410"/>
      <c r="H138" s="410"/>
      <c r="I138" s="410"/>
      <c r="J138" s="410"/>
      <c r="K138" s="410"/>
      <c r="L138" s="410"/>
      <c r="M138" s="410"/>
      <c r="N138" s="410"/>
      <c r="O138" s="410"/>
      <c r="P138" s="410"/>
      <c r="Q138" s="410"/>
      <c r="R138" s="410"/>
      <c r="S138" s="410"/>
      <c r="T138" s="410"/>
      <c r="U138" s="410"/>
      <c r="V138" s="410"/>
      <c r="W138" s="357"/>
      <c r="X138" s="357"/>
      <c r="Y138" s="357"/>
      <c r="Z138" s="357"/>
    </row>
    <row r="139" spans="1:26" ht="16.5" customHeight="1" x14ac:dyDescent="0.4">
      <c r="A139" s="442"/>
      <c r="B139" s="443"/>
      <c r="C139" s="410"/>
      <c r="D139" s="410"/>
      <c r="E139" s="410"/>
      <c r="F139" s="410"/>
      <c r="G139" s="410"/>
      <c r="H139" s="410"/>
      <c r="I139" s="410"/>
      <c r="J139" s="410"/>
      <c r="K139" s="410"/>
      <c r="L139" s="410"/>
      <c r="M139" s="410"/>
      <c r="N139" s="410"/>
      <c r="O139" s="410"/>
      <c r="P139" s="410"/>
      <c r="Q139" s="410"/>
      <c r="R139" s="410"/>
      <c r="S139" s="410"/>
      <c r="T139" s="410"/>
      <c r="U139" s="410"/>
      <c r="V139" s="410"/>
      <c r="W139" s="357"/>
      <c r="X139" s="357"/>
      <c r="Y139" s="357"/>
      <c r="Z139" s="357"/>
    </row>
    <row r="140" spans="1:26" ht="16.5" customHeight="1" x14ac:dyDescent="0.4">
      <c r="A140" s="442"/>
      <c r="B140" s="443"/>
      <c r="C140" s="410"/>
      <c r="D140" s="410"/>
      <c r="E140" s="410"/>
      <c r="F140" s="410"/>
      <c r="G140" s="410"/>
      <c r="H140" s="410"/>
      <c r="I140" s="410"/>
      <c r="J140" s="410"/>
      <c r="K140" s="410"/>
      <c r="L140" s="410"/>
      <c r="M140" s="410"/>
      <c r="N140" s="410"/>
      <c r="O140" s="410"/>
      <c r="P140" s="410"/>
      <c r="Q140" s="410"/>
      <c r="R140" s="410"/>
      <c r="S140" s="410"/>
      <c r="T140" s="410"/>
      <c r="U140" s="410"/>
      <c r="V140" s="410"/>
      <c r="W140" s="357"/>
      <c r="X140" s="357"/>
      <c r="Y140" s="357"/>
      <c r="Z140" s="357"/>
    </row>
    <row r="141" spans="1:26" ht="16.5" customHeight="1" x14ac:dyDescent="0.4">
      <c r="A141" s="442"/>
      <c r="B141" s="443"/>
      <c r="C141" s="410"/>
      <c r="D141" s="410"/>
      <c r="E141" s="410"/>
      <c r="F141" s="410"/>
      <c r="G141" s="410"/>
      <c r="H141" s="410"/>
      <c r="I141" s="410"/>
      <c r="J141" s="410"/>
      <c r="K141" s="410"/>
      <c r="L141" s="410"/>
      <c r="M141" s="410"/>
      <c r="N141" s="410"/>
      <c r="O141" s="410"/>
      <c r="P141" s="410"/>
      <c r="Q141" s="410"/>
      <c r="R141" s="410"/>
      <c r="S141" s="410"/>
      <c r="T141" s="410"/>
      <c r="U141" s="410"/>
      <c r="V141" s="410"/>
      <c r="W141" s="357"/>
      <c r="X141" s="357"/>
      <c r="Y141" s="357"/>
      <c r="Z141" s="357"/>
    </row>
    <row r="142" spans="1:26" ht="16.5" customHeight="1" x14ac:dyDescent="0.4">
      <c r="A142" s="442"/>
      <c r="B142" s="443"/>
      <c r="C142" s="410"/>
      <c r="D142" s="410"/>
      <c r="E142" s="410"/>
      <c r="F142" s="410"/>
      <c r="G142" s="410"/>
      <c r="H142" s="410"/>
      <c r="I142" s="410"/>
      <c r="J142" s="410"/>
      <c r="K142" s="410"/>
      <c r="L142" s="410"/>
      <c r="M142" s="410"/>
      <c r="N142" s="410"/>
      <c r="O142" s="410"/>
      <c r="P142" s="410"/>
      <c r="Q142" s="410"/>
      <c r="R142" s="410"/>
      <c r="S142" s="410"/>
      <c r="T142" s="410"/>
      <c r="U142" s="410"/>
      <c r="V142" s="410"/>
      <c r="W142" s="357"/>
      <c r="X142" s="357"/>
      <c r="Y142" s="357"/>
      <c r="Z142" s="357"/>
    </row>
    <row r="143" spans="1:26" ht="16.5" customHeight="1" x14ac:dyDescent="0.4">
      <c r="A143" s="442"/>
      <c r="B143" s="443"/>
      <c r="C143" s="410"/>
      <c r="D143" s="410"/>
      <c r="E143" s="410"/>
      <c r="F143" s="410"/>
      <c r="G143" s="410"/>
      <c r="H143" s="410"/>
      <c r="I143" s="410"/>
      <c r="J143" s="410"/>
      <c r="K143" s="410"/>
      <c r="L143" s="410"/>
      <c r="M143" s="410"/>
      <c r="N143" s="410"/>
      <c r="O143" s="410"/>
      <c r="P143" s="410"/>
      <c r="Q143" s="410"/>
      <c r="R143" s="410"/>
      <c r="S143" s="410"/>
      <c r="T143" s="410"/>
      <c r="U143" s="410"/>
      <c r="V143" s="410"/>
      <c r="W143" s="357"/>
      <c r="X143" s="357"/>
      <c r="Y143" s="357"/>
      <c r="Z143" s="357"/>
    </row>
    <row r="144" spans="1:26" ht="16.5" customHeight="1" x14ac:dyDescent="0.4">
      <c r="A144" s="442"/>
      <c r="B144" s="443"/>
      <c r="C144" s="410"/>
      <c r="D144" s="410"/>
      <c r="E144" s="410"/>
      <c r="F144" s="410"/>
      <c r="G144" s="410"/>
      <c r="H144" s="410"/>
      <c r="I144" s="410"/>
      <c r="J144" s="410"/>
      <c r="K144" s="410"/>
      <c r="L144" s="410"/>
      <c r="M144" s="410"/>
      <c r="N144" s="410"/>
      <c r="O144" s="410"/>
      <c r="P144" s="410"/>
      <c r="Q144" s="410"/>
      <c r="R144" s="410"/>
      <c r="S144" s="410"/>
      <c r="T144" s="410"/>
      <c r="U144" s="410"/>
      <c r="V144" s="410"/>
      <c r="W144" s="357"/>
      <c r="X144" s="357"/>
      <c r="Y144" s="357"/>
      <c r="Z144" s="357"/>
    </row>
    <row r="145" spans="1:26" ht="16.5" customHeight="1" x14ac:dyDescent="0.4">
      <c r="A145" s="442"/>
      <c r="B145" s="443"/>
      <c r="C145" s="410"/>
      <c r="D145" s="410"/>
      <c r="E145" s="410"/>
      <c r="F145" s="410"/>
      <c r="G145" s="410"/>
      <c r="H145" s="410"/>
      <c r="I145" s="410"/>
      <c r="J145" s="410"/>
      <c r="K145" s="410"/>
      <c r="L145" s="410"/>
      <c r="M145" s="410"/>
      <c r="N145" s="410"/>
      <c r="O145" s="410"/>
      <c r="P145" s="410"/>
      <c r="Q145" s="410"/>
      <c r="R145" s="410"/>
      <c r="S145" s="410"/>
      <c r="T145" s="410"/>
      <c r="U145" s="410"/>
      <c r="V145" s="410"/>
      <c r="W145" s="357"/>
      <c r="X145" s="357"/>
      <c r="Y145" s="357"/>
      <c r="Z145" s="357"/>
    </row>
    <row r="146" spans="1:26" ht="16.5" customHeight="1" x14ac:dyDescent="0.4">
      <c r="A146" s="442"/>
      <c r="B146" s="443"/>
      <c r="C146" s="410"/>
      <c r="D146" s="410"/>
      <c r="E146" s="410"/>
      <c r="F146" s="410"/>
      <c r="G146" s="410"/>
      <c r="H146" s="410"/>
      <c r="I146" s="410"/>
      <c r="J146" s="410"/>
      <c r="K146" s="410"/>
      <c r="L146" s="410"/>
      <c r="M146" s="410"/>
      <c r="N146" s="410"/>
      <c r="O146" s="410"/>
      <c r="P146" s="410"/>
      <c r="Q146" s="410"/>
      <c r="R146" s="410"/>
      <c r="S146" s="410"/>
      <c r="T146" s="410"/>
      <c r="U146" s="410"/>
      <c r="V146" s="410"/>
      <c r="W146" s="357"/>
      <c r="X146" s="357"/>
      <c r="Y146" s="357"/>
      <c r="Z146" s="357"/>
    </row>
    <row r="147" spans="1:26" ht="16.5" customHeight="1" x14ac:dyDescent="0.4">
      <c r="A147" s="442"/>
      <c r="B147" s="443"/>
      <c r="C147" s="410"/>
      <c r="D147" s="410"/>
      <c r="E147" s="410"/>
      <c r="F147" s="410"/>
      <c r="G147" s="410"/>
      <c r="H147" s="410"/>
      <c r="I147" s="410"/>
      <c r="J147" s="410"/>
      <c r="K147" s="410"/>
      <c r="L147" s="410"/>
      <c r="M147" s="410"/>
      <c r="N147" s="410"/>
      <c r="O147" s="410"/>
      <c r="P147" s="410"/>
      <c r="Q147" s="410"/>
      <c r="R147" s="410"/>
      <c r="S147" s="410"/>
      <c r="T147" s="410"/>
      <c r="U147" s="410"/>
      <c r="V147" s="410"/>
      <c r="W147" s="357"/>
      <c r="X147" s="357"/>
      <c r="Y147" s="357"/>
      <c r="Z147" s="357"/>
    </row>
    <row r="148" spans="1:26" ht="16.5" customHeight="1" x14ac:dyDescent="0.4">
      <c r="A148" s="442"/>
      <c r="B148" s="443"/>
      <c r="C148" s="410"/>
      <c r="D148" s="410"/>
      <c r="E148" s="410"/>
      <c r="F148" s="410"/>
      <c r="G148" s="410"/>
      <c r="H148" s="410"/>
      <c r="I148" s="410"/>
      <c r="J148" s="410"/>
      <c r="K148" s="410"/>
      <c r="L148" s="410"/>
      <c r="M148" s="410"/>
      <c r="N148" s="410"/>
      <c r="O148" s="410"/>
      <c r="P148" s="410"/>
      <c r="Q148" s="410"/>
      <c r="R148" s="410"/>
      <c r="S148" s="410"/>
      <c r="T148" s="410"/>
      <c r="U148" s="410"/>
      <c r="V148" s="410"/>
      <c r="W148" s="357"/>
      <c r="X148" s="357"/>
      <c r="Y148" s="357"/>
      <c r="Z148" s="357"/>
    </row>
    <row r="149" spans="1:26" ht="16.5" customHeight="1" x14ac:dyDescent="0.4">
      <c r="A149" s="442"/>
      <c r="B149" s="443"/>
      <c r="C149" s="410"/>
      <c r="D149" s="410"/>
      <c r="E149" s="410"/>
      <c r="F149" s="410"/>
      <c r="G149" s="410"/>
      <c r="H149" s="410"/>
      <c r="I149" s="410"/>
      <c r="J149" s="410"/>
      <c r="K149" s="410"/>
      <c r="L149" s="410"/>
      <c r="M149" s="410"/>
      <c r="N149" s="410"/>
      <c r="O149" s="410"/>
      <c r="P149" s="410"/>
      <c r="Q149" s="410"/>
      <c r="R149" s="410"/>
      <c r="S149" s="410"/>
      <c r="T149" s="410"/>
      <c r="U149" s="410"/>
      <c r="V149" s="410"/>
      <c r="W149" s="357"/>
      <c r="X149" s="357"/>
      <c r="Y149" s="357"/>
      <c r="Z149" s="357"/>
    </row>
    <row r="150" spans="1:26" ht="16.5" customHeight="1" x14ac:dyDescent="0.4">
      <c r="A150" s="442"/>
      <c r="B150" s="443"/>
      <c r="C150" s="410"/>
      <c r="D150" s="410"/>
      <c r="E150" s="410"/>
      <c r="F150" s="410"/>
      <c r="G150" s="410"/>
      <c r="H150" s="410"/>
      <c r="I150" s="410"/>
      <c r="J150" s="410"/>
      <c r="K150" s="410"/>
      <c r="L150" s="410"/>
      <c r="M150" s="410"/>
      <c r="N150" s="410"/>
      <c r="O150" s="410"/>
      <c r="P150" s="410"/>
      <c r="Q150" s="410"/>
      <c r="R150" s="410"/>
      <c r="S150" s="410"/>
      <c r="T150" s="410"/>
      <c r="U150" s="410"/>
      <c r="V150" s="410"/>
      <c r="W150" s="357"/>
      <c r="X150" s="357"/>
      <c r="Y150" s="357"/>
      <c r="Z150" s="357"/>
    </row>
    <row r="151" spans="1:26" ht="16.5" customHeight="1" x14ac:dyDescent="0.4">
      <c r="A151" s="442"/>
      <c r="B151" s="443"/>
      <c r="C151" s="410"/>
      <c r="D151" s="410"/>
      <c r="E151" s="410"/>
      <c r="F151" s="410"/>
      <c r="G151" s="410"/>
      <c r="H151" s="410"/>
      <c r="I151" s="410"/>
      <c r="J151" s="410"/>
      <c r="K151" s="410"/>
      <c r="L151" s="410"/>
      <c r="M151" s="410"/>
      <c r="N151" s="410"/>
      <c r="O151" s="410"/>
      <c r="P151" s="410"/>
      <c r="Q151" s="410"/>
      <c r="R151" s="410"/>
      <c r="S151" s="410"/>
      <c r="T151" s="410"/>
      <c r="U151" s="410"/>
      <c r="V151" s="410"/>
      <c r="W151" s="357"/>
      <c r="X151" s="357"/>
      <c r="Y151" s="357"/>
      <c r="Z151" s="357"/>
    </row>
    <row r="152" spans="1:26" ht="16.5" customHeight="1" x14ac:dyDescent="0.4">
      <c r="A152" s="442"/>
      <c r="B152" s="443"/>
      <c r="C152" s="410"/>
      <c r="D152" s="410"/>
      <c r="E152" s="410"/>
      <c r="F152" s="410"/>
      <c r="G152" s="410"/>
      <c r="H152" s="410"/>
      <c r="I152" s="410"/>
      <c r="J152" s="410"/>
      <c r="K152" s="410"/>
      <c r="L152" s="410"/>
      <c r="M152" s="410"/>
      <c r="N152" s="410"/>
      <c r="O152" s="410"/>
      <c r="P152" s="410"/>
      <c r="Q152" s="410"/>
      <c r="R152" s="410"/>
      <c r="S152" s="410"/>
      <c r="T152" s="410"/>
      <c r="U152" s="410"/>
      <c r="V152" s="410"/>
      <c r="W152" s="357"/>
      <c r="X152" s="357"/>
      <c r="Y152" s="357"/>
      <c r="Z152" s="357"/>
    </row>
    <row r="153" spans="1:26" ht="16.5" customHeight="1" x14ac:dyDescent="0.4">
      <c r="A153" s="442"/>
      <c r="B153" s="443"/>
      <c r="C153" s="410"/>
      <c r="D153" s="410"/>
      <c r="E153" s="410"/>
      <c r="F153" s="410"/>
      <c r="G153" s="410"/>
      <c r="H153" s="410"/>
      <c r="I153" s="410"/>
      <c r="J153" s="410"/>
      <c r="K153" s="410"/>
      <c r="L153" s="410"/>
      <c r="M153" s="410"/>
      <c r="N153" s="410"/>
      <c r="O153" s="410"/>
      <c r="P153" s="410"/>
      <c r="Q153" s="410"/>
      <c r="R153" s="410"/>
      <c r="S153" s="410"/>
      <c r="T153" s="410"/>
      <c r="U153" s="410"/>
      <c r="V153" s="410"/>
      <c r="W153" s="357"/>
      <c r="X153" s="357"/>
      <c r="Y153" s="357"/>
      <c r="Z153" s="357"/>
    </row>
    <row r="154" spans="1:26" ht="16.5" customHeight="1" x14ac:dyDescent="0.4">
      <c r="A154" s="442"/>
      <c r="B154" s="443"/>
      <c r="C154" s="410"/>
      <c r="D154" s="410"/>
      <c r="E154" s="410"/>
      <c r="F154" s="410"/>
      <c r="G154" s="410"/>
      <c r="H154" s="410"/>
      <c r="I154" s="410"/>
      <c r="J154" s="410"/>
      <c r="K154" s="410"/>
      <c r="L154" s="410"/>
      <c r="M154" s="410"/>
      <c r="N154" s="410"/>
      <c r="O154" s="410"/>
      <c r="P154" s="410"/>
      <c r="Q154" s="410"/>
      <c r="R154" s="410"/>
      <c r="S154" s="410"/>
      <c r="T154" s="410"/>
      <c r="U154" s="410"/>
      <c r="V154" s="410"/>
      <c r="W154" s="357"/>
      <c r="X154" s="357"/>
      <c r="Y154" s="357"/>
      <c r="Z154" s="357"/>
    </row>
    <row r="155" spans="1:26" ht="16.5" customHeight="1" x14ac:dyDescent="0.4">
      <c r="A155" s="442"/>
      <c r="B155" s="443"/>
      <c r="C155" s="410"/>
      <c r="D155" s="410"/>
      <c r="E155" s="410"/>
      <c r="F155" s="410"/>
      <c r="G155" s="410"/>
      <c r="H155" s="410"/>
      <c r="I155" s="410"/>
      <c r="J155" s="410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357"/>
      <c r="X155" s="357"/>
      <c r="Y155" s="357"/>
      <c r="Z155" s="357"/>
    </row>
    <row r="156" spans="1:26" ht="16.5" customHeight="1" x14ac:dyDescent="0.4">
      <c r="A156" s="442"/>
      <c r="B156" s="443"/>
      <c r="C156" s="410"/>
      <c r="D156" s="410"/>
      <c r="E156" s="410"/>
      <c r="F156" s="410"/>
      <c r="G156" s="410"/>
      <c r="H156" s="410"/>
      <c r="I156" s="410"/>
      <c r="J156" s="410"/>
      <c r="K156" s="410"/>
      <c r="L156" s="410"/>
      <c r="M156" s="410"/>
      <c r="N156" s="410"/>
      <c r="O156" s="410"/>
      <c r="P156" s="410"/>
      <c r="Q156" s="410"/>
      <c r="R156" s="410"/>
      <c r="S156" s="410"/>
      <c r="T156" s="410"/>
      <c r="U156" s="410"/>
      <c r="V156" s="410"/>
      <c r="W156" s="357"/>
      <c r="X156" s="357"/>
      <c r="Y156" s="357"/>
      <c r="Z156" s="357"/>
    </row>
    <row r="157" spans="1:26" ht="16.5" customHeight="1" x14ac:dyDescent="0.4">
      <c r="A157" s="442"/>
      <c r="B157" s="443"/>
      <c r="C157" s="410"/>
      <c r="D157" s="410"/>
      <c r="E157" s="410"/>
      <c r="F157" s="410"/>
      <c r="G157" s="410"/>
      <c r="H157" s="410"/>
      <c r="I157" s="410"/>
      <c r="J157" s="410"/>
      <c r="K157" s="410"/>
      <c r="L157" s="410"/>
      <c r="M157" s="410"/>
      <c r="N157" s="410"/>
      <c r="O157" s="410"/>
      <c r="P157" s="410"/>
      <c r="Q157" s="410"/>
      <c r="R157" s="410"/>
      <c r="S157" s="410"/>
      <c r="T157" s="410"/>
      <c r="U157" s="410"/>
      <c r="V157" s="410"/>
      <c r="W157" s="357"/>
      <c r="X157" s="357"/>
      <c r="Y157" s="357"/>
      <c r="Z157" s="357"/>
    </row>
    <row r="158" spans="1:26" ht="16.5" customHeight="1" x14ac:dyDescent="0.4">
      <c r="A158" s="442"/>
      <c r="B158" s="443"/>
      <c r="C158" s="410"/>
      <c r="D158" s="410"/>
      <c r="E158" s="410"/>
      <c r="F158" s="410"/>
      <c r="G158" s="410"/>
      <c r="H158" s="410"/>
      <c r="I158" s="410"/>
      <c r="J158" s="410"/>
      <c r="K158" s="410"/>
      <c r="L158" s="410"/>
      <c r="M158" s="410"/>
      <c r="N158" s="410"/>
      <c r="O158" s="410"/>
      <c r="P158" s="410"/>
      <c r="Q158" s="410"/>
      <c r="R158" s="410"/>
      <c r="S158" s="410"/>
      <c r="T158" s="410"/>
      <c r="U158" s="410"/>
      <c r="V158" s="410"/>
      <c r="W158" s="357"/>
      <c r="X158" s="357"/>
      <c r="Y158" s="357"/>
      <c r="Z158" s="357"/>
    </row>
    <row r="159" spans="1:26" ht="16.5" customHeight="1" x14ac:dyDescent="0.4">
      <c r="A159" s="442"/>
      <c r="B159" s="443"/>
      <c r="C159" s="410"/>
      <c r="D159" s="410"/>
      <c r="E159" s="410"/>
      <c r="F159" s="410"/>
      <c r="G159" s="410"/>
      <c r="H159" s="410"/>
      <c r="I159" s="410"/>
      <c r="J159" s="410"/>
      <c r="K159" s="410"/>
      <c r="L159" s="410"/>
      <c r="M159" s="410"/>
      <c r="N159" s="410"/>
      <c r="O159" s="410"/>
      <c r="P159" s="410"/>
      <c r="Q159" s="410"/>
      <c r="R159" s="410"/>
      <c r="S159" s="410"/>
      <c r="T159" s="410"/>
      <c r="U159" s="410"/>
      <c r="V159" s="410"/>
      <c r="W159" s="357"/>
      <c r="X159" s="357"/>
      <c r="Y159" s="357"/>
      <c r="Z159" s="357"/>
    </row>
    <row r="160" spans="1:26" ht="16.5" customHeight="1" x14ac:dyDescent="0.4">
      <c r="A160" s="442"/>
      <c r="B160" s="443"/>
      <c r="C160" s="410"/>
      <c r="D160" s="410"/>
      <c r="E160" s="410"/>
      <c r="F160" s="410"/>
      <c r="G160" s="410"/>
      <c r="H160" s="410"/>
      <c r="I160" s="410"/>
      <c r="J160" s="410"/>
      <c r="K160" s="410"/>
      <c r="L160" s="410"/>
      <c r="M160" s="410"/>
      <c r="N160" s="410"/>
      <c r="O160" s="410"/>
      <c r="P160" s="410"/>
      <c r="Q160" s="410"/>
      <c r="R160" s="410"/>
      <c r="S160" s="410"/>
      <c r="T160" s="410"/>
      <c r="U160" s="410"/>
      <c r="V160" s="410"/>
      <c r="W160" s="357"/>
      <c r="X160" s="357"/>
      <c r="Y160" s="357"/>
      <c r="Z160" s="357"/>
    </row>
    <row r="161" spans="1:26" ht="16.5" customHeight="1" x14ac:dyDescent="0.4">
      <c r="A161" s="442"/>
      <c r="B161" s="443"/>
      <c r="C161" s="410"/>
      <c r="D161" s="410"/>
      <c r="E161" s="410"/>
      <c r="F161" s="410"/>
      <c r="G161" s="410"/>
      <c r="H161" s="410"/>
      <c r="I161" s="410"/>
      <c r="J161" s="410"/>
      <c r="K161" s="410"/>
      <c r="L161" s="410"/>
      <c r="M161" s="410"/>
      <c r="N161" s="410"/>
      <c r="O161" s="410"/>
      <c r="P161" s="410"/>
      <c r="Q161" s="410"/>
      <c r="R161" s="410"/>
      <c r="S161" s="410"/>
      <c r="T161" s="410"/>
      <c r="U161" s="410"/>
      <c r="V161" s="410"/>
      <c r="W161" s="357"/>
      <c r="X161" s="357"/>
      <c r="Y161" s="357"/>
      <c r="Z161" s="357"/>
    </row>
    <row r="162" spans="1:26" ht="16.5" customHeight="1" x14ac:dyDescent="0.4">
      <c r="A162" s="442"/>
      <c r="B162" s="443"/>
      <c r="C162" s="410"/>
      <c r="D162" s="410"/>
      <c r="E162" s="410"/>
      <c r="F162" s="410"/>
      <c r="G162" s="410"/>
      <c r="H162" s="410"/>
      <c r="I162" s="410"/>
      <c r="J162" s="410"/>
      <c r="K162" s="410"/>
      <c r="L162" s="410"/>
      <c r="M162" s="410"/>
      <c r="N162" s="410"/>
      <c r="O162" s="410"/>
      <c r="P162" s="410"/>
      <c r="Q162" s="410"/>
      <c r="R162" s="410"/>
      <c r="S162" s="410"/>
      <c r="T162" s="410"/>
      <c r="U162" s="410"/>
      <c r="V162" s="410"/>
      <c r="W162" s="357"/>
      <c r="X162" s="357"/>
      <c r="Y162" s="357"/>
      <c r="Z162" s="357"/>
    </row>
    <row r="163" spans="1:26" ht="16.5" customHeight="1" x14ac:dyDescent="0.4">
      <c r="A163" s="442"/>
      <c r="B163" s="443"/>
      <c r="C163" s="410"/>
      <c r="D163" s="410"/>
      <c r="E163" s="410"/>
      <c r="F163" s="410"/>
      <c r="G163" s="410"/>
      <c r="H163" s="410"/>
      <c r="I163" s="410"/>
      <c r="J163" s="410"/>
      <c r="K163" s="410"/>
      <c r="L163" s="410"/>
      <c r="M163" s="410"/>
      <c r="N163" s="410"/>
      <c r="O163" s="410"/>
      <c r="P163" s="410"/>
      <c r="Q163" s="410"/>
      <c r="R163" s="410"/>
      <c r="S163" s="410"/>
      <c r="T163" s="410"/>
      <c r="U163" s="410"/>
      <c r="V163" s="410"/>
      <c r="W163" s="357"/>
      <c r="X163" s="357"/>
      <c r="Y163" s="357"/>
      <c r="Z163" s="357"/>
    </row>
    <row r="164" spans="1:26" ht="16.5" customHeight="1" x14ac:dyDescent="0.4">
      <c r="A164" s="442"/>
      <c r="B164" s="443"/>
      <c r="C164" s="410"/>
      <c r="D164" s="410"/>
      <c r="E164" s="410"/>
      <c r="F164" s="410"/>
      <c r="G164" s="410"/>
      <c r="H164" s="410"/>
      <c r="I164" s="410"/>
      <c r="J164" s="410"/>
      <c r="K164" s="410"/>
      <c r="L164" s="410"/>
      <c r="M164" s="410"/>
      <c r="N164" s="410"/>
      <c r="O164" s="410"/>
      <c r="P164" s="410"/>
      <c r="Q164" s="410"/>
      <c r="R164" s="410"/>
      <c r="S164" s="410"/>
      <c r="T164" s="410"/>
      <c r="U164" s="410"/>
      <c r="V164" s="410"/>
      <c r="W164" s="357"/>
      <c r="X164" s="357"/>
      <c r="Y164" s="357"/>
      <c r="Z164" s="357"/>
    </row>
    <row r="165" spans="1:26" ht="16.5" customHeight="1" x14ac:dyDescent="0.4">
      <c r="A165" s="442"/>
      <c r="B165" s="443"/>
      <c r="C165" s="410"/>
      <c r="D165" s="410"/>
      <c r="E165" s="410"/>
      <c r="F165" s="410"/>
      <c r="G165" s="410"/>
      <c r="H165" s="410"/>
      <c r="I165" s="410"/>
      <c r="J165" s="410"/>
      <c r="K165" s="410"/>
      <c r="L165" s="410"/>
      <c r="M165" s="410"/>
      <c r="N165" s="410"/>
      <c r="O165" s="410"/>
      <c r="P165" s="410"/>
      <c r="Q165" s="410"/>
      <c r="R165" s="410"/>
      <c r="S165" s="410"/>
      <c r="T165" s="410"/>
      <c r="U165" s="410"/>
      <c r="V165" s="410"/>
      <c r="W165" s="357"/>
      <c r="X165" s="357"/>
      <c r="Y165" s="357"/>
      <c r="Z165" s="357"/>
    </row>
    <row r="166" spans="1:26" ht="16.5" customHeight="1" x14ac:dyDescent="0.4">
      <c r="A166" s="442"/>
      <c r="B166" s="443"/>
      <c r="C166" s="410"/>
      <c r="D166" s="410"/>
      <c r="E166" s="410"/>
      <c r="F166" s="410"/>
      <c r="G166" s="410"/>
      <c r="H166" s="410"/>
      <c r="I166" s="410"/>
      <c r="J166" s="410"/>
      <c r="K166" s="410"/>
      <c r="L166" s="410"/>
      <c r="M166" s="410"/>
      <c r="N166" s="410"/>
      <c r="O166" s="410"/>
      <c r="P166" s="410"/>
      <c r="Q166" s="410"/>
      <c r="R166" s="410"/>
      <c r="S166" s="410"/>
      <c r="T166" s="410"/>
      <c r="U166" s="410"/>
      <c r="V166" s="410"/>
      <c r="W166" s="357"/>
      <c r="X166" s="357"/>
      <c r="Y166" s="357"/>
      <c r="Z166" s="357"/>
    </row>
    <row r="167" spans="1:26" ht="16.5" customHeight="1" x14ac:dyDescent="0.4">
      <c r="A167" s="442"/>
      <c r="B167" s="443"/>
      <c r="C167" s="410"/>
      <c r="D167" s="410"/>
      <c r="E167" s="410"/>
      <c r="F167" s="410"/>
      <c r="G167" s="410"/>
      <c r="H167" s="410"/>
      <c r="I167" s="410"/>
      <c r="J167" s="410"/>
      <c r="K167" s="410"/>
      <c r="L167" s="410"/>
      <c r="M167" s="410"/>
      <c r="N167" s="410"/>
      <c r="O167" s="410"/>
      <c r="P167" s="410"/>
      <c r="Q167" s="410"/>
      <c r="R167" s="410"/>
      <c r="S167" s="410"/>
      <c r="T167" s="410"/>
      <c r="U167" s="410"/>
      <c r="V167" s="410"/>
      <c r="W167" s="357"/>
      <c r="X167" s="357"/>
      <c r="Y167" s="357"/>
      <c r="Z167" s="357"/>
    </row>
    <row r="168" spans="1:26" ht="16.5" customHeight="1" x14ac:dyDescent="0.4">
      <c r="A168" s="442"/>
      <c r="B168" s="443"/>
      <c r="C168" s="410"/>
      <c r="D168" s="410"/>
      <c r="E168" s="410"/>
      <c r="F168" s="410"/>
      <c r="G168" s="410"/>
      <c r="H168" s="410"/>
      <c r="I168" s="410"/>
      <c r="J168" s="410"/>
      <c r="K168" s="410"/>
      <c r="L168" s="410"/>
      <c r="M168" s="410"/>
      <c r="N168" s="410"/>
      <c r="O168" s="410"/>
      <c r="P168" s="410"/>
      <c r="Q168" s="410"/>
      <c r="R168" s="410"/>
      <c r="S168" s="410"/>
      <c r="T168" s="410"/>
      <c r="U168" s="410"/>
      <c r="V168" s="410"/>
      <c r="W168" s="357"/>
      <c r="X168" s="357"/>
      <c r="Y168" s="357"/>
      <c r="Z168" s="357"/>
    </row>
    <row r="169" spans="1:26" ht="16.5" customHeight="1" x14ac:dyDescent="0.4">
      <c r="A169" s="442"/>
      <c r="B169" s="443"/>
      <c r="C169" s="410"/>
      <c r="D169" s="410"/>
      <c r="E169" s="410"/>
      <c r="F169" s="410"/>
      <c r="G169" s="410"/>
      <c r="H169" s="410"/>
      <c r="I169" s="410"/>
      <c r="J169" s="410"/>
      <c r="K169" s="410"/>
      <c r="L169" s="410"/>
      <c r="M169" s="410"/>
      <c r="N169" s="410"/>
      <c r="O169" s="410"/>
      <c r="P169" s="410"/>
      <c r="Q169" s="410"/>
      <c r="R169" s="410"/>
      <c r="S169" s="410"/>
      <c r="T169" s="410"/>
      <c r="U169" s="410"/>
      <c r="V169" s="410"/>
      <c r="W169" s="357"/>
      <c r="X169" s="357"/>
      <c r="Y169" s="357"/>
      <c r="Z169" s="357"/>
    </row>
    <row r="170" spans="1:26" ht="16.5" customHeight="1" x14ac:dyDescent="0.4">
      <c r="A170" s="442"/>
      <c r="B170" s="443"/>
      <c r="C170" s="410"/>
      <c r="D170" s="410"/>
      <c r="E170" s="410"/>
      <c r="F170" s="410"/>
      <c r="G170" s="410"/>
      <c r="H170" s="410"/>
      <c r="I170" s="410"/>
      <c r="J170" s="410"/>
      <c r="K170" s="410"/>
      <c r="L170" s="410"/>
      <c r="M170" s="410"/>
      <c r="N170" s="410"/>
      <c r="O170" s="410"/>
      <c r="P170" s="410"/>
      <c r="Q170" s="410"/>
      <c r="R170" s="410"/>
      <c r="S170" s="410"/>
      <c r="T170" s="410"/>
      <c r="U170" s="410"/>
      <c r="V170" s="410"/>
      <c r="W170" s="357"/>
      <c r="X170" s="357"/>
      <c r="Y170" s="357"/>
      <c r="Z170" s="357"/>
    </row>
    <row r="171" spans="1:26" ht="16.5" customHeight="1" x14ac:dyDescent="0.4">
      <c r="A171" s="442"/>
      <c r="B171" s="443"/>
      <c r="C171" s="410"/>
      <c r="D171" s="410"/>
      <c r="E171" s="410"/>
      <c r="F171" s="410"/>
      <c r="G171" s="410"/>
      <c r="H171" s="410"/>
      <c r="I171" s="410"/>
      <c r="J171" s="410"/>
      <c r="K171" s="410"/>
      <c r="L171" s="410"/>
      <c r="M171" s="410"/>
      <c r="N171" s="410"/>
      <c r="O171" s="410"/>
      <c r="P171" s="410"/>
      <c r="Q171" s="410"/>
      <c r="R171" s="410"/>
      <c r="S171" s="410"/>
      <c r="T171" s="410"/>
      <c r="U171" s="410"/>
      <c r="V171" s="410"/>
      <c r="W171" s="357"/>
      <c r="X171" s="357"/>
      <c r="Y171" s="357"/>
      <c r="Z171" s="357"/>
    </row>
    <row r="172" spans="1:26" ht="16.5" customHeight="1" x14ac:dyDescent="0.4">
      <c r="A172" s="442"/>
      <c r="B172" s="443"/>
      <c r="C172" s="410"/>
      <c r="D172" s="410"/>
      <c r="E172" s="410"/>
      <c r="F172" s="410"/>
      <c r="G172" s="410"/>
      <c r="H172" s="410"/>
      <c r="I172" s="410"/>
      <c r="J172" s="410"/>
      <c r="K172" s="410"/>
      <c r="L172" s="410"/>
      <c r="M172" s="410"/>
      <c r="N172" s="410"/>
      <c r="O172" s="410"/>
      <c r="P172" s="410"/>
      <c r="Q172" s="410"/>
      <c r="R172" s="410"/>
      <c r="S172" s="410"/>
      <c r="T172" s="410"/>
      <c r="U172" s="410"/>
      <c r="V172" s="410"/>
      <c r="W172" s="357"/>
      <c r="X172" s="357"/>
      <c r="Y172" s="357"/>
      <c r="Z172" s="357"/>
    </row>
    <row r="173" spans="1:26" ht="16.5" customHeight="1" x14ac:dyDescent="0.4">
      <c r="A173" s="442"/>
      <c r="B173" s="443"/>
      <c r="C173" s="410"/>
      <c r="D173" s="410"/>
      <c r="E173" s="410"/>
      <c r="F173" s="410"/>
      <c r="G173" s="410"/>
      <c r="H173" s="410"/>
      <c r="I173" s="410"/>
      <c r="J173" s="410"/>
      <c r="K173" s="410"/>
      <c r="L173" s="410"/>
      <c r="M173" s="410"/>
      <c r="N173" s="410"/>
      <c r="O173" s="410"/>
      <c r="P173" s="410"/>
      <c r="Q173" s="410"/>
      <c r="R173" s="410"/>
      <c r="S173" s="410"/>
      <c r="T173" s="410"/>
      <c r="U173" s="410"/>
      <c r="V173" s="410"/>
      <c r="W173" s="357"/>
      <c r="X173" s="357"/>
      <c r="Y173" s="357"/>
      <c r="Z173" s="357"/>
    </row>
    <row r="174" spans="1:26" ht="16.5" customHeight="1" x14ac:dyDescent="0.4">
      <c r="A174" s="442"/>
      <c r="B174" s="443"/>
      <c r="C174" s="410"/>
      <c r="D174" s="410"/>
      <c r="E174" s="410"/>
      <c r="F174" s="410"/>
      <c r="G174" s="410"/>
      <c r="H174" s="410"/>
      <c r="I174" s="410"/>
      <c r="J174" s="410"/>
      <c r="K174" s="410"/>
      <c r="L174" s="410"/>
      <c r="M174" s="410"/>
      <c r="N174" s="410"/>
      <c r="O174" s="410"/>
      <c r="P174" s="410"/>
      <c r="Q174" s="410"/>
      <c r="R174" s="410"/>
      <c r="S174" s="410"/>
      <c r="T174" s="410"/>
      <c r="U174" s="410"/>
      <c r="V174" s="410"/>
      <c r="W174" s="357"/>
      <c r="X174" s="357"/>
      <c r="Y174" s="357"/>
      <c r="Z174" s="357"/>
    </row>
    <row r="175" spans="1:26" ht="16.5" customHeight="1" x14ac:dyDescent="0.4">
      <c r="A175" s="442"/>
      <c r="B175" s="443"/>
      <c r="C175" s="410"/>
      <c r="D175" s="410"/>
      <c r="E175" s="410"/>
      <c r="F175" s="410"/>
      <c r="G175" s="410"/>
      <c r="H175" s="410"/>
      <c r="I175" s="410"/>
      <c r="J175" s="410"/>
      <c r="K175" s="410"/>
      <c r="L175" s="410"/>
      <c r="M175" s="410"/>
      <c r="N175" s="410"/>
      <c r="O175" s="410"/>
      <c r="P175" s="410"/>
      <c r="Q175" s="410"/>
      <c r="R175" s="410"/>
      <c r="S175" s="410"/>
      <c r="T175" s="410"/>
      <c r="U175" s="410"/>
      <c r="V175" s="410"/>
      <c r="W175" s="357"/>
      <c r="X175" s="357"/>
      <c r="Y175" s="357"/>
      <c r="Z175" s="357"/>
    </row>
    <row r="176" spans="1:26" ht="16.5" customHeight="1" x14ac:dyDescent="0.4">
      <c r="A176" s="442"/>
      <c r="B176" s="443"/>
      <c r="C176" s="410"/>
      <c r="D176" s="410"/>
      <c r="E176" s="410"/>
      <c r="F176" s="410"/>
      <c r="G176" s="410"/>
      <c r="H176" s="410"/>
      <c r="I176" s="410"/>
      <c r="J176" s="410"/>
      <c r="K176" s="410"/>
      <c r="L176" s="410"/>
      <c r="M176" s="410"/>
      <c r="N176" s="410"/>
      <c r="O176" s="410"/>
      <c r="P176" s="410"/>
      <c r="Q176" s="410"/>
      <c r="R176" s="410"/>
      <c r="S176" s="410"/>
      <c r="T176" s="410"/>
      <c r="U176" s="410"/>
      <c r="V176" s="410"/>
      <c r="W176" s="357"/>
      <c r="X176" s="357"/>
      <c r="Y176" s="357"/>
      <c r="Z176" s="357"/>
    </row>
    <row r="177" spans="1:26" ht="16.5" customHeight="1" x14ac:dyDescent="0.4">
      <c r="A177" s="442"/>
      <c r="B177" s="443"/>
      <c r="C177" s="410"/>
      <c r="D177" s="410"/>
      <c r="E177" s="410"/>
      <c r="F177" s="410"/>
      <c r="G177" s="410"/>
      <c r="H177" s="410"/>
      <c r="I177" s="410"/>
      <c r="J177" s="410"/>
      <c r="K177" s="410"/>
      <c r="L177" s="410"/>
      <c r="M177" s="410"/>
      <c r="N177" s="410"/>
      <c r="O177" s="410"/>
      <c r="P177" s="410"/>
      <c r="Q177" s="410"/>
      <c r="R177" s="410"/>
      <c r="S177" s="410"/>
      <c r="T177" s="410"/>
      <c r="U177" s="410"/>
      <c r="V177" s="410"/>
      <c r="W177" s="357"/>
      <c r="X177" s="357"/>
      <c r="Y177" s="357"/>
      <c r="Z177" s="357"/>
    </row>
    <row r="178" spans="1:26" ht="16.5" customHeight="1" x14ac:dyDescent="0.4">
      <c r="A178" s="442"/>
      <c r="B178" s="443"/>
      <c r="C178" s="410"/>
      <c r="D178" s="410"/>
      <c r="E178" s="410"/>
      <c r="F178" s="410"/>
      <c r="G178" s="410"/>
      <c r="H178" s="410"/>
      <c r="I178" s="410"/>
      <c r="J178" s="410"/>
      <c r="K178" s="410"/>
      <c r="L178" s="410"/>
      <c r="M178" s="410"/>
      <c r="N178" s="410"/>
      <c r="O178" s="410"/>
      <c r="P178" s="410"/>
      <c r="Q178" s="410"/>
      <c r="R178" s="410"/>
      <c r="S178" s="410"/>
      <c r="T178" s="410"/>
      <c r="U178" s="410"/>
      <c r="V178" s="410"/>
      <c r="W178" s="357"/>
      <c r="X178" s="357"/>
      <c r="Y178" s="357"/>
      <c r="Z178" s="357"/>
    </row>
    <row r="179" spans="1:26" ht="16.5" customHeight="1" x14ac:dyDescent="0.4">
      <c r="A179" s="442"/>
      <c r="B179" s="443"/>
      <c r="C179" s="410"/>
      <c r="D179" s="410"/>
      <c r="E179" s="410"/>
      <c r="F179" s="410"/>
      <c r="G179" s="410"/>
      <c r="H179" s="410"/>
      <c r="I179" s="410"/>
      <c r="J179" s="410"/>
      <c r="K179" s="410"/>
      <c r="L179" s="410"/>
      <c r="M179" s="410"/>
      <c r="N179" s="410"/>
      <c r="O179" s="410"/>
      <c r="P179" s="410"/>
      <c r="Q179" s="410"/>
      <c r="R179" s="410"/>
      <c r="S179" s="410"/>
      <c r="T179" s="410"/>
      <c r="U179" s="410"/>
      <c r="V179" s="410"/>
      <c r="W179" s="357"/>
      <c r="X179" s="357"/>
      <c r="Y179" s="357"/>
      <c r="Z179" s="357"/>
    </row>
    <row r="180" spans="1:26" ht="16.5" customHeight="1" x14ac:dyDescent="0.4">
      <c r="A180" s="442"/>
      <c r="B180" s="443"/>
      <c r="C180" s="410"/>
      <c r="D180" s="410"/>
      <c r="E180" s="410"/>
      <c r="F180" s="410"/>
      <c r="G180" s="410"/>
      <c r="H180" s="410"/>
      <c r="I180" s="410"/>
      <c r="J180" s="410"/>
      <c r="K180" s="410"/>
      <c r="L180" s="410"/>
      <c r="M180" s="410"/>
      <c r="N180" s="410"/>
      <c r="O180" s="410"/>
      <c r="P180" s="410"/>
      <c r="Q180" s="410"/>
      <c r="R180" s="410"/>
      <c r="S180" s="410"/>
      <c r="T180" s="410"/>
      <c r="U180" s="410"/>
      <c r="V180" s="410"/>
      <c r="W180" s="357"/>
      <c r="X180" s="357"/>
      <c r="Y180" s="357"/>
      <c r="Z180" s="357"/>
    </row>
    <row r="181" spans="1:26" ht="16.5" customHeight="1" x14ac:dyDescent="0.4">
      <c r="A181" s="442"/>
      <c r="B181" s="443"/>
      <c r="C181" s="410"/>
      <c r="D181" s="410"/>
      <c r="E181" s="410"/>
      <c r="F181" s="410"/>
      <c r="G181" s="410"/>
      <c r="H181" s="410"/>
      <c r="I181" s="410"/>
      <c r="J181" s="410"/>
      <c r="K181" s="410"/>
      <c r="L181" s="410"/>
      <c r="M181" s="410"/>
      <c r="N181" s="410"/>
      <c r="O181" s="410"/>
      <c r="P181" s="410"/>
      <c r="Q181" s="410"/>
      <c r="R181" s="410"/>
      <c r="S181" s="410"/>
      <c r="T181" s="410"/>
      <c r="U181" s="410"/>
      <c r="V181" s="410"/>
      <c r="W181" s="357"/>
      <c r="X181" s="357"/>
      <c r="Y181" s="357"/>
      <c r="Z181" s="357"/>
    </row>
    <row r="182" spans="1:26" ht="16.5" customHeight="1" x14ac:dyDescent="0.4">
      <c r="A182" s="442"/>
      <c r="B182" s="443"/>
      <c r="C182" s="410"/>
      <c r="D182" s="410"/>
      <c r="E182" s="410"/>
      <c r="F182" s="410"/>
      <c r="G182" s="410"/>
      <c r="H182" s="410"/>
      <c r="I182" s="410"/>
      <c r="J182" s="410"/>
      <c r="K182" s="410"/>
      <c r="L182" s="410"/>
      <c r="M182" s="410"/>
      <c r="N182" s="410"/>
      <c r="O182" s="410"/>
      <c r="P182" s="410"/>
      <c r="Q182" s="410"/>
      <c r="R182" s="410"/>
      <c r="S182" s="410"/>
      <c r="T182" s="410"/>
      <c r="U182" s="410"/>
      <c r="V182" s="410"/>
      <c r="W182" s="357"/>
      <c r="X182" s="357"/>
      <c r="Y182" s="357"/>
      <c r="Z182" s="357"/>
    </row>
    <row r="183" spans="1:26" ht="16.5" customHeight="1" x14ac:dyDescent="0.4">
      <c r="A183" s="442"/>
      <c r="B183" s="443"/>
      <c r="C183" s="410"/>
      <c r="D183" s="410"/>
      <c r="E183" s="410"/>
      <c r="F183" s="410"/>
      <c r="G183" s="410"/>
      <c r="H183" s="410"/>
      <c r="I183" s="410"/>
      <c r="J183" s="410"/>
      <c r="K183" s="410"/>
      <c r="L183" s="410"/>
      <c r="M183" s="410"/>
      <c r="N183" s="410"/>
      <c r="O183" s="410"/>
      <c r="P183" s="410"/>
      <c r="Q183" s="410"/>
      <c r="R183" s="410"/>
      <c r="S183" s="410"/>
      <c r="T183" s="410"/>
      <c r="U183" s="410"/>
      <c r="V183" s="410"/>
      <c r="W183" s="357"/>
      <c r="X183" s="357"/>
      <c r="Y183" s="357"/>
      <c r="Z183" s="357"/>
    </row>
    <row r="184" spans="1:26" ht="16.5" customHeight="1" x14ac:dyDescent="0.4">
      <c r="A184" s="442"/>
      <c r="B184" s="443"/>
      <c r="C184" s="410"/>
      <c r="D184" s="410"/>
      <c r="E184" s="410"/>
      <c r="F184" s="410"/>
      <c r="G184" s="410"/>
      <c r="H184" s="410"/>
      <c r="I184" s="410"/>
      <c r="J184" s="410"/>
      <c r="K184" s="410"/>
      <c r="L184" s="410"/>
      <c r="M184" s="410"/>
      <c r="N184" s="410"/>
      <c r="O184" s="410"/>
      <c r="P184" s="410"/>
      <c r="Q184" s="410"/>
      <c r="R184" s="410"/>
      <c r="S184" s="410"/>
      <c r="T184" s="410"/>
      <c r="U184" s="410"/>
      <c r="V184" s="410"/>
      <c r="W184" s="357"/>
      <c r="X184" s="357"/>
      <c r="Y184" s="357"/>
      <c r="Z184" s="357"/>
    </row>
    <row r="185" spans="1:26" ht="16.5" customHeight="1" x14ac:dyDescent="0.4">
      <c r="A185" s="442"/>
      <c r="B185" s="443"/>
      <c r="C185" s="410"/>
      <c r="D185" s="410"/>
      <c r="E185" s="410"/>
      <c r="F185" s="410"/>
      <c r="G185" s="410"/>
      <c r="H185" s="410"/>
      <c r="I185" s="410"/>
      <c r="J185" s="410"/>
      <c r="K185" s="410"/>
      <c r="L185" s="410"/>
      <c r="M185" s="410"/>
      <c r="N185" s="410"/>
      <c r="O185" s="410"/>
      <c r="P185" s="410"/>
      <c r="Q185" s="410"/>
      <c r="R185" s="410"/>
      <c r="S185" s="410"/>
      <c r="T185" s="410"/>
      <c r="U185" s="410"/>
      <c r="V185" s="410"/>
      <c r="W185" s="357"/>
      <c r="X185" s="357"/>
      <c r="Y185" s="357"/>
      <c r="Z185" s="357"/>
    </row>
    <row r="186" spans="1:26" ht="16.5" customHeight="1" x14ac:dyDescent="0.4">
      <c r="A186" s="442"/>
      <c r="B186" s="443"/>
      <c r="C186" s="410"/>
      <c r="D186" s="410"/>
      <c r="E186" s="410"/>
      <c r="F186" s="410"/>
      <c r="G186" s="410"/>
      <c r="H186" s="410"/>
      <c r="I186" s="410"/>
      <c r="J186" s="410"/>
      <c r="K186" s="410"/>
      <c r="L186" s="410"/>
      <c r="M186" s="410"/>
      <c r="N186" s="410"/>
      <c r="O186" s="410"/>
      <c r="P186" s="410"/>
      <c r="Q186" s="410"/>
      <c r="R186" s="410"/>
      <c r="S186" s="410"/>
      <c r="T186" s="410"/>
      <c r="U186" s="410"/>
      <c r="V186" s="410"/>
      <c r="W186" s="357"/>
      <c r="X186" s="357"/>
      <c r="Y186" s="357"/>
      <c r="Z186" s="357"/>
    </row>
    <row r="187" spans="1:26" ht="16.5" customHeight="1" x14ac:dyDescent="0.4">
      <c r="A187" s="442"/>
      <c r="B187" s="443"/>
      <c r="C187" s="410"/>
      <c r="D187" s="410"/>
      <c r="E187" s="410"/>
      <c r="F187" s="410"/>
      <c r="G187" s="410"/>
      <c r="H187" s="410"/>
      <c r="I187" s="410"/>
      <c r="J187" s="410"/>
      <c r="K187" s="410"/>
      <c r="L187" s="410"/>
      <c r="M187" s="410"/>
      <c r="N187" s="410"/>
      <c r="O187" s="410"/>
      <c r="P187" s="410"/>
      <c r="Q187" s="410"/>
      <c r="R187" s="410"/>
      <c r="S187" s="410"/>
      <c r="T187" s="410"/>
      <c r="U187" s="410"/>
      <c r="V187" s="410"/>
      <c r="W187" s="357"/>
      <c r="X187" s="357"/>
      <c r="Y187" s="357"/>
      <c r="Z187" s="357"/>
    </row>
    <row r="188" spans="1:26" ht="16.5" customHeight="1" x14ac:dyDescent="0.4">
      <c r="A188" s="442"/>
      <c r="B188" s="443"/>
      <c r="C188" s="410"/>
      <c r="D188" s="410"/>
      <c r="E188" s="410"/>
      <c r="F188" s="410"/>
      <c r="G188" s="410"/>
      <c r="H188" s="410"/>
      <c r="I188" s="410"/>
      <c r="J188" s="410"/>
      <c r="K188" s="410"/>
      <c r="L188" s="410"/>
      <c r="M188" s="410"/>
      <c r="N188" s="410"/>
      <c r="O188" s="410"/>
      <c r="P188" s="410"/>
      <c r="Q188" s="410"/>
      <c r="R188" s="410"/>
      <c r="S188" s="410"/>
      <c r="T188" s="410"/>
      <c r="U188" s="410"/>
      <c r="V188" s="410"/>
      <c r="W188" s="357"/>
      <c r="X188" s="357"/>
      <c r="Y188" s="357"/>
      <c r="Z188" s="357"/>
    </row>
    <row r="189" spans="1:26" ht="16.5" customHeight="1" x14ac:dyDescent="0.4">
      <c r="A189" s="442"/>
      <c r="B189" s="443"/>
      <c r="C189" s="410"/>
      <c r="D189" s="410"/>
      <c r="E189" s="410"/>
      <c r="F189" s="410"/>
      <c r="G189" s="410"/>
      <c r="H189" s="410"/>
      <c r="I189" s="410"/>
      <c r="J189" s="410"/>
      <c r="K189" s="410"/>
      <c r="L189" s="410"/>
      <c r="M189" s="410"/>
      <c r="N189" s="410"/>
      <c r="O189" s="410"/>
      <c r="P189" s="410"/>
      <c r="Q189" s="410"/>
      <c r="R189" s="410"/>
      <c r="S189" s="410"/>
      <c r="T189" s="410"/>
      <c r="U189" s="410"/>
      <c r="V189" s="410"/>
      <c r="W189" s="357"/>
      <c r="X189" s="357"/>
      <c r="Y189" s="357"/>
      <c r="Z189" s="357"/>
    </row>
    <row r="190" spans="1:26" ht="16.5" customHeight="1" x14ac:dyDescent="0.4">
      <c r="A190" s="442"/>
      <c r="B190" s="443"/>
      <c r="C190" s="410"/>
      <c r="D190" s="410"/>
      <c r="E190" s="410"/>
      <c r="F190" s="410"/>
      <c r="G190" s="410"/>
      <c r="H190" s="410"/>
      <c r="I190" s="410"/>
      <c r="J190" s="410"/>
      <c r="K190" s="410"/>
      <c r="L190" s="410"/>
      <c r="M190" s="410"/>
      <c r="N190" s="410"/>
      <c r="O190" s="410"/>
      <c r="P190" s="410"/>
      <c r="Q190" s="410"/>
      <c r="R190" s="410"/>
      <c r="S190" s="410"/>
      <c r="T190" s="410"/>
      <c r="U190" s="410"/>
      <c r="V190" s="410"/>
      <c r="W190" s="357"/>
      <c r="X190" s="357"/>
      <c r="Y190" s="357"/>
      <c r="Z190" s="357"/>
    </row>
    <row r="191" spans="1:26" ht="16.5" customHeight="1" x14ac:dyDescent="0.4">
      <c r="A191" s="442"/>
      <c r="B191" s="443"/>
      <c r="C191" s="410"/>
      <c r="D191" s="410"/>
      <c r="E191" s="410"/>
      <c r="F191" s="410"/>
      <c r="G191" s="410"/>
      <c r="H191" s="410"/>
      <c r="I191" s="410"/>
      <c r="J191" s="410"/>
      <c r="K191" s="410"/>
      <c r="L191" s="410"/>
      <c r="M191" s="410"/>
      <c r="N191" s="410"/>
      <c r="O191" s="410"/>
      <c r="P191" s="410"/>
      <c r="Q191" s="410"/>
      <c r="R191" s="410"/>
      <c r="S191" s="410"/>
      <c r="T191" s="410"/>
      <c r="U191" s="410"/>
      <c r="V191" s="410"/>
      <c r="W191" s="357"/>
      <c r="X191" s="357"/>
      <c r="Y191" s="357"/>
      <c r="Z191" s="357"/>
    </row>
    <row r="192" spans="1:26" ht="16.5" customHeight="1" x14ac:dyDescent="0.4">
      <c r="A192" s="442"/>
      <c r="B192" s="443"/>
      <c r="C192" s="410"/>
      <c r="D192" s="410"/>
      <c r="E192" s="410"/>
      <c r="F192" s="410"/>
      <c r="G192" s="410"/>
      <c r="H192" s="410"/>
      <c r="I192" s="410"/>
      <c r="J192" s="410"/>
      <c r="K192" s="410"/>
      <c r="L192" s="410"/>
      <c r="M192" s="410"/>
      <c r="N192" s="410"/>
      <c r="O192" s="410"/>
      <c r="P192" s="410"/>
      <c r="Q192" s="410"/>
      <c r="R192" s="410"/>
      <c r="S192" s="410"/>
      <c r="T192" s="410"/>
      <c r="U192" s="410"/>
      <c r="V192" s="410"/>
      <c r="W192" s="357"/>
      <c r="X192" s="357"/>
      <c r="Y192" s="357"/>
      <c r="Z192" s="357"/>
    </row>
    <row r="193" spans="1:26" ht="16.5" customHeight="1" x14ac:dyDescent="0.4">
      <c r="A193" s="442"/>
      <c r="B193" s="443"/>
      <c r="C193" s="410"/>
      <c r="D193" s="410"/>
      <c r="E193" s="410"/>
      <c r="F193" s="410"/>
      <c r="G193" s="410"/>
      <c r="H193" s="410"/>
      <c r="I193" s="410"/>
      <c r="J193" s="410"/>
      <c r="K193" s="410"/>
      <c r="L193" s="410"/>
      <c r="M193" s="410"/>
      <c r="N193" s="410"/>
      <c r="O193" s="410"/>
      <c r="P193" s="410"/>
      <c r="Q193" s="410"/>
      <c r="R193" s="410"/>
      <c r="S193" s="410"/>
      <c r="T193" s="410"/>
      <c r="U193" s="410"/>
      <c r="V193" s="410"/>
      <c r="W193" s="357"/>
      <c r="X193" s="357"/>
      <c r="Y193" s="357"/>
      <c r="Z193" s="357"/>
    </row>
    <row r="194" spans="1:26" ht="16.5" customHeight="1" x14ac:dyDescent="0.4">
      <c r="A194" s="442"/>
      <c r="B194" s="443"/>
      <c r="C194" s="410"/>
      <c r="D194" s="410"/>
      <c r="E194" s="410"/>
      <c r="F194" s="410"/>
      <c r="G194" s="410"/>
      <c r="H194" s="410"/>
      <c r="I194" s="410"/>
      <c r="J194" s="410"/>
      <c r="K194" s="410"/>
      <c r="L194" s="410"/>
      <c r="M194" s="410"/>
      <c r="N194" s="410"/>
      <c r="O194" s="410"/>
      <c r="P194" s="410"/>
      <c r="Q194" s="410"/>
      <c r="R194" s="410"/>
      <c r="S194" s="410"/>
      <c r="T194" s="410"/>
      <c r="U194" s="410"/>
      <c r="V194" s="410"/>
      <c r="W194" s="357"/>
      <c r="X194" s="357"/>
      <c r="Y194" s="357"/>
      <c r="Z194" s="357"/>
    </row>
    <row r="195" spans="1:26" ht="16.5" customHeight="1" x14ac:dyDescent="0.4">
      <c r="A195" s="442"/>
      <c r="B195" s="443"/>
      <c r="C195" s="410"/>
      <c r="D195" s="410"/>
      <c r="E195" s="410"/>
      <c r="F195" s="410"/>
      <c r="G195" s="410"/>
      <c r="H195" s="410"/>
      <c r="I195" s="410"/>
      <c r="J195" s="410"/>
      <c r="K195" s="410"/>
      <c r="L195" s="410"/>
      <c r="M195" s="410"/>
      <c r="N195" s="410"/>
      <c r="O195" s="410"/>
      <c r="P195" s="410"/>
      <c r="Q195" s="410"/>
      <c r="R195" s="410"/>
      <c r="S195" s="410"/>
      <c r="T195" s="410"/>
      <c r="U195" s="410"/>
      <c r="V195" s="410"/>
      <c r="W195" s="357"/>
      <c r="X195" s="357"/>
      <c r="Y195" s="357"/>
      <c r="Z195" s="357"/>
    </row>
    <row r="196" spans="1:26" ht="16.5" customHeight="1" x14ac:dyDescent="0.4">
      <c r="A196" s="442"/>
      <c r="B196" s="443"/>
      <c r="C196" s="410"/>
      <c r="D196" s="410"/>
      <c r="E196" s="410"/>
      <c r="F196" s="410"/>
      <c r="G196" s="410"/>
      <c r="H196" s="410"/>
      <c r="I196" s="410"/>
      <c r="J196" s="410"/>
      <c r="K196" s="410"/>
      <c r="L196" s="410"/>
      <c r="M196" s="410"/>
      <c r="N196" s="410"/>
      <c r="O196" s="410"/>
      <c r="P196" s="410"/>
      <c r="Q196" s="410"/>
      <c r="R196" s="410"/>
      <c r="S196" s="410"/>
      <c r="T196" s="410"/>
      <c r="U196" s="410"/>
      <c r="V196" s="410"/>
      <c r="W196" s="357"/>
      <c r="X196" s="357"/>
      <c r="Y196" s="357"/>
      <c r="Z196" s="357"/>
    </row>
    <row r="197" spans="1:26" ht="16.5" customHeight="1" x14ac:dyDescent="0.4">
      <c r="A197" s="442"/>
      <c r="B197" s="443"/>
      <c r="C197" s="410"/>
      <c r="D197" s="410"/>
      <c r="E197" s="410"/>
      <c r="F197" s="410"/>
      <c r="G197" s="410"/>
      <c r="H197" s="410"/>
      <c r="I197" s="410"/>
      <c r="J197" s="410"/>
      <c r="K197" s="410"/>
      <c r="L197" s="410"/>
      <c r="M197" s="410"/>
      <c r="N197" s="410"/>
      <c r="O197" s="410"/>
      <c r="P197" s="410"/>
      <c r="Q197" s="410"/>
      <c r="R197" s="410"/>
      <c r="S197" s="410"/>
      <c r="T197" s="410"/>
      <c r="U197" s="410"/>
      <c r="V197" s="410"/>
      <c r="W197" s="357"/>
      <c r="X197" s="357"/>
      <c r="Y197" s="357"/>
      <c r="Z197" s="357"/>
    </row>
    <row r="198" spans="1:26" ht="16.5" customHeight="1" x14ac:dyDescent="0.4">
      <c r="A198" s="442"/>
      <c r="B198" s="443"/>
      <c r="C198" s="410"/>
      <c r="D198" s="410"/>
      <c r="E198" s="410"/>
      <c r="F198" s="410"/>
      <c r="G198" s="410"/>
      <c r="H198" s="410"/>
      <c r="I198" s="410"/>
      <c r="J198" s="410"/>
      <c r="K198" s="410"/>
      <c r="L198" s="410"/>
      <c r="M198" s="410"/>
      <c r="N198" s="410"/>
      <c r="O198" s="410"/>
      <c r="P198" s="410"/>
      <c r="Q198" s="410"/>
      <c r="R198" s="410"/>
      <c r="S198" s="410"/>
      <c r="T198" s="410"/>
      <c r="U198" s="410"/>
      <c r="V198" s="410"/>
      <c r="W198" s="357"/>
      <c r="X198" s="357"/>
      <c r="Y198" s="357"/>
      <c r="Z198" s="357"/>
    </row>
    <row r="199" spans="1:26" ht="16.5" customHeight="1" x14ac:dyDescent="0.4">
      <c r="A199" s="442"/>
      <c r="B199" s="443"/>
      <c r="C199" s="410"/>
      <c r="D199" s="410"/>
      <c r="E199" s="410"/>
      <c r="F199" s="410"/>
      <c r="G199" s="410"/>
      <c r="H199" s="410"/>
      <c r="I199" s="410"/>
      <c r="J199" s="410"/>
      <c r="K199" s="410"/>
      <c r="L199" s="410"/>
      <c r="M199" s="410"/>
      <c r="N199" s="410"/>
      <c r="O199" s="410"/>
      <c r="P199" s="410"/>
      <c r="Q199" s="410"/>
      <c r="R199" s="410"/>
      <c r="S199" s="410"/>
      <c r="T199" s="410"/>
      <c r="U199" s="410"/>
      <c r="V199" s="410"/>
      <c r="W199" s="357"/>
      <c r="X199" s="357"/>
      <c r="Y199" s="357"/>
      <c r="Z199" s="357"/>
    </row>
    <row r="200" spans="1:26" ht="16.5" customHeight="1" x14ac:dyDescent="0.4">
      <c r="A200" s="442"/>
      <c r="B200" s="443"/>
      <c r="C200" s="410"/>
      <c r="D200" s="410"/>
      <c r="E200" s="410"/>
      <c r="F200" s="410"/>
      <c r="G200" s="410"/>
      <c r="H200" s="410"/>
      <c r="I200" s="410"/>
      <c r="J200" s="410"/>
      <c r="K200" s="410"/>
      <c r="L200" s="410"/>
      <c r="M200" s="410"/>
      <c r="N200" s="410"/>
      <c r="O200" s="410"/>
      <c r="P200" s="410"/>
      <c r="Q200" s="410"/>
      <c r="R200" s="410"/>
      <c r="S200" s="410"/>
      <c r="T200" s="410"/>
      <c r="U200" s="410"/>
      <c r="V200" s="410"/>
      <c r="W200" s="357"/>
      <c r="X200" s="357"/>
      <c r="Y200" s="357"/>
      <c r="Z200" s="357"/>
    </row>
    <row r="201" spans="1:26" ht="16.5" customHeight="1" x14ac:dyDescent="0.4">
      <c r="A201" s="442"/>
      <c r="B201" s="443"/>
      <c r="C201" s="410"/>
      <c r="D201" s="410"/>
      <c r="E201" s="410"/>
      <c r="F201" s="410"/>
      <c r="G201" s="410"/>
      <c r="H201" s="410"/>
      <c r="I201" s="410"/>
      <c r="J201" s="410"/>
      <c r="K201" s="410"/>
      <c r="L201" s="410"/>
      <c r="M201" s="410"/>
      <c r="N201" s="410"/>
      <c r="O201" s="410"/>
      <c r="P201" s="410"/>
      <c r="Q201" s="410"/>
      <c r="R201" s="410"/>
      <c r="S201" s="410"/>
      <c r="T201" s="410"/>
      <c r="U201" s="410"/>
      <c r="V201" s="410"/>
      <c r="W201" s="357"/>
      <c r="X201" s="357"/>
      <c r="Y201" s="357"/>
      <c r="Z201" s="357"/>
    </row>
    <row r="202" spans="1:26" ht="16.5" customHeight="1" x14ac:dyDescent="0.4">
      <c r="A202" s="442"/>
      <c r="B202" s="443"/>
      <c r="C202" s="410"/>
      <c r="D202" s="410"/>
      <c r="E202" s="410"/>
      <c r="F202" s="410"/>
      <c r="G202" s="410"/>
      <c r="H202" s="410"/>
      <c r="I202" s="410"/>
      <c r="J202" s="410"/>
      <c r="K202" s="410"/>
      <c r="L202" s="410"/>
      <c r="M202" s="410"/>
      <c r="N202" s="410"/>
      <c r="O202" s="410"/>
      <c r="P202" s="410"/>
      <c r="Q202" s="410"/>
      <c r="R202" s="410"/>
      <c r="S202" s="410"/>
      <c r="T202" s="410"/>
      <c r="U202" s="410"/>
      <c r="V202" s="410"/>
      <c r="W202" s="357"/>
      <c r="X202" s="357"/>
      <c r="Y202" s="357"/>
      <c r="Z202" s="357"/>
    </row>
    <row r="203" spans="1:26" ht="16.5" customHeight="1" x14ac:dyDescent="0.4">
      <c r="A203" s="442"/>
      <c r="B203" s="443"/>
      <c r="C203" s="410"/>
      <c r="D203" s="410"/>
      <c r="E203" s="410"/>
      <c r="F203" s="410"/>
      <c r="G203" s="410"/>
      <c r="H203" s="410"/>
      <c r="I203" s="410"/>
      <c r="J203" s="410"/>
      <c r="K203" s="410"/>
      <c r="L203" s="410"/>
      <c r="M203" s="410"/>
      <c r="N203" s="410"/>
      <c r="O203" s="410"/>
      <c r="P203" s="410"/>
      <c r="Q203" s="410"/>
      <c r="R203" s="410"/>
      <c r="S203" s="410"/>
      <c r="T203" s="410"/>
      <c r="U203" s="410"/>
      <c r="V203" s="410"/>
      <c r="W203" s="357"/>
      <c r="X203" s="357"/>
      <c r="Y203" s="357"/>
      <c r="Z203" s="357"/>
    </row>
    <row r="204" spans="1:26" ht="16.5" customHeight="1" x14ac:dyDescent="0.4">
      <c r="A204" s="442"/>
      <c r="B204" s="443"/>
      <c r="C204" s="410"/>
      <c r="D204" s="410"/>
      <c r="E204" s="410"/>
      <c r="F204" s="410"/>
      <c r="G204" s="410"/>
      <c r="H204" s="410"/>
      <c r="I204" s="410"/>
      <c r="J204" s="410"/>
      <c r="K204" s="410"/>
      <c r="L204" s="410"/>
      <c r="M204" s="410"/>
      <c r="N204" s="410"/>
      <c r="O204" s="410"/>
      <c r="P204" s="410"/>
      <c r="Q204" s="410"/>
      <c r="R204" s="410"/>
      <c r="S204" s="410"/>
      <c r="T204" s="410"/>
      <c r="U204" s="410"/>
      <c r="V204" s="410"/>
      <c r="W204" s="357"/>
      <c r="X204" s="357"/>
      <c r="Y204" s="357"/>
      <c r="Z204" s="357"/>
    </row>
    <row r="205" spans="1:26" ht="16.5" customHeight="1" x14ac:dyDescent="0.4">
      <c r="A205" s="442"/>
      <c r="B205" s="443"/>
      <c r="C205" s="410"/>
      <c r="D205" s="410"/>
      <c r="E205" s="410"/>
      <c r="F205" s="410"/>
      <c r="G205" s="410"/>
      <c r="H205" s="410"/>
      <c r="I205" s="410"/>
      <c r="J205" s="410"/>
      <c r="K205" s="410"/>
      <c r="L205" s="410"/>
      <c r="M205" s="410"/>
      <c r="N205" s="410"/>
      <c r="O205" s="410"/>
      <c r="P205" s="410"/>
      <c r="Q205" s="410"/>
      <c r="R205" s="410"/>
      <c r="S205" s="410"/>
      <c r="T205" s="410"/>
      <c r="U205" s="410"/>
      <c r="V205" s="410"/>
      <c r="W205" s="357"/>
      <c r="X205" s="357"/>
      <c r="Y205" s="357"/>
      <c r="Z205" s="357"/>
    </row>
    <row r="206" spans="1:26" ht="16.5" customHeight="1" x14ac:dyDescent="0.4">
      <c r="A206" s="442"/>
      <c r="B206" s="443"/>
      <c r="C206" s="410"/>
      <c r="D206" s="410"/>
      <c r="E206" s="410"/>
      <c r="F206" s="410"/>
      <c r="G206" s="410"/>
      <c r="H206" s="410"/>
      <c r="I206" s="410"/>
      <c r="J206" s="410"/>
      <c r="K206" s="410"/>
      <c r="L206" s="410"/>
      <c r="M206" s="410"/>
      <c r="N206" s="410"/>
      <c r="O206" s="410"/>
      <c r="P206" s="410"/>
      <c r="Q206" s="410"/>
      <c r="R206" s="410"/>
      <c r="S206" s="410"/>
      <c r="T206" s="410"/>
      <c r="U206" s="410"/>
      <c r="V206" s="410"/>
      <c r="W206" s="357"/>
      <c r="X206" s="357"/>
      <c r="Y206" s="357"/>
      <c r="Z206" s="357"/>
    </row>
    <row r="207" spans="1:26" ht="16.5" customHeight="1" x14ac:dyDescent="0.4">
      <c r="A207" s="442"/>
      <c r="B207" s="443"/>
      <c r="C207" s="410"/>
      <c r="D207" s="410"/>
      <c r="E207" s="410"/>
      <c r="F207" s="410"/>
      <c r="G207" s="410"/>
      <c r="H207" s="410"/>
      <c r="I207" s="410"/>
      <c r="J207" s="410"/>
      <c r="K207" s="410"/>
      <c r="L207" s="410"/>
      <c r="M207" s="410"/>
      <c r="N207" s="410"/>
      <c r="O207" s="410"/>
      <c r="P207" s="410"/>
      <c r="Q207" s="410"/>
      <c r="R207" s="410"/>
      <c r="S207" s="410"/>
      <c r="T207" s="410"/>
      <c r="U207" s="410"/>
      <c r="V207" s="410"/>
      <c r="W207" s="357"/>
      <c r="X207" s="357"/>
      <c r="Y207" s="357"/>
      <c r="Z207" s="357"/>
    </row>
    <row r="208" spans="1:26" ht="16.5" customHeight="1" x14ac:dyDescent="0.4">
      <c r="A208" s="442"/>
      <c r="B208" s="443"/>
      <c r="C208" s="410"/>
      <c r="D208" s="410"/>
      <c r="E208" s="410"/>
      <c r="F208" s="410"/>
      <c r="G208" s="410"/>
      <c r="H208" s="410"/>
      <c r="I208" s="410"/>
      <c r="J208" s="410"/>
      <c r="K208" s="410"/>
      <c r="L208" s="410"/>
      <c r="M208" s="410"/>
      <c r="N208" s="410"/>
      <c r="O208" s="410"/>
      <c r="P208" s="410"/>
      <c r="Q208" s="410"/>
      <c r="R208" s="410"/>
      <c r="S208" s="410"/>
      <c r="T208" s="410"/>
      <c r="U208" s="410"/>
      <c r="V208" s="410"/>
      <c r="W208" s="357"/>
      <c r="X208" s="357"/>
      <c r="Y208" s="357"/>
      <c r="Z208" s="357"/>
    </row>
    <row r="209" spans="1:26" ht="16.5" customHeight="1" x14ac:dyDescent="0.4">
      <c r="A209" s="442"/>
      <c r="B209" s="443"/>
      <c r="C209" s="410"/>
      <c r="D209" s="410"/>
      <c r="E209" s="410"/>
      <c r="F209" s="410"/>
      <c r="G209" s="410"/>
      <c r="H209" s="410"/>
      <c r="I209" s="410"/>
      <c r="J209" s="410"/>
      <c r="K209" s="410"/>
      <c r="L209" s="410"/>
      <c r="M209" s="410"/>
      <c r="N209" s="410"/>
      <c r="O209" s="410"/>
      <c r="P209" s="410"/>
      <c r="Q209" s="410"/>
      <c r="R209" s="410"/>
      <c r="S209" s="410"/>
      <c r="T209" s="410"/>
      <c r="U209" s="410"/>
      <c r="V209" s="410"/>
      <c r="W209" s="357"/>
      <c r="X209" s="357"/>
      <c r="Y209" s="357"/>
      <c r="Z209" s="357"/>
    </row>
    <row r="210" spans="1:26" ht="16.5" customHeight="1" x14ac:dyDescent="0.4">
      <c r="A210" s="442"/>
      <c r="B210" s="443"/>
      <c r="C210" s="410"/>
      <c r="D210" s="410"/>
      <c r="E210" s="410"/>
      <c r="F210" s="410"/>
      <c r="G210" s="410"/>
      <c r="H210" s="410"/>
      <c r="I210" s="410"/>
      <c r="J210" s="410"/>
      <c r="K210" s="410"/>
      <c r="L210" s="410"/>
      <c r="M210" s="410"/>
      <c r="N210" s="410"/>
      <c r="O210" s="410"/>
      <c r="P210" s="410"/>
      <c r="Q210" s="410"/>
      <c r="R210" s="410"/>
      <c r="S210" s="410"/>
      <c r="T210" s="410"/>
      <c r="U210" s="410"/>
      <c r="V210" s="410"/>
      <c r="W210" s="357"/>
      <c r="X210" s="357"/>
      <c r="Y210" s="357"/>
      <c r="Z210" s="357"/>
    </row>
    <row r="211" spans="1:26" ht="16.5" customHeight="1" x14ac:dyDescent="0.4">
      <c r="A211" s="410"/>
      <c r="B211" s="443"/>
      <c r="C211" s="410"/>
      <c r="D211" s="410"/>
      <c r="E211" s="410"/>
      <c r="F211" s="410"/>
      <c r="G211" s="410"/>
      <c r="H211" s="410"/>
      <c r="I211" s="410"/>
      <c r="J211" s="410"/>
      <c r="K211" s="410"/>
      <c r="L211" s="410"/>
      <c r="M211" s="410"/>
      <c r="N211" s="410"/>
      <c r="O211" s="410"/>
      <c r="P211" s="410"/>
      <c r="Q211" s="410"/>
      <c r="R211" s="410"/>
      <c r="S211" s="410"/>
      <c r="T211" s="410"/>
      <c r="U211" s="410"/>
      <c r="V211" s="410"/>
      <c r="W211" s="357"/>
      <c r="X211" s="357"/>
      <c r="Y211" s="357"/>
      <c r="Z211" s="357"/>
    </row>
    <row r="212" spans="1:26" ht="16.5" customHeight="1" x14ac:dyDescent="0.4">
      <c r="A212" s="410"/>
      <c r="B212" s="443"/>
      <c r="C212" s="410"/>
      <c r="D212" s="410"/>
      <c r="E212" s="410"/>
      <c r="F212" s="410"/>
      <c r="G212" s="410"/>
      <c r="H212" s="410"/>
      <c r="I212" s="410"/>
      <c r="J212" s="410"/>
      <c r="K212" s="410"/>
      <c r="L212" s="410"/>
      <c r="M212" s="410"/>
      <c r="N212" s="410"/>
      <c r="O212" s="410"/>
      <c r="P212" s="410"/>
      <c r="Q212" s="410"/>
      <c r="R212" s="410"/>
      <c r="S212" s="410"/>
      <c r="T212" s="410"/>
      <c r="U212" s="410"/>
      <c r="V212" s="410"/>
      <c r="W212" s="357"/>
      <c r="X212" s="357"/>
      <c r="Y212" s="357"/>
      <c r="Z212" s="357"/>
    </row>
    <row r="213" spans="1:26" ht="16.5" customHeight="1" x14ac:dyDescent="0.4">
      <c r="A213" s="410"/>
      <c r="B213" s="443"/>
      <c r="C213" s="410"/>
      <c r="D213" s="410"/>
      <c r="E213" s="410"/>
      <c r="F213" s="410"/>
      <c r="G213" s="410"/>
      <c r="H213" s="410"/>
      <c r="I213" s="410"/>
      <c r="J213" s="410"/>
      <c r="K213" s="410"/>
      <c r="L213" s="410"/>
      <c r="M213" s="410"/>
      <c r="N213" s="410"/>
      <c r="O213" s="410"/>
      <c r="P213" s="410"/>
      <c r="Q213" s="410"/>
      <c r="R213" s="410"/>
      <c r="S213" s="410"/>
      <c r="T213" s="410"/>
      <c r="U213" s="410"/>
      <c r="V213" s="410"/>
      <c r="W213" s="357"/>
      <c r="X213" s="357"/>
      <c r="Y213" s="357"/>
      <c r="Z213" s="357"/>
    </row>
    <row r="214" spans="1:26" ht="16.5" customHeight="1" x14ac:dyDescent="0.4">
      <c r="A214" s="410"/>
      <c r="B214" s="443"/>
      <c r="C214" s="410"/>
      <c r="D214" s="410"/>
      <c r="E214" s="410"/>
      <c r="F214" s="410"/>
      <c r="G214" s="410"/>
      <c r="H214" s="410"/>
      <c r="I214" s="410"/>
      <c r="J214" s="410"/>
      <c r="K214" s="410"/>
      <c r="L214" s="410"/>
      <c r="M214" s="410"/>
      <c r="N214" s="410"/>
      <c r="O214" s="410"/>
      <c r="P214" s="410"/>
      <c r="Q214" s="410"/>
      <c r="R214" s="410"/>
      <c r="S214" s="410"/>
      <c r="T214" s="410"/>
      <c r="U214" s="410"/>
      <c r="V214" s="410"/>
      <c r="W214" s="357"/>
      <c r="X214" s="357"/>
      <c r="Y214" s="357"/>
      <c r="Z214" s="357"/>
    </row>
    <row r="215" spans="1:26" ht="16.5" customHeight="1" x14ac:dyDescent="0.4">
      <c r="A215" s="410"/>
      <c r="B215" s="443"/>
      <c r="C215" s="410"/>
      <c r="D215" s="410"/>
      <c r="E215" s="410"/>
      <c r="F215" s="410"/>
      <c r="G215" s="410"/>
      <c r="H215" s="410"/>
      <c r="I215" s="410"/>
      <c r="J215" s="410"/>
      <c r="K215" s="410"/>
      <c r="L215" s="410"/>
      <c r="M215" s="410"/>
      <c r="N215" s="410"/>
      <c r="O215" s="410"/>
      <c r="P215" s="410"/>
      <c r="Q215" s="410"/>
      <c r="R215" s="410"/>
      <c r="S215" s="410"/>
      <c r="T215" s="410"/>
      <c r="U215" s="410"/>
      <c r="V215" s="410"/>
      <c r="W215" s="357"/>
      <c r="X215" s="357"/>
      <c r="Y215" s="357"/>
      <c r="Z215" s="357"/>
    </row>
    <row r="216" spans="1:26" ht="16.5" customHeight="1" x14ac:dyDescent="0.4">
      <c r="A216" s="410"/>
      <c r="B216" s="443"/>
      <c r="C216" s="410"/>
      <c r="D216" s="410"/>
      <c r="E216" s="410"/>
      <c r="F216" s="410"/>
      <c r="G216" s="410"/>
      <c r="H216" s="410"/>
      <c r="I216" s="410"/>
      <c r="J216" s="410"/>
      <c r="K216" s="410"/>
      <c r="L216" s="410"/>
      <c r="M216" s="410"/>
      <c r="N216" s="410"/>
      <c r="O216" s="410"/>
      <c r="P216" s="410"/>
      <c r="Q216" s="410"/>
      <c r="R216" s="410"/>
      <c r="S216" s="410"/>
      <c r="T216" s="410"/>
      <c r="U216" s="410"/>
      <c r="V216" s="410"/>
      <c r="W216" s="357"/>
      <c r="X216" s="357"/>
      <c r="Y216" s="357"/>
      <c r="Z216" s="357"/>
    </row>
    <row r="217" spans="1:26" ht="16.5" customHeight="1" x14ac:dyDescent="0.4">
      <c r="A217" s="410"/>
      <c r="B217" s="443"/>
      <c r="C217" s="410"/>
      <c r="D217" s="410"/>
      <c r="E217" s="410"/>
      <c r="F217" s="410"/>
      <c r="G217" s="410"/>
      <c r="H217" s="410"/>
      <c r="I217" s="410"/>
      <c r="J217" s="410"/>
      <c r="K217" s="410"/>
      <c r="L217" s="410"/>
      <c r="M217" s="410"/>
      <c r="N217" s="410"/>
      <c r="O217" s="410"/>
      <c r="P217" s="410"/>
      <c r="Q217" s="410"/>
      <c r="R217" s="410"/>
      <c r="S217" s="410"/>
      <c r="T217" s="410"/>
      <c r="U217" s="410"/>
      <c r="V217" s="410"/>
      <c r="W217" s="357"/>
      <c r="X217" s="357"/>
      <c r="Y217" s="357"/>
      <c r="Z217" s="357"/>
    </row>
    <row r="218" spans="1:26" ht="16.5" customHeight="1" x14ac:dyDescent="0.4">
      <c r="A218" s="410"/>
      <c r="B218" s="443"/>
      <c r="C218" s="410"/>
      <c r="D218" s="410"/>
      <c r="E218" s="410"/>
      <c r="F218" s="410"/>
      <c r="G218" s="410"/>
      <c r="H218" s="410"/>
      <c r="I218" s="410"/>
      <c r="J218" s="410"/>
      <c r="K218" s="410"/>
      <c r="L218" s="410"/>
      <c r="M218" s="410"/>
      <c r="N218" s="410"/>
      <c r="O218" s="410"/>
      <c r="P218" s="410"/>
      <c r="Q218" s="410"/>
      <c r="R218" s="410"/>
      <c r="S218" s="410"/>
      <c r="T218" s="410"/>
      <c r="U218" s="410"/>
      <c r="V218" s="410"/>
      <c r="W218" s="357"/>
      <c r="X218" s="357"/>
      <c r="Y218" s="357"/>
      <c r="Z218" s="357"/>
    </row>
    <row r="219" spans="1:26" ht="16.5" customHeight="1" x14ac:dyDescent="0.4">
      <c r="A219" s="410"/>
      <c r="B219" s="443"/>
      <c r="C219" s="410"/>
      <c r="D219" s="410"/>
      <c r="E219" s="410"/>
      <c r="F219" s="410"/>
      <c r="G219" s="410"/>
      <c r="H219" s="410"/>
      <c r="I219" s="410"/>
      <c r="J219" s="410"/>
      <c r="K219" s="410"/>
      <c r="L219" s="410"/>
      <c r="M219" s="410"/>
      <c r="N219" s="410"/>
      <c r="O219" s="410"/>
      <c r="P219" s="410"/>
      <c r="Q219" s="410"/>
      <c r="R219" s="410"/>
      <c r="S219" s="410"/>
      <c r="T219" s="410"/>
      <c r="U219" s="410"/>
      <c r="V219" s="410"/>
      <c r="W219" s="357"/>
      <c r="X219" s="357"/>
      <c r="Y219" s="357"/>
      <c r="Z219" s="357"/>
    </row>
    <row r="220" spans="1:26" ht="16.5" customHeight="1" x14ac:dyDescent="0.4">
      <c r="A220" s="410"/>
      <c r="B220" s="443"/>
      <c r="C220" s="410"/>
      <c r="D220" s="410"/>
      <c r="E220" s="410"/>
      <c r="F220" s="410"/>
      <c r="G220" s="410"/>
      <c r="H220" s="410"/>
      <c r="I220" s="410"/>
      <c r="J220" s="410"/>
      <c r="K220" s="410"/>
      <c r="L220" s="410"/>
      <c r="M220" s="410"/>
      <c r="N220" s="410"/>
      <c r="O220" s="410"/>
      <c r="P220" s="410"/>
      <c r="Q220" s="410"/>
      <c r="R220" s="410"/>
      <c r="S220" s="410"/>
      <c r="T220" s="410"/>
      <c r="U220" s="410"/>
      <c r="V220" s="410"/>
      <c r="W220" s="357"/>
      <c r="X220" s="357"/>
      <c r="Y220" s="357"/>
      <c r="Z220" s="357"/>
    </row>
    <row r="221" spans="1:26" ht="16.5" customHeight="1" x14ac:dyDescent="0.4">
      <c r="A221" s="410"/>
      <c r="B221" s="443"/>
      <c r="C221" s="410"/>
      <c r="D221" s="410"/>
      <c r="E221" s="410"/>
      <c r="F221" s="410"/>
      <c r="G221" s="410"/>
      <c r="H221" s="410"/>
      <c r="I221" s="410"/>
      <c r="J221" s="410"/>
      <c r="K221" s="410"/>
      <c r="L221" s="410"/>
      <c r="M221" s="410"/>
      <c r="N221" s="410"/>
      <c r="O221" s="410"/>
      <c r="P221" s="410"/>
      <c r="Q221" s="410"/>
      <c r="R221" s="410"/>
      <c r="S221" s="410"/>
      <c r="T221" s="410"/>
      <c r="U221" s="410"/>
      <c r="V221" s="410"/>
      <c r="W221" s="357"/>
      <c r="X221" s="357"/>
      <c r="Y221" s="357"/>
      <c r="Z221" s="357"/>
    </row>
    <row r="222" spans="1:26" ht="16.5" customHeight="1" x14ac:dyDescent="0.4">
      <c r="A222" s="410"/>
      <c r="B222" s="443"/>
      <c r="C222" s="410"/>
      <c r="D222" s="410"/>
      <c r="E222" s="410"/>
      <c r="F222" s="410"/>
      <c r="G222" s="410"/>
      <c r="H222" s="410"/>
      <c r="I222" s="410"/>
      <c r="J222" s="410"/>
      <c r="K222" s="410"/>
      <c r="L222" s="410"/>
      <c r="M222" s="410"/>
      <c r="N222" s="410"/>
      <c r="O222" s="410"/>
      <c r="P222" s="410"/>
      <c r="Q222" s="410"/>
      <c r="R222" s="410"/>
      <c r="S222" s="410"/>
      <c r="T222" s="410"/>
      <c r="U222" s="410"/>
      <c r="V222" s="410"/>
      <c r="W222" s="357"/>
      <c r="X222" s="357"/>
      <c r="Y222" s="357"/>
      <c r="Z222" s="357"/>
    </row>
    <row r="223" spans="1:26" ht="16.5" customHeight="1" x14ac:dyDescent="0.4">
      <c r="A223" s="410"/>
      <c r="B223" s="443"/>
      <c r="C223" s="410"/>
      <c r="D223" s="410"/>
      <c r="E223" s="410"/>
      <c r="F223" s="410"/>
      <c r="G223" s="410"/>
      <c r="H223" s="410"/>
      <c r="I223" s="410"/>
      <c r="J223" s="410"/>
      <c r="K223" s="410"/>
      <c r="L223" s="410"/>
      <c r="M223" s="410"/>
      <c r="N223" s="410"/>
      <c r="O223" s="410"/>
      <c r="P223" s="410"/>
      <c r="Q223" s="410"/>
      <c r="R223" s="410"/>
      <c r="S223" s="410"/>
      <c r="T223" s="410"/>
      <c r="U223" s="410"/>
      <c r="V223" s="410"/>
      <c r="W223" s="357"/>
      <c r="X223" s="357"/>
      <c r="Y223" s="357"/>
      <c r="Z223" s="357"/>
    </row>
    <row r="224" spans="1:26" ht="16.5" customHeight="1" x14ac:dyDescent="0.4">
      <c r="A224" s="410"/>
      <c r="B224" s="443"/>
      <c r="C224" s="410"/>
      <c r="D224" s="410"/>
      <c r="E224" s="410"/>
      <c r="F224" s="410"/>
      <c r="G224" s="410"/>
      <c r="H224" s="410"/>
      <c r="I224" s="410"/>
      <c r="J224" s="410"/>
      <c r="K224" s="410"/>
      <c r="L224" s="410"/>
      <c r="M224" s="410"/>
      <c r="N224" s="410"/>
      <c r="O224" s="410"/>
      <c r="P224" s="410"/>
      <c r="Q224" s="410"/>
      <c r="R224" s="410"/>
      <c r="S224" s="410"/>
      <c r="T224" s="410"/>
      <c r="U224" s="410"/>
      <c r="V224" s="410"/>
      <c r="W224" s="357"/>
      <c r="X224" s="357"/>
      <c r="Y224" s="357"/>
      <c r="Z224" s="357"/>
    </row>
    <row r="225" spans="1:26" ht="16.5" customHeight="1" x14ac:dyDescent="0.4">
      <c r="A225" s="410"/>
      <c r="B225" s="443"/>
      <c r="C225" s="410"/>
      <c r="D225" s="410"/>
      <c r="E225" s="410"/>
      <c r="F225" s="410"/>
      <c r="G225" s="410"/>
      <c r="H225" s="410"/>
      <c r="I225" s="410"/>
      <c r="J225" s="410"/>
      <c r="K225" s="410"/>
      <c r="L225" s="410"/>
      <c r="M225" s="410"/>
      <c r="N225" s="410"/>
      <c r="O225" s="410"/>
      <c r="P225" s="410"/>
      <c r="Q225" s="410"/>
      <c r="R225" s="410"/>
      <c r="S225" s="410"/>
      <c r="T225" s="410"/>
      <c r="U225" s="410"/>
      <c r="V225" s="410"/>
      <c r="W225" s="357"/>
      <c r="X225" s="357"/>
      <c r="Y225" s="357"/>
      <c r="Z225" s="357"/>
    </row>
    <row r="226" spans="1:26" ht="16.5" customHeight="1" x14ac:dyDescent="0.4">
      <c r="A226" s="410"/>
      <c r="B226" s="443"/>
      <c r="C226" s="410"/>
      <c r="D226" s="410"/>
      <c r="E226" s="410"/>
      <c r="F226" s="410"/>
      <c r="G226" s="410"/>
      <c r="H226" s="410"/>
      <c r="I226" s="410"/>
      <c r="J226" s="410"/>
      <c r="K226" s="410"/>
      <c r="L226" s="410"/>
      <c r="M226" s="410"/>
      <c r="N226" s="410"/>
      <c r="O226" s="410"/>
      <c r="P226" s="410"/>
      <c r="Q226" s="410"/>
      <c r="R226" s="410"/>
      <c r="S226" s="410"/>
      <c r="T226" s="410"/>
      <c r="U226" s="410"/>
      <c r="V226" s="410"/>
      <c r="W226" s="357"/>
      <c r="X226" s="357"/>
      <c r="Y226" s="357"/>
      <c r="Z226" s="357"/>
    </row>
    <row r="227" spans="1:26" ht="16.5" customHeight="1" x14ac:dyDescent="0.4">
      <c r="A227" s="410"/>
      <c r="B227" s="443"/>
      <c r="C227" s="410"/>
      <c r="D227" s="410"/>
      <c r="E227" s="410"/>
      <c r="F227" s="410"/>
      <c r="G227" s="410"/>
      <c r="H227" s="410"/>
      <c r="I227" s="410"/>
      <c r="J227" s="410"/>
      <c r="K227" s="410"/>
      <c r="L227" s="410"/>
      <c r="M227" s="410"/>
      <c r="N227" s="410"/>
      <c r="O227" s="410"/>
      <c r="P227" s="410"/>
      <c r="Q227" s="410"/>
      <c r="R227" s="410"/>
      <c r="S227" s="410"/>
      <c r="T227" s="410"/>
      <c r="U227" s="410"/>
      <c r="V227" s="410"/>
      <c r="W227" s="357"/>
      <c r="X227" s="357"/>
      <c r="Y227" s="357"/>
      <c r="Z227" s="357"/>
    </row>
    <row r="228" spans="1:26" ht="16.5" customHeight="1" x14ac:dyDescent="0.4">
      <c r="A228" s="410"/>
      <c r="B228" s="443"/>
      <c r="C228" s="410"/>
      <c r="D228" s="410"/>
      <c r="E228" s="410"/>
      <c r="F228" s="410"/>
      <c r="G228" s="410"/>
      <c r="H228" s="410"/>
      <c r="I228" s="410"/>
      <c r="J228" s="410"/>
      <c r="K228" s="410"/>
      <c r="L228" s="410"/>
      <c r="M228" s="410"/>
      <c r="N228" s="410"/>
      <c r="O228" s="410"/>
      <c r="P228" s="410"/>
      <c r="Q228" s="410"/>
      <c r="R228" s="410"/>
      <c r="S228" s="410"/>
      <c r="T228" s="410"/>
      <c r="U228" s="410"/>
      <c r="V228" s="410"/>
      <c r="W228" s="357"/>
      <c r="X228" s="357"/>
      <c r="Y228" s="357"/>
      <c r="Z228" s="357"/>
    </row>
    <row r="229" spans="1:26" ht="16.5" customHeight="1" x14ac:dyDescent="0.4">
      <c r="A229" s="410"/>
      <c r="B229" s="443"/>
      <c r="C229" s="410"/>
      <c r="D229" s="410"/>
      <c r="E229" s="410"/>
      <c r="F229" s="410"/>
      <c r="G229" s="410"/>
      <c r="H229" s="410"/>
      <c r="I229" s="410"/>
      <c r="J229" s="410"/>
      <c r="K229" s="410"/>
      <c r="L229" s="410"/>
      <c r="M229" s="410"/>
      <c r="N229" s="410"/>
      <c r="O229" s="410"/>
      <c r="P229" s="410"/>
      <c r="Q229" s="410"/>
      <c r="R229" s="410"/>
      <c r="S229" s="410"/>
      <c r="T229" s="410"/>
      <c r="U229" s="410"/>
      <c r="V229" s="410"/>
      <c r="W229" s="357"/>
      <c r="X229" s="357"/>
      <c r="Y229" s="357"/>
      <c r="Z229" s="357"/>
    </row>
    <row r="230" spans="1:26" ht="16.5" customHeight="1" x14ac:dyDescent="0.4">
      <c r="A230" s="410"/>
      <c r="B230" s="443"/>
      <c r="C230" s="410"/>
      <c r="D230" s="410"/>
      <c r="E230" s="410"/>
      <c r="F230" s="410"/>
      <c r="G230" s="410"/>
      <c r="H230" s="410"/>
      <c r="I230" s="410"/>
      <c r="J230" s="410"/>
      <c r="K230" s="410"/>
      <c r="L230" s="410"/>
      <c r="M230" s="410"/>
      <c r="N230" s="410"/>
      <c r="O230" s="410"/>
      <c r="P230" s="410"/>
      <c r="Q230" s="410"/>
      <c r="R230" s="410"/>
      <c r="S230" s="410"/>
      <c r="T230" s="410"/>
      <c r="U230" s="410"/>
      <c r="V230" s="410"/>
      <c r="W230" s="357"/>
      <c r="X230" s="357"/>
      <c r="Y230" s="357"/>
      <c r="Z230" s="357"/>
    </row>
    <row r="231" spans="1:26" ht="16.5" customHeight="1" x14ac:dyDescent="0.4">
      <c r="A231" s="410"/>
      <c r="B231" s="443"/>
      <c r="C231" s="410"/>
      <c r="D231" s="410"/>
      <c r="E231" s="410"/>
      <c r="F231" s="410"/>
      <c r="G231" s="410"/>
      <c r="H231" s="410"/>
      <c r="I231" s="410"/>
      <c r="J231" s="410"/>
      <c r="K231" s="410"/>
      <c r="L231" s="410"/>
      <c r="M231" s="410"/>
      <c r="N231" s="410"/>
      <c r="O231" s="410"/>
      <c r="P231" s="410"/>
      <c r="Q231" s="410"/>
      <c r="R231" s="410"/>
      <c r="S231" s="410"/>
      <c r="T231" s="410"/>
      <c r="U231" s="410"/>
      <c r="V231" s="410"/>
      <c r="W231" s="357"/>
      <c r="X231" s="357"/>
      <c r="Y231" s="357"/>
      <c r="Z231" s="357"/>
    </row>
    <row r="232" spans="1:26" ht="16.5" customHeight="1" x14ac:dyDescent="0.4">
      <c r="A232" s="410"/>
      <c r="B232" s="443"/>
      <c r="C232" s="410"/>
      <c r="D232" s="410"/>
      <c r="E232" s="410"/>
      <c r="F232" s="410"/>
      <c r="G232" s="410"/>
      <c r="H232" s="410"/>
      <c r="I232" s="410"/>
      <c r="J232" s="410"/>
      <c r="K232" s="410"/>
      <c r="L232" s="410"/>
      <c r="M232" s="410"/>
      <c r="N232" s="410"/>
      <c r="O232" s="410"/>
      <c r="P232" s="410"/>
      <c r="Q232" s="410"/>
      <c r="R232" s="410"/>
      <c r="S232" s="410"/>
      <c r="T232" s="410"/>
      <c r="U232" s="410"/>
      <c r="V232" s="410"/>
      <c r="W232" s="357"/>
      <c r="X232" s="357"/>
      <c r="Y232" s="357"/>
      <c r="Z232" s="357"/>
    </row>
    <row r="233" spans="1:26" ht="16.5" customHeight="1" x14ac:dyDescent="0.4">
      <c r="A233" s="410"/>
      <c r="B233" s="443"/>
      <c r="C233" s="410"/>
      <c r="D233" s="410"/>
      <c r="E233" s="410"/>
      <c r="F233" s="410"/>
      <c r="G233" s="410"/>
      <c r="H233" s="410"/>
      <c r="I233" s="410"/>
      <c r="J233" s="410"/>
      <c r="K233" s="410"/>
      <c r="L233" s="410"/>
      <c r="M233" s="410"/>
      <c r="N233" s="410"/>
      <c r="O233" s="410"/>
      <c r="P233" s="410"/>
      <c r="Q233" s="410"/>
      <c r="R233" s="410"/>
      <c r="S233" s="410"/>
      <c r="T233" s="410"/>
      <c r="U233" s="410"/>
      <c r="V233" s="410"/>
      <c r="W233" s="357"/>
      <c r="X233" s="357"/>
      <c r="Y233" s="357"/>
      <c r="Z233" s="357"/>
    </row>
    <row r="234" spans="1:26" ht="16.5" customHeight="1" x14ac:dyDescent="0.4">
      <c r="A234" s="410"/>
      <c r="B234" s="443"/>
      <c r="C234" s="410"/>
      <c r="D234" s="410"/>
      <c r="E234" s="410"/>
      <c r="F234" s="410"/>
      <c r="G234" s="410"/>
      <c r="H234" s="410"/>
      <c r="I234" s="410"/>
      <c r="J234" s="410"/>
      <c r="K234" s="410"/>
      <c r="L234" s="410"/>
      <c r="M234" s="410"/>
      <c r="N234" s="410"/>
      <c r="O234" s="410"/>
      <c r="P234" s="410"/>
      <c r="Q234" s="410"/>
      <c r="R234" s="410"/>
      <c r="S234" s="410"/>
      <c r="T234" s="410"/>
      <c r="U234" s="410"/>
      <c r="V234" s="410"/>
      <c r="W234" s="357"/>
      <c r="X234" s="357"/>
      <c r="Y234" s="357"/>
      <c r="Z234" s="357"/>
    </row>
    <row r="235" spans="1:26" ht="16.5" customHeight="1" x14ac:dyDescent="0.4">
      <c r="A235" s="410"/>
      <c r="B235" s="443"/>
      <c r="C235" s="410"/>
      <c r="D235" s="410"/>
      <c r="E235" s="410"/>
      <c r="F235" s="410"/>
      <c r="G235" s="410"/>
      <c r="H235" s="410"/>
      <c r="I235" s="410"/>
      <c r="J235" s="410"/>
      <c r="K235" s="410"/>
      <c r="L235" s="410"/>
      <c r="M235" s="410"/>
      <c r="N235" s="410"/>
      <c r="O235" s="410"/>
      <c r="P235" s="410"/>
      <c r="Q235" s="410"/>
      <c r="R235" s="410"/>
      <c r="S235" s="410"/>
      <c r="T235" s="410"/>
      <c r="U235" s="410"/>
      <c r="V235" s="410"/>
      <c r="W235" s="357"/>
      <c r="X235" s="357"/>
      <c r="Y235" s="357"/>
      <c r="Z235" s="357"/>
    </row>
    <row r="236" spans="1:26" ht="16.5" customHeight="1" x14ac:dyDescent="0.4">
      <c r="A236" s="410"/>
      <c r="B236" s="443"/>
      <c r="C236" s="410"/>
      <c r="D236" s="410"/>
      <c r="E236" s="410"/>
      <c r="F236" s="410"/>
      <c r="G236" s="410"/>
      <c r="H236" s="410"/>
      <c r="I236" s="410"/>
      <c r="J236" s="410"/>
      <c r="K236" s="410"/>
      <c r="L236" s="410"/>
      <c r="M236" s="410"/>
      <c r="N236" s="410"/>
      <c r="O236" s="410"/>
      <c r="P236" s="410"/>
      <c r="Q236" s="410"/>
      <c r="R236" s="410"/>
      <c r="S236" s="410"/>
      <c r="T236" s="410"/>
      <c r="U236" s="410"/>
      <c r="V236" s="410"/>
      <c r="W236" s="357"/>
      <c r="X236" s="357"/>
      <c r="Y236" s="357"/>
      <c r="Z236" s="357"/>
    </row>
    <row r="237" spans="1:26" ht="16.5" customHeight="1" x14ac:dyDescent="0.4">
      <c r="A237" s="410"/>
      <c r="B237" s="443"/>
      <c r="C237" s="410"/>
      <c r="D237" s="410"/>
      <c r="E237" s="410"/>
      <c r="F237" s="410"/>
      <c r="G237" s="410"/>
      <c r="H237" s="410"/>
      <c r="I237" s="410"/>
      <c r="J237" s="410"/>
      <c r="K237" s="410"/>
      <c r="L237" s="410"/>
      <c r="M237" s="410"/>
      <c r="N237" s="410"/>
      <c r="O237" s="410"/>
      <c r="P237" s="410"/>
      <c r="Q237" s="410"/>
      <c r="R237" s="410"/>
      <c r="S237" s="410"/>
      <c r="T237" s="410"/>
      <c r="U237" s="410"/>
      <c r="V237" s="410"/>
      <c r="W237" s="357"/>
      <c r="X237" s="357"/>
      <c r="Y237" s="357"/>
      <c r="Z237" s="357"/>
    </row>
    <row r="238" spans="1:26" ht="16.5" customHeight="1" x14ac:dyDescent="0.4">
      <c r="A238" s="410"/>
      <c r="B238" s="443"/>
      <c r="C238" s="410"/>
      <c r="D238" s="410"/>
      <c r="E238" s="410"/>
      <c r="F238" s="410"/>
      <c r="G238" s="410"/>
      <c r="H238" s="410"/>
      <c r="I238" s="410"/>
      <c r="J238" s="410"/>
      <c r="K238" s="410"/>
      <c r="L238" s="410"/>
      <c r="M238" s="410"/>
      <c r="N238" s="410"/>
      <c r="O238" s="410"/>
      <c r="P238" s="410"/>
      <c r="Q238" s="410"/>
      <c r="R238" s="410"/>
      <c r="S238" s="410"/>
      <c r="T238" s="410"/>
      <c r="U238" s="410"/>
      <c r="V238" s="410"/>
      <c r="W238" s="357"/>
      <c r="X238" s="357"/>
      <c r="Y238" s="357"/>
      <c r="Z238" s="357"/>
    </row>
    <row r="239" spans="1:26" ht="16.5" customHeight="1" x14ac:dyDescent="0.4">
      <c r="A239" s="410"/>
      <c r="B239" s="443"/>
      <c r="C239" s="410"/>
      <c r="D239" s="410"/>
      <c r="E239" s="410"/>
      <c r="F239" s="410"/>
      <c r="G239" s="410"/>
      <c r="H239" s="410"/>
      <c r="I239" s="410"/>
      <c r="J239" s="410"/>
      <c r="K239" s="410"/>
      <c r="L239" s="410"/>
      <c r="M239" s="410"/>
      <c r="N239" s="410"/>
      <c r="O239" s="410"/>
      <c r="P239" s="410"/>
      <c r="Q239" s="410"/>
      <c r="R239" s="410"/>
      <c r="S239" s="410"/>
      <c r="T239" s="410"/>
      <c r="U239" s="410"/>
      <c r="V239" s="410"/>
      <c r="W239" s="357"/>
      <c r="X239" s="357"/>
      <c r="Y239" s="357"/>
      <c r="Z239" s="357"/>
    </row>
    <row r="240" spans="1:26" ht="16.5" customHeight="1" x14ac:dyDescent="0.4">
      <c r="A240" s="410"/>
      <c r="B240" s="443"/>
      <c r="C240" s="410"/>
      <c r="D240" s="410"/>
      <c r="E240" s="410"/>
      <c r="F240" s="410"/>
      <c r="G240" s="410"/>
      <c r="H240" s="410"/>
      <c r="I240" s="410"/>
      <c r="J240" s="410"/>
      <c r="K240" s="410"/>
      <c r="L240" s="410"/>
      <c r="M240" s="410"/>
      <c r="N240" s="410"/>
      <c r="O240" s="410"/>
      <c r="P240" s="410"/>
      <c r="Q240" s="410"/>
      <c r="R240" s="410"/>
      <c r="S240" s="410"/>
      <c r="T240" s="410"/>
      <c r="U240" s="410"/>
      <c r="V240" s="410"/>
      <c r="W240" s="357"/>
      <c r="X240" s="357"/>
      <c r="Y240" s="357"/>
      <c r="Z240" s="357"/>
    </row>
    <row r="241" spans="1:26" ht="16.5" customHeight="1" x14ac:dyDescent="0.4">
      <c r="A241" s="410"/>
      <c r="B241" s="443"/>
      <c r="C241" s="410"/>
      <c r="D241" s="410"/>
      <c r="E241" s="410"/>
      <c r="F241" s="410"/>
      <c r="G241" s="410"/>
      <c r="H241" s="410"/>
      <c r="I241" s="410"/>
      <c r="J241" s="410"/>
      <c r="K241" s="410"/>
      <c r="L241" s="410"/>
      <c r="M241" s="410"/>
      <c r="N241" s="410"/>
      <c r="O241" s="410"/>
      <c r="P241" s="410"/>
      <c r="Q241" s="410"/>
      <c r="R241" s="410"/>
      <c r="S241" s="410"/>
      <c r="T241" s="410"/>
      <c r="U241" s="410"/>
      <c r="V241" s="410"/>
      <c r="W241" s="357"/>
      <c r="X241" s="357"/>
      <c r="Y241" s="357"/>
      <c r="Z241" s="357"/>
    </row>
    <row r="242" spans="1:26" ht="16.5" customHeight="1" x14ac:dyDescent="0.4">
      <c r="A242" s="410"/>
      <c r="B242" s="443"/>
      <c r="C242" s="410"/>
      <c r="D242" s="410"/>
      <c r="E242" s="410"/>
      <c r="F242" s="410"/>
      <c r="G242" s="410"/>
      <c r="H242" s="410"/>
      <c r="I242" s="410"/>
      <c r="J242" s="410"/>
      <c r="K242" s="410"/>
      <c r="L242" s="410"/>
      <c r="M242" s="410"/>
      <c r="N242" s="410"/>
      <c r="O242" s="410"/>
      <c r="P242" s="410"/>
      <c r="Q242" s="410"/>
      <c r="R242" s="410"/>
      <c r="S242" s="410"/>
      <c r="T242" s="410"/>
      <c r="U242" s="410"/>
      <c r="V242" s="410"/>
      <c r="W242" s="357"/>
      <c r="X242" s="357"/>
      <c r="Y242" s="357"/>
      <c r="Z242" s="357"/>
    </row>
    <row r="243" spans="1:26" ht="16.5" customHeight="1" x14ac:dyDescent="0.4">
      <c r="A243" s="410"/>
      <c r="B243" s="443"/>
      <c r="C243" s="410"/>
      <c r="D243" s="410"/>
      <c r="E243" s="410"/>
      <c r="F243" s="410"/>
      <c r="G243" s="410"/>
      <c r="H243" s="410"/>
      <c r="I243" s="410"/>
      <c r="J243" s="410"/>
      <c r="K243" s="410"/>
      <c r="L243" s="410"/>
      <c r="M243" s="410"/>
      <c r="N243" s="410"/>
      <c r="O243" s="410"/>
      <c r="P243" s="410"/>
      <c r="Q243" s="410"/>
      <c r="R243" s="410"/>
      <c r="S243" s="410"/>
      <c r="T243" s="410"/>
      <c r="U243" s="410"/>
      <c r="V243" s="410"/>
      <c r="W243" s="357"/>
      <c r="X243" s="357"/>
      <c r="Y243" s="357"/>
      <c r="Z243" s="357"/>
    </row>
    <row r="244" spans="1:26" ht="16.5" customHeight="1" x14ac:dyDescent="0.4">
      <c r="A244" s="410"/>
      <c r="B244" s="443"/>
      <c r="C244" s="410"/>
      <c r="D244" s="410"/>
      <c r="E244" s="410"/>
      <c r="F244" s="410"/>
      <c r="G244" s="410"/>
      <c r="H244" s="410"/>
      <c r="I244" s="410"/>
      <c r="J244" s="410"/>
      <c r="K244" s="410"/>
      <c r="L244" s="410"/>
      <c r="M244" s="410"/>
      <c r="N244" s="410"/>
      <c r="O244" s="410"/>
      <c r="P244" s="410"/>
      <c r="Q244" s="410"/>
      <c r="R244" s="410"/>
      <c r="S244" s="410"/>
      <c r="T244" s="410"/>
      <c r="U244" s="410"/>
      <c r="V244" s="410"/>
      <c r="W244" s="357"/>
      <c r="X244" s="357"/>
      <c r="Y244" s="357"/>
      <c r="Z244" s="357"/>
    </row>
    <row r="245" spans="1:26" ht="16.5" customHeight="1" x14ac:dyDescent="0.4">
      <c r="A245" s="410"/>
      <c r="B245" s="443"/>
      <c r="C245" s="410"/>
      <c r="D245" s="410"/>
      <c r="E245" s="410"/>
      <c r="F245" s="410"/>
      <c r="G245" s="410"/>
      <c r="H245" s="410"/>
      <c r="I245" s="410"/>
      <c r="J245" s="410"/>
      <c r="K245" s="410"/>
      <c r="L245" s="410"/>
      <c r="M245" s="410"/>
      <c r="N245" s="410"/>
      <c r="O245" s="410"/>
      <c r="P245" s="410"/>
      <c r="Q245" s="410"/>
      <c r="R245" s="410"/>
      <c r="S245" s="410"/>
      <c r="T245" s="410"/>
      <c r="U245" s="410"/>
      <c r="V245" s="410"/>
      <c r="W245" s="357"/>
      <c r="X245" s="357"/>
      <c r="Y245" s="357"/>
      <c r="Z245" s="357"/>
    </row>
    <row r="246" spans="1:26" ht="16.5" customHeight="1" x14ac:dyDescent="0.4">
      <c r="A246" s="410"/>
      <c r="B246" s="443"/>
      <c r="C246" s="410"/>
      <c r="D246" s="410"/>
      <c r="E246" s="410"/>
      <c r="F246" s="410"/>
      <c r="G246" s="410"/>
      <c r="H246" s="410"/>
      <c r="I246" s="410"/>
      <c r="J246" s="410"/>
      <c r="K246" s="410"/>
      <c r="L246" s="410"/>
      <c r="M246" s="410"/>
      <c r="N246" s="410"/>
      <c r="O246" s="410"/>
      <c r="P246" s="410"/>
      <c r="Q246" s="410"/>
      <c r="R246" s="410"/>
      <c r="S246" s="410"/>
      <c r="T246" s="410"/>
      <c r="U246" s="410"/>
      <c r="V246" s="410"/>
      <c r="W246" s="357"/>
      <c r="X246" s="357"/>
      <c r="Y246" s="357"/>
      <c r="Z246" s="357"/>
    </row>
    <row r="247" spans="1:26" ht="16.5" customHeight="1" x14ac:dyDescent="0.4">
      <c r="A247" s="410"/>
      <c r="B247" s="443"/>
      <c r="C247" s="410"/>
      <c r="D247" s="410"/>
      <c r="E247" s="410"/>
      <c r="F247" s="410"/>
      <c r="G247" s="410"/>
      <c r="H247" s="410"/>
      <c r="I247" s="410"/>
      <c r="J247" s="410"/>
      <c r="K247" s="410"/>
      <c r="L247" s="410"/>
      <c r="M247" s="410"/>
      <c r="N247" s="410"/>
      <c r="O247" s="410"/>
      <c r="P247" s="410"/>
      <c r="Q247" s="410"/>
      <c r="R247" s="410"/>
      <c r="S247" s="410"/>
      <c r="T247" s="410"/>
      <c r="U247" s="410"/>
      <c r="V247" s="410"/>
      <c r="W247" s="357"/>
      <c r="X247" s="357"/>
      <c r="Y247" s="357"/>
      <c r="Z247" s="357"/>
    </row>
    <row r="248" spans="1:26" ht="16.5" customHeight="1" x14ac:dyDescent="0.4">
      <c r="A248" s="410"/>
      <c r="B248" s="443"/>
      <c r="C248" s="410"/>
      <c r="D248" s="410"/>
      <c r="E248" s="410"/>
      <c r="F248" s="410"/>
      <c r="G248" s="410"/>
      <c r="H248" s="410"/>
      <c r="I248" s="410"/>
      <c r="J248" s="410"/>
      <c r="K248" s="410"/>
      <c r="L248" s="410"/>
      <c r="M248" s="410"/>
      <c r="N248" s="410"/>
      <c r="O248" s="410"/>
      <c r="P248" s="410"/>
      <c r="Q248" s="410"/>
      <c r="R248" s="410"/>
      <c r="S248" s="410"/>
      <c r="T248" s="410"/>
      <c r="U248" s="410"/>
      <c r="V248" s="410"/>
      <c r="W248" s="357"/>
      <c r="X248" s="357"/>
      <c r="Y248" s="357"/>
      <c r="Z248" s="357"/>
    </row>
    <row r="249" spans="1:26" ht="16.5" customHeight="1" x14ac:dyDescent="0.4">
      <c r="A249" s="410"/>
      <c r="B249" s="443"/>
      <c r="C249" s="410"/>
      <c r="D249" s="410"/>
      <c r="E249" s="410"/>
      <c r="F249" s="410"/>
      <c r="G249" s="410"/>
      <c r="H249" s="410"/>
      <c r="I249" s="410"/>
      <c r="J249" s="410"/>
      <c r="K249" s="410"/>
      <c r="L249" s="410"/>
      <c r="M249" s="410"/>
      <c r="N249" s="410"/>
      <c r="O249" s="410"/>
      <c r="P249" s="410"/>
      <c r="Q249" s="410"/>
      <c r="R249" s="410"/>
      <c r="S249" s="410"/>
      <c r="T249" s="410"/>
      <c r="U249" s="410"/>
      <c r="V249" s="410"/>
      <c r="W249" s="357"/>
      <c r="X249" s="357"/>
      <c r="Y249" s="357"/>
      <c r="Z249" s="357"/>
    </row>
    <row r="250" spans="1:26" ht="16.5" customHeight="1" x14ac:dyDescent="0.4">
      <c r="A250" s="410"/>
      <c r="B250" s="443"/>
      <c r="C250" s="410"/>
      <c r="D250" s="410"/>
      <c r="E250" s="410"/>
      <c r="F250" s="410"/>
      <c r="G250" s="410"/>
      <c r="H250" s="410"/>
      <c r="I250" s="410"/>
      <c r="J250" s="410"/>
      <c r="K250" s="410"/>
      <c r="L250" s="410"/>
      <c r="M250" s="410"/>
      <c r="N250" s="410"/>
      <c r="O250" s="410"/>
      <c r="P250" s="410"/>
      <c r="Q250" s="410"/>
      <c r="R250" s="410"/>
      <c r="S250" s="410"/>
      <c r="T250" s="410"/>
      <c r="U250" s="410"/>
      <c r="V250" s="410"/>
      <c r="W250" s="357"/>
      <c r="X250" s="357"/>
      <c r="Y250" s="357"/>
      <c r="Z250" s="357"/>
    </row>
    <row r="251" spans="1:26" ht="16.5" customHeight="1" x14ac:dyDescent="0.4">
      <c r="A251" s="410"/>
      <c r="B251" s="443"/>
      <c r="C251" s="410"/>
      <c r="D251" s="410"/>
      <c r="E251" s="410"/>
      <c r="F251" s="410"/>
      <c r="G251" s="410"/>
      <c r="H251" s="410"/>
      <c r="I251" s="410"/>
      <c r="J251" s="410"/>
      <c r="K251" s="410"/>
      <c r="L251" s="410"/>
      <c r="M251" s="410"/>
      <c r="N251" s="410"/>
      <c r="O251" s="410"/>
      <c r="P251" s="410"/>
      <c r="Q251" s="410"/>
      <c r="R251" s="410"/>
      <c r="S251" s="410"/>
      <c r="T251" s="410"/>
      <c r="U251" s="410"/>
      <c r="V251" s="410"/>
      <c r="W251" s="357"/>
      <c r="X251" s="357"/>
      <c r="Y251" s="357"/>
      <c r="Z251" s="357"/>
    </row>
    <row r="252" spans="1:26" ht="16.5" customHeight="1" x14ac:dyDescent="0.4">
      <c r="A252" s="410"/>
      <c r="B252" s="443"/>
      <c r="C252" s="410"/>
      <c r="D252" s="410"/>
      <c r="E252" s="410"/>
      <c r="F252" s="410"/>
      <c r="G252" s="410"/>
      <c r="H252" s="410"/>
      <c r="I252" s="410"/>
      <c r="J252" s="410"/>
      <c r="K252" s="410"/>
      <c r="L252" s="410"/>
      <c r="M252" s="410"/>
      <c r="N252" s="410"/>
      <c r="O252" s="410"/>
      <c r="P252" s="410"/>
      <c r="Q252" s="410"/>
      <c r="R252" s="410"/>
      <c r="S252" s="410"/>
      <c r="T252" s="410"/>
      <c r="U252" s="410"/>
      <c r="V252" s="410"/>
      <c r="W252" s="357"/>
      <c r="X252" s="357"/>
      <c r="Y252" s="357"/>
      <c r="Z252" s="357"/>
    </row>
    <row r="253" spans="1:26" ht="16.5" customHeight="1" x14ac:dyDescent="0.4">
      <c r="A253" s="410"/>
      <c r="B253" s="443"/>
      <c r="C253" s="410"/>
      <c r="D253" s="410"/>
      <c r="E253" s="410"/>
      <c r="F253" s="410"/>
      <c r="G253" s="410"/>
      <c r="H253" s="410"/>
      <c r="I253" s="410"/>
      <c r="J253" s="410"/>
      <c r="K253" s="410"/>
      <c r="L253" s="410"/>
      <c r="M253" s="410"/>
      <c r="N253" s="410"/>
      <c r="O253" s="410"/>
      <c r="P253" s="410"/>
      <c r="Q253" s="410"/>
      <c r="R253" s="410"/>
      <c r="S253" s="410"/>
      <c r="T253" s="410"/>
      <c r="U253" s="410"/>
      <c r="V253" s="410"/>
      <c r="W253" s="357"/>
      <c r="X253" s="357"/>
      <c r="Y253" s="357"/>
      <c r="Z253" s="357"/>
    </row>
    <row r="254" spans="1:26" ht="16.5" customHeight="1" x14ac:dyDescent="0.4">
      <c r="A254" s="410"/>
      <c r="B254" s="443"/>
      <c r="C254" s="410"/>
      <c r="D254" s="410"/>
      <c r="E254" s="410"/>
      <c r="F254" s="410"/>
      <c r="G254" s="410"/>
      <c r="H254" s="410"/>
      <c r="I254" s="410"/>
      <c r="J254" s="410"/>
      <c r="K254" s="410"/>
      <c r="L254" s="410"/>
      <c r="M254" s="410"/>
      <c r="N254" s="410"/>
      <c r="O254" s="410"/>
      <c r="P254" s="410"/>
      <c r="Q254" s="410"/>
      <c r="R254" s="410"/>
      <c r="S254" s="410"/>
      <c r="T254" s="410"/>
      <c r="U254" s="410"/>
      <c r="V254" s="410"/>
      <c r="W254" s="357"/>
      <c r="X254" s="357"/>
      <c r="Y254" s="357"/>
      <c r="Z254" s="357"/>
    </row>
    <row r="255" spans="1:26" ht="16.5" customHeight="1" x14ac:dyDescent="0.4">
      <c r="A255" s="410"/>
      <c r="B255" s="443"/>
      <c r="C255" s="410"/>
      <c r="D255" s="410"/>
      <c r="E255" s="410"/>
      <c r="F255" s="410"/>
      <c r="G255" s="410"/>
      <c r="H255" s="410"/>
      <c r="I255" s="410"/>
      <c r="J255" s="410"/>
      <c r="K255" s="410"/>
      <c r="L255" s="410"/>
      <c r="M255" s="410"/>
      <c r="N255" s="410"/>
      <c r="O255" s="410"/>
      <c r="P255" s="410"/>
      <c r="Q255" s="410"/>
      <c r="R255" s="410"/>
      <c r="S255" s="410"/>
      <c r="T255" s="410"/>
      <c r="U255" s="410"/>
      <c r="V255" s="410"/>
      <c r="W255" s="357"/>
      <c r="X255" s="357"/>
      <c r="Y255" s="357"/>
      <c r="Z255" s="357"/>
    </row>
    <row r="256" spans="1:26" ht="16.5" customHeight="1" x14ac:dyDescent="0.4">
      <c r="A256" s="410"/>
      <c r="B256" s="443"/>
      <c r="C256" s="410"/>
      <c r="D256" s="410"/>
      <c r="E256" s="410"/>
      <c r="F256" s="410"/>
      <c r="G256" s="410"/>
      <c r="H256" s="410"/>
      <c r="I256" s="410"/>
      <c r="J256" s="410"/>
      <c r="K256" s="410"/>
      <c r="L256" s="410"/>
      <c r="M256" s="410"/>
      <c r="N256" s="410"/>
      <c r="O256" s="410"/>
      <c r="P256" s="410"/>
      <c r="Q256" s="410"/>
      <c r="R256" s="410"/>
      <c r="S256" s="410"/>
      <c r="T256" s="410"/>
      <c r="U256" s="410"/>
      <c r="V256" s="410"/>
      <c r="W256" s="357"/>
      <c r="X256" s="357"/>
      <c r="Y256" s="357"/>
      <c r="Z256" s="357"/>
    </row>
    <row r="257" spans="1:26" ht="16.5" customHeight="1" x14ac:dyDescent="0.4">
      <c r="A257" s="410"/>
      <c r="B257" s="443"/>
      <c r="C257" s="410"/>
      <c r="D257" s="410"/>
      <c r="E257" s="410"/>
      <c r="F257" s="410"/>
      <c r="G257" s="410"/>
      <c r="H257" s="410"/>
      <c r="I257" s="410"/>
      <c r="J257" s="410"/>
      <c r="K257" s="410"/>
      <c r="L257" s="410"/>
      <c r="M257" s="410"/>
      <c r="N257" s="410"/>
      <c r="O257" s="410"/>
      <c r="P257" s="410"/>
      <c r="Q257" s="410"/>
      <c r="R257" s="410"/>
      <c r="S257" s="410"/>
      <c r="T257" s="410"/>
      <c r="U257" s="410"/>
      <c r="V257" s="410"/>
      <c r="W257" s="357"/>
      <c r="X257" s="357"/>
      <c r="Y257" s="357"/>
      <c r="Z257" s="357"/>
    </row>
    <row r="258" spans="1:26" ht="16.5" customHeight="1" x14ac:dyDescent="0.4">
      <c r="A258" s="410"/>
      <c r="B258" s="443"/>
      <c r="C258" s="410"/>
      <c r="D258" s="410"/>
      <c r="E258" s="410"/>
      <c r="F258" s="410"/>
      <c r="G258" s="410"/>
      <c r="H258" s="410"/>
      <c r="I258" s="410"/>
      <c r="J258" s="410"/>
      <c r="K258" s="410"/>
      <c r="L258" s="410"/>
      <c r="M258" s="410"/>
      <c r="N258" s="410"/>
      <c r="O258" s="410"/>
      <c r="P258" s="410"/>
      <c r="Q258" s="410"/>
      <c r="R258" s="410"/>
      <c r="S258" s="410"/>
      <c r="T258" s="410"/>
      <c r="U258" s="410"/>
      <c r="V258" s="410"/>
      <c r="W258" s="357"/>
      <c r="X258" s="357"/>
      <c r="Y258" s="357"/>
      <c r="Z258" s="357"/>
    </row>
    <row r="259" spans="1:26" ht="16.5" customHeight="1" x14ac:dyDescent="0.4">
      <c r="A259" s="410"/>
      <c r="B259" s="443"/>
      <c r="C259" s="410"/>
      <c r="D259" s="410"/>
      <c r="E259" s="410"/>
      <c r="F259" s="410"/>
      <c r="G259" s="410"/>
      <c r="H259" s="410"/>
      <c r="I259" s="410"/>
      <c r="J259" s="410"/>
      <c r="K259" s="410"/>
      <c r="L259" s="410"/>
      <c r="M259" s="410"/>
      <c r="N259" s="410"/>
      <c r="O259" s="410"/>
      <c r="P259" s="410"/>
      <c r="Q259" s="410"/>
      <c r="R259" s="410"/>
      <c r="S259" s="410"/>
      <c r="T259" s="410"/>
      <c r="U259" s="410"/>
      <c r="V259" s="410"/>
      <c r="W259" s="357"/>
      <c r="X259" s="357"/>
      <c r="Y259" s="357"/>
      <c r="Z259" s="357"/>
    </row>
    <row r="260" spans="1:26" ht="16.5" customHeight="1" x14ac:dyDescent="0.4">
      <c r="A260" s="410"/>
      <c r="B260" s="443"/>
      <c r="C260" s="410"/>
      <c r="D260" s="410"/>
      <c r="E260" s="410"/>
      <c r="F260" s="410"/>
      <c r="G260" s="410"/>
      <c r="H260" s="410"/>
      <c r="I260" s="410"/>
      <c r="J260" s="410"/>
      <c r="K260" s="410"/>
      <c r="L260" s="410"/>
      <c r="M260" s="410"/>
      <c r="N260" s="410"/>
      <c r="O260" s="410"/>
      <c r="P260" s="410"/>
      <c r="Q260" s="410"/>
      <c r="R260" s="410"/>
      <c r="S260" s="410"/>
      <c r="T260" s="410"/>
      <c r="U260" s="410"/>
      <c r="V260" s="410"/>
      <c r="W260" s="357"/>
      <c r="X260" s="357"/>
      <c r="Y260" s="357"/>
      <c r="Z260" s="357"/>
    </row>
    <row r="261" spans="1:26" ht="16.5" customHeight="1" x14ac:dyDescent="0.4">
      <c r="A261" s="410"/>
      <c r="B261" s="443"/>
      <c r="C261" s="410"/>
      <c r="D261" s="410"/>
      <c r="E261" s="410"/>
      <c r="F261" s="410"/>
      <c r="G261" s="410"/>
      <c r="H261" s="410"/>
      <c r="I261" s="410"/>
      <c r="J261" s="410"/>
      <c r="K261" s="410"/>
      <c r="L261" s="410"/>
      <c r="M261" s="410"/>
      <c r="N261" s="410"/>
      <c r="O261" s="410"/>
      <c r="P261" s="410"/>
      <c r="Q261" s="410"/>
      <c r="R261" s="410"/>
      <c r="S261" s="410"/>
      <c r="T261" s="410"/>
      <c r="U261" s="410"/>
      <c r="V261" s="410"/>
      <c r="W261" s="357"/>
      <c r="X261" s="357"/>
      <c r="Y261" s="357"/>
      <c r="Z261" s="357"/>
    </row>
    <row r="262" spans="1:26" ht="16.5" customHeight="1" x14ac:dyDescent="0.4">
      <c r="A262" s="410"/>
      <c r="B262" s="443"/>
      <c r="C262" s="410"/>
      <c r="D262" s="410"/>
      <c r="E262" s="410"/>
      <c r="F262" s="410"/>
      <c r="G262" s="410"/>
      <c r="H262" s="410"/>
      <c r="I262" s="410"/>
      <c r="J262" s="410"/>
      <c r="K262" s="410"/>
      <c r="L262" s="410"/>
      <c r="M262" s="410"/>
      <c r="N262" s="410"/>
      <c r="O262" s="410"/>
      <c r="P262" s="410"/>
      <c r="Q262" s="410"/>
      <c r="R262" s="410"/>
      <c r="S262" s="410"/>
      <c r="T262" s="410"/>
      <c r="U262" s="410"/>
      <c r="V262" s="410"/>
      <c r="W262" s="357"/>
      <c r="X262" s="357"/>
      <c r="Y262" s="357"/>
      <c r="Z262" s="357"/>
    </row>
    <row r="263" spans="1:26" ht="16.5" customHeight="1" x14ac:dyDescent="0.4">
      <c r="A263" s="410"/>
      <c r="B263" s="443"/>
      <c r="C263" s="410"/>
      <c r="D263" s="410"/>
      <c r="E263" s="410"/>
      <c r="F263" s="410"/>
      <c r="G263" s="410"/>
      <c r="H263" s="410"/>
      <c r="I263" s="410"/>
      <c r="J263" s="410"/>
      <c r="K263" s="410"/>
      <c r="L263" s="410"/>
      <c r="M263" s="410"/>
      <c r="N263" s="410"/>
      <c r="O263" s="410"/>
      <c r="P263" s="410"/>
      <c r="Q263" s="410"/>
      <c r="R263" s="410"/>
      <c r="S263" s="410"/>
      <c r="T263" s="410"/>
      <c r="U263" s="410"/>
      <c r="V263" s="410"/>
      <c r="W263" s="357"/>
      <c r="X263" s="357"/>
      <c r="Y263" s="357"/>
      <c r="Z263" s="357"/>
    </row>
    <row r="264" spans="1:26" ht="16.5" customHeight="1" x14ac:dyDescent="0.4">
      <c r="A264" s="410"/>
      <c r="B264" s="443"/>
      <c r="C264" s="410"/>
      <c r="D264" s="410"/>
      <c r="E264" s="410"/>
      <c r="F264" s="410"/>
      <c r="G264" s="410"/>
      <c r="H264" s="410"/>
      <c r="I264" s="410"/>
      <c r="J264" s="410"/>
      <c r="K264" s="410"/>
      <c r="L264" s="410"/>
      <c r="M264" s="410"/>
      <c r="N264" s="410"/>
      <c r="O264" s="410"/>
      <c r="P264" s="410"/>
      <c r="Q264" s="410"/>
      <c r="R264" s="410"/>
      <c r="S264" s="410"/>
      <c r="T264" s="410"/>
      <c r="U264" s="410"/>
      <c r="V264" s="410"/>
      <c r="W264" s="357"/>
      <c r="X264" s="357"/>
      <c r="Y264" s="357"/>
      <c r="Z264" s="357"/>
    </row>
    <row r="265" spans="1:26" ht="16.5" customHeight="1" x14ac:dyDescent="0.4">
      <c r="A265" s="410"/>
      <c r="B265" s="443"/>
      <c r="C265" s="410"/>
      <c r="D265" s="410"/>
      <c r="E265" s="410"/>
      <c r="F265" s="410"/>
      <c r="G265" s="410"/>
      <c r="H265" s="410"/>
      <c r="I265" s="410"/>
      <c r="J265" s="410"/>
      <c r="K265" s="410"/>
      <c r="L265" s="410"/>
      <c r="M265" s="410"/>
      <c r="N265" s="410"/>
      <c r="O265" s="410"/>
      <c r="P265" s="410"/>
      <c r="Q265" s="410"/>
      <c r="R265" s="410"/>
      <c r="S265" s="410"/>
      <c r="T265" s="410"/>
      <c r="U265" s="410"/>
      <c r="V265" s="410"/>
      <c r="W265" s="357"/>
      <c r="X265" s="357"/>
      <c r="Y265" s="357"/>
      <c r="Z265" s="357"/>
    </row>
    <row r="266" spans="1:26" ht="16.5" customHeight="1" x14ac:dyDescent="0.4">
      <c r="A266" s="410"/>
      <c r="B266" s="443"/>
      <c r="C266" s="410"/>
      <c r="D266" s="410"/>
      <c r="E266" s="410"/>
      <c r="F266" s="410"/>
      <c r="G266" s="410"/>
      <c r="H266" s="410"/>
      <c r="I266" s="410"/>
      <c r="J266" s="410"/>
      <c r="K266" s="410"/>
      <c r="L266" s="410"/>
      <c r="M266" s="410"/>
      <c r="N266" s="410"/>
      <c r="O266" s="410"/>
      <c r="P266" s="410"/>
      <c r="Q266" s="410"/>
      <c r="R266" s="410"/>
      <c r="S266" s="410"/>
      <c r="T266" s="410"/>
      <c r="U266" s="410"/>
      <c r="V266" s="410"/>
      <c r="W266" s="357"/>
      <c r="X266" s="357"/>
      <c r="Y266" s="357"/>
      <c r="Z266" s="357"/>
    </row>
    <row r="267" spans="1:26" ht="16.5" customHeight="1" x14ac:dyDescent="0.4">
      <c r="A267" s="410"/>
      <c r="B267" s="443"/>
      <c r="C267" s="410"/>
      <c r="D267" s="410"/>
      <c r="E267" s="410"/>
      <c r="F267" s="410"/>
      <c r="G267" s="410"/>
      <c r="H267" s="410"/>
      <c r="I267" s="410"/>
      <c r="J267" s="410"/>
      <c r="K267" s="410"/>
      <c r="L267" s="410"/>
      <c r="M267" s="410"/>
      <c r="N267" s="410"/>
      <c r="O267" s="410"/>
      <c r="P267" s="410"/>
      <c r="Q267" s="410"/>
      <c r="R267" s="410"/>
      <c r="S267" s="410"/>
      <c r="T267" s="410"/>
      <c r="U267" s="410"/>
      <c r="V267" s="410"/>
      <c r="W267" s="357"/>
      <c r="X267" s="357"/>
      <c r="Y267" s="357"/>
      <c r="Z267" s="357"/>
    </row>
    <row r="268" spans="1:26" ht="16.5" customHeight="1" x14ac:dyDescent="0.4">
      <c r="A268" s="410"/>
      <c r="B268" s="443"/>
      <c r="C268" s="410"/>
      <c r="D268" s="410"/>
      <c r="E268" s="410"/>
      <c r="F268" s="410"/>
      <c r="G268" s="410"/>
      <c r="H268" s="410"/>
      <c r="I268" s="410"/>
      <c r="J268" s="410"/>
      <c r="K268" s="410"/>
      <c r="L268" s="410"/>
      <c r="M268" s="410"/>
      <c r="N268" s="410"/>
      <c r="O268" s="410"/>
      <c r="P268" s="410"/>
      <c r="Q268" s="410"/>
      <c r="R268" s="410"/>
      <c r="S268" s="410"/>
      <c r="T268" s="410"/>
      <c r="U268" s="410"/>
      <c r="V268" s="410"/>
      <c r="W268" s="357"/>
      <c r="X268" s="357"/>
      <c r="Y268" s="357"/>
      <c r="Z268" s="357"/>
    </row>
    <row r="269" spans="1:26" ht="16.5" customHeight="1" x14ac:dyDescent="0.4">
      <c r="A269" s="410"/>
      <c r="B269" s="443"/>
      <c r="C269" s="410"/>
      <c r="D269" s="410"/>
      <c r="E269" s="410"/>
      <c r="F269" s="410"/>
      <c r="G269" s="410"/>
      <c r="H269" s="410"/>
      <c r="I269" s="410"/>
      <c r="J269" s="410"/>
      <c r="K269" s="410"/>
      <c r="L269" s="410"/>
      <c r="M269" s="410"/>
      <c r="N269" s="410"/>
      <c r="O269" s="410"/>
      <c r="P269" s="410"/>
      <c r="Q269" s="410"/>
      <c r="R269" s="410"/>
      <c r="S269" s="410"/>
      <c r="T269" s="410"/>
      <c r="U269" s="410"/>
      <c r="V269" s="410"/>
      <c r="W269" s="357"/>
      <c r="X269" s="357"/>
      <c r="Y269" s="357"/>
      <c r="Z269" s="357"/>
    </row>
    <row r="270" spans="1:26" ht="16.5" customHeight="1" x14ac:dyDescent="0.4">
      <c r="A270" s="410"/>
      <c r="B270" s="443"/>
      <c r="C270" s="410"/>
      <c r="D270" s="410"/>
      <c r="E270" s="410"/>
      <c r="F270" s="410"/>
      <c r="G270" s="410"/>
      <c r="H270" s="410"/>
      <c r="I270" s="410"/>
      <c r="J270" s="410"/>
      <c r="K270" s="410"/>
      <c r="L270" s="410"/>
      <c r="M270" s="410"/>
      <c r="N270" s="410"/>
      <c r="O270" s="410"/>
      <c r="P270" s="410"/>
      <c r="Q270" s="410"/>
      <c r="R270" s="410"/>
      <c r="S270" s="410"/>
      <c r="T270" s="410"/>
      <c r="U270" s="410"/>
      <c r="V270" s="410"/>
      <c r="W270" s="357"/>
      <c r="X270" s="357"/>
      <c r="Y270" s="357"/>
      <c r="Z270" s="357"/>
    </row>
    <row r="271" spans="1:26" ht="16.5" customHeight="1" x14ac:dyDescent="0.4">
      <c r="A271" s="410"/>
      <c r="B271" s="443"/>
      <c r="C271" s="410"/>
      <c r="D271" s="410"/>
      <c r="E271" s="410"/>
      <c r="F271" s="410"/>
      <c r="G271" s="410"/>
      <c r="H271" s="410"/>
      <c r="I271" s="410"/>
      <c r="J271" s="410"/>
      <c r="K271" s="410"/>
      <c r="L271" s="410"/>
      <c r="M271" s="410"/>
      <c r="N271" s="410"/>
      <c r="O271" s="410"/>
      <c r="P271" s="410"/>
      <c r="Q271" s="410"/>
      <c r="R271" s="410"/>
      <c r="S271" s="410"/>
      <c r="T271" s="410"/>
      <c r="U271" s="410"/>
      <c r="V271" s="410"/>
      <c r="W271" s="357"/>
      <c r="X271" s="357"/>
      <c r="Y271" s="357"/>
      <c r="Z271" s="357"/>
    </row>
    <row r="272" spans="1:26" ht="16.5" customHeight="1" x14ac:dyDescent="0.4">
      <c r="A272" s="410"/>
      <c r="B272" s="443"/>
      <c r="C272" s="410"/>
      <c r="D272" s="410"/>
      <c r="E272" s="410"/>
      <c r="F272" s="410"/>
      <c r="G272" s="410"/>
      <c r="H272" s="410"/>
      <c r="I272" s="410"/>
      <c r="J272" s="410"/>
      <c r="K272" s="410"/>
      <c r="L272" s="410"/>
      <c r="M272" s="410"/>
      <c r="N272" s="410"/>
      <c r="O272" s="410"/>
      <c r="P272" s="410"/>
      <c r="Q272" s="410"/>
      <c r="R272" s="410"/>
      <c r="S272" s="410"/>
      <c r="T272" s="410"/>
      <c r="U272" s="410"/>
      <c r="V272" s="410"/>
      <c r="W272" s="357"/>
      <c r="X272" s="357"/>
      <c r="Y272" s="357"/>
      <c r="Z272" s="357"/>
    </row>
    <row r="273" spans="1:26" ht="16.5" customHeight="1" x14ac:dyDescent="0.4">
      <c r="A273" s="410"/>
      <c r="B273" s="443"/>
      <c r="C273" s="410"/>
      <c r="D273" s="410"/>
      <c r="E273" s="410"/>
      <c r="F273" s="410"/>
      <c r="G273" s="410"/>
      <c r="H273" s="410"/>
      <c r="I273" s="410"/>
      <c r="J273" s="410"/>
      <c r="K273" s="410"/>
      <c r="L273" s="410"/>
      <c r="M273" s="410"/>
      <c r="N273" s="410"/>
      <c r="O273" s="410"/>
      <c r="P273" s="410"/>
      <c r="Q273" s="410"/>
      <c r="R273" s="410"/>
      <c r="S273" s="410"/>
      <c r="T273" s="410"/>
      <c r="U273" s="410"/>
      <c r="V273" s="410"/>
      <c r="W273" s="357"/>
      <c r="X273" s="357"/>
      <c r="Y273" s="357"/>
      <c r="Z273" s="357"/>
    </row>
    <row r="274" spans="1:26" ht="16.5" customHeight="1" x14ac:dyDescent="0.4">
      <c r="A274" s="410"/>
      <c r="B274" s="443"/>
      <c r="C274" s="410"/>
      <c r="D274" s="410"/>
      <c r="E274" s="410"/>
      <c r="F274" s="410"/>
      <c r="G274" s="410"/>
      <c r="H274" s="410"/>
      <c r="I274" s="410"/>
      <c r="J274" s="410"/>
      <c r="K274" s="410"/>
      <c r="L274" s="410"/>
      <c r="M274" s="410"/>
      <c r="N274" s="410"/>
      <c r="O274" s="410"/>
      <c r="P274" s="410"/>
      <c r="Q274" s="410"/>
      <c r="R274" s="410"/>
      <c r="S274" s="410"/>
      <c r="T274" s="410"/>
      <c r="U274" s="410"/>
      <c r="V274" s="410"/>
      <c r="W274" s="357"/>
      <c r="X274" s="357"/>
      <c r="Y274" s="357"/>
      <c r="Z274" s="357"/>
    </row>
    <row r="275" spans="1:26" ht="16.5" customHeight="1" x14ac:dyDescent="0.4">
      <c r="A275" s="410"/>
      <c r="B275" s="443"/>
      <c r="C275" s="410"/>
      <c r="D275" s="410"/>
      <c r="E275" s="410"/>
      <c r="F275" s="410"/>
      <c r="G275" s="410"/>
      <c r="H275" s="410"/>
      <c r="I275" s="410"/>
      <c r="J275" s="410"/>
      <c r="K275" s="410"/>
      <c r="L275" s="410"/>
      <c r="M275" s="410"/>
      <c r="N275" s="410"/>
      <c r="O275" s="410"/>
      <c r="P275" s="410"/>
      <c r="Q275" s="410"/>
      <c r="R275" s="410"/>
      <c r="S275" s="410"/>
      <c r="T275" s="410"/>
      <c r="U275" s="410"/>
      <c r="V275" s="410"/>
      <c r="W275" s="357"/>
      <c r="X275" s="357"/>
      <c r="Y275" s="357"/>
      <c r="Z275" s="357"/>
    </row>
    <row r="276" spans="1:26" ht="16.5" customHeight="1" x14ac:dyDescent="0.4">
      <c r="A276" s="410"/>
      <c r="B276" s="443"/>
      <c r="C276" s="410"/>
      <c r="D276" s="410"/>
      <c r="E276" s="410"/>
      <c r="F276" s="410"/>
      <c r="G276" s="410"/>
      <c r="H276" s="410"/>
      <c r="I276" s="410"/>
      <c r="J276" s="410"/>
      <c r="K276" s="410"/>
      <c r="L276" s="410"/>
      <c r="M276" s="410"/>
      <c r="N276" s="410"/>
      <c r="O276" s="410"/>
      <c r="P276" s="410"/>
      <c r="Q276" s="410"/>
      <c r="R276" s="410"/>
      <c r="S276" s="410"/>
      <c r="T276" s="410"/>
      <c r="U276" s="410"/>
      <c r="V276" s="410"/>
      <c r="W276" s="357"/>
      <c r="X276" s="357"/>
      <c r="Y276" s="357"/>
      <c r="Z276" s="357"/>
    </row>
    <row r="277" spans="1:26" ht="16.5" customHeight="1" x14ac:dyDescent="0.4">
      <c r="A277" s="410"/>
      <c r="B277" s="443"/>
      <c r="C277" s="410"/>
      <c r="D277" s="410"/>
      <c r="E277" s="410"/>
      <c r="F277" s="410"/>
      <c r="G277" s="410"/>
      <c r="H277" s="410"/>
      <c r="I277" s="410"/>
      <c r="J277" s="410"/>
      <c r="K277" s="410"/>
      <c r="L277" s="410"/>
      <c r="M277" s="410"/>
      <c r="N277" s="410"/>
      <c r="O277" s="410"/>
      <c r="P277" s="410"/>
      <c r="Q277" s="410"/>
      <c r="R277" s="410"/>
      <c r="S277" s="410"/>
      <c r="T277" s="410"/>
      <c r="U277" s="410"/>
      <c r="V277" s="410"/>
      <c r="W277" s="357"/>
      <c r="X277" s="357"/>
      <c r="Y277" s="357"/>
      <c r="Z277" s="357"/>
    </row>
    <row r="278" spans="1:26" ht="16.5" customHeight="1" x14ac:dyDescent="0.4">
      <c r="A278" s="410"/>
      <c r="B278" s="443"/>
      <c r="C278" s="410"/>
      <c r="D278" s="410"/>
      <c r="E278" s="410"/>
      <c r="F278" s="410"/>
      <c r="G278" s="410"/>
      <c r="H278" s="410"/>
      <c r="I278" s="410"/>
      <c r="J278" s="410"/>
      <c r="K278" s="410"/>
      <c r="L278" s="410"/>
      <c r="M278" s="410"/>
      <c r="N278" s="410"/>
      <c r="O278" s="410"/>
      <c r="P278" s="410"/>
      <c r="Q278" s="410"/>
      <c r="R278" s="410"/>
      <c r="S278" s="410"/>
      <c r="T278" s="410"/>
      <c r="U278" s="410"/>
      <c r="V278" s="410"/>
      <c r="W278" s="357"/>
      <c r="X278" s="357"/>
      <c r="Y278" s="357"/>
      <c r="Z278" s="357"/>
    </row>
    <row r="279" spans="1:26" ht="16.5" customHeight="1" x14ac:dyDescent="0.4">
      <c r="A279" s="410"/>
      <c r="B279" s="443"/>
      <c r="C279" s="410"/>
      <c r="D279" s="410"/>
      <c r="E279" s="410"/>
      <c r="F279" s="410"/>
      <c r="G279" s="410"/>
      <c r="H279" s="410"/>
      <c r="I279" s="410"/>
      <c r="J279" s="410"/>
      <c r="K279" s="410"/>
      <c r="L279" s="410"/>
      <c r="M279" s="410"/>
      <c r="N279" s="410"/>
      <c r="O279" s="410"/>
      <c r="P279" s="410"/>
      <c r="Q279" s="410"/>
      <c r="R279" s="410"/>
      <c r="S279" s="410"/>
      <c r="T279" s="410"/>
      <c r="U279" s="410"/>
      <c r="V279" s="410"/>
      <c r="W279" s="357"/>
      <c r="X279" s="357"/>
      <c r="Y279" s="357"/>
      <c r="Z279" s="357"/>
    </row>
    <row r="280" spans="1:26" ht="16.5" customHeight="1" x14ac:dyDescent="0.4">
      <c r="A280" s="410"/>
      <c r="B280" s="443"/>
      <c r="C280" s="410"/>
      <c r="D280" s="410"/>
      <c r="E280" s="410"/>
      <c r="F280" s="410"/>
      <c r="G280" s="410"/>
      <c r="H280" s="410"/>
      <c r="I280" s="410"/>
      <c r="J280" s="410"/>
      <c r="K280" s="410"/>
      <c r="L280" s="410"/>
      <c r="M280" s="410"/>
      <c r="N280" s="410"/>
      <c r="O280" s="410"/>
      <c r="P280" s="410"/>
      <c r="Q280" s="410"/>
      <c r="R280" s="410"/>
      <c r="S280" s="410"/>
      <c r="T280" s="410"/>
      <c r="U280" s="410"/>
      <c r="V280" s="410"/>
      <c r="W280" s="357"/>
      <c r="X280" s="357"/>
      <c r="Y280" s="357"/>
      <c r="Z280" s="357"/>
    </row>
    <row r="281" spans="1:26" ht="16.5" customHeight="1" x14ac:dyDescent="0.4">
      <c r="A281" s="410"/>
      <c r="B281" s="443"/>
      <c r="C281" s="410"/>
      <c r="D281" s="410"/>
      <c r="E281" s="410"/>
      <c r="F281" s="410"/>
      <c r="G281" s="410"/>
      <c r="H281" s="410"/>
      <c r="I281" s="410"/>
      <c r="J281" s="410"/>
      <c r="K281" s="410"/>
      <c r="L281" s="410"/>
      <c r="M281" s="410"/>
      <c r="N281" s="410"/>
      <c r="O281" s="410"/>
      <c r="P281" s="410"/>
      <c r="Q281" s="410"/>
      <c r="R281" s="410"/>
      <c r="S281" s="410"/>
      <c r="T281" s="410"/>
      <c r="U281" s="410"/>
      <c r="V281" s="410"/>
      <c r="W281" s="357"/>
      <c r="X281" s="357"/>
      <c r="Y281" s="357"/>
      <c r="Z281" s="357"/>
    </row>
    <row r="282" spans="1:26" ht="16.5" customHeight="1" x14ac:dyDescent="0.4">
      <c r="A282" s="410"/>
      <c r="B282" s="443"/>
      <c r="C282" s="410"/>
      <c r="D282" s="410"/>
      <c r="E282" s="410"/>
      <c r="F282" s="410"/>
      <c r="G282" s="410"/>
      <c r="H282" s="410"/>
      <c r="I282" s="410"/>
      <c r="J282" s="410"/>
      <c r="K282" s="410"/>
      <c r="L282" s="410"/>
      <c r="M282" s="410"/>
      <c r="N282" s="410"/>
      <c r="O282" s="410"/>
      <c r="P282" s="410"/>
      <c r="Q282" s="410"/>
      <c r="R282" s="410"/>
      <c r="S282" s="410"/>
      <c r="T282" s="410"/>
      <c r="U282" s="410"/>
      <c r="V282" s="410"/>
      <c r="W282" s="357"/>
      <c r="X282" s="357"/>
      <c r="Y282" s="357"/>
      <c r="Z282" s="357"/>
    </row>
    <row r="283" spans="1:26" ht="16.5" customHeight="1" x14ac:dyDescent="0.4">
      <c r="A283" s="410"/>
      <c r="B283" s="443"/>
      <c r="C283" s="410"/>
      <c r="D283" s="410"/>
      <c r="E283" s="410"/>
      <c r="F283" s="410"/>
      <c r="G283" s="410"/>
      <c r="H283" s="410"/>
      <c r="I283" s="410"/>
      <c r="J283" s="410"/>
      <c r="K283" s="410"/>
      <c r="L283" s="410"/>
      <c r="M283" s="410"/>
      <c r="N283" s="410"/>
      <c r="O283" s="410"/>
      <c r="P283" s="410"/>
      <c r="Q283" s="410"/>
      <c r="R283" s="410"/>
      <c r="S283" s="410"/>
      <c r="T283" s="410"/>
      <c r="U283" s="410"/>
      <c r="V283" s="410"/>
      <c r="W283" s="357"/>
      <c r="X283" s="357"/>
      <c r="Y283" s="357"/>
      <c r="Z283" s="357"/>
    </row>
    <row r="284" spans="1:26" ht="16.5" customHeight="1" x14ac:dyDescent="0.4">
      <c r="A284" s="410"/>
      <c r="B284" s="443"/>
      <c r="C284" s="410"/>
      <c r="D284" s="410"/>
      <c r="E284" s="410"/>
      <c r="F284" s="410"/>
      <c r="G284" s="410"/>
      <c r="H284" s="410"/>
      <c r="I284" s="410"/>
      <c r="J284" s="410"/>
      <c r="K284" s="410"/>
      <c r="L284" s="410"/>
      <c r="M284" s="410"/>
      <c r="N284" s="410"/>
      <c r="O284" s="410"/>
      <c r="P284" s="410"/>
      <c r="Q284" s="410"/>
      <c r="R284" s="410"/>
      <c r="S284" s="410"/>
      <c r="T284" s="410"/>
      <c r="U284" s="410"/>
      <c r="V284" s="410"/>
      <c r="W284" s="357"/>
      <c r="X284" s="357"/>
      <c r="Y284" s="357"/>
      <c r="Z284" s="357"/>
    </row>
    <row r="285" spans="1:26" ht="16.5" customHeight="1" x14ac:dyDescent="0.4">
      <c r="A285" s="410"/>
      <c r="B285" s="443"/>
      <c r="C285" s="410"/>
      <c r="D285" s="410"/>
      <c r="E285" s="410"/>
      <c r="F285" s="410"/>
      <c r="G285" s="410"/>
      <c r="H285" s="410"/>
      <c r="I285" s="410"/>
      <c r="J285" s="410"/>
      <c r="K285" s="410"/>
      <c r="L285" s="410"/>
      <c r="M285" s="410"/>
      <c r="N285" s="410"/>
      <c r="O285" s="410"/>
      <c r="P285" s="410"/>
      <c r="Q285" s="410"/>
      <c r="R285" s="410"/>
      <c r="S285" s="410"/>
      <c r="T285" s="410"/>
      <c r="U285" s="410"/>
      <c r="V285" s="410"/>
      <c r="W285" s="357"/>
      <c r="X285" s="357"/>
      <c r="Y285" s="357"/>
      <c r="Z285" s="357"/>
    </row>
    <row r="286" spans="1:26" ht="16.5" customHeight="1" x14ac:dyDescent="0.4">
      <c r="A286" s="410"/>
      <c r="B286" s="443"/>
      <c r="C286" s="410"/>
      <c r="D286" s="410"/>
      <c r="E286" s="410"/>
      <c r="F286" s="410"/>
      <c r="G286" s="410"/>
      <c r="H286" s="410"/>
      <c r="I286" s="410"/>
      <c r="J286" s="410"/>
      <c r="K286" s="410"/>
      <c r="L286" s="410"/>
      <c r="M286" s="410"/>
      <c r="N286" s="410"/>
      <c r="O286" s="410"/>
      <c r="P286" s="410"/>
      <c r="Q286" s="410"/>
      <c r="R286" s="410"/>
      <c r="S286" s="410"/>
      <c r="T286" s="410"/>
      <c r="U286" s="410"/>
      <c r="V286" s="410"/>
      <c r="W286" s="357"/>
      <c r="X286" s="357"/>
      <c r="Y286" s="357"/>
      <c r="Z286" s="357"/>
    </row>
    <row r="287" spans="1:26" ht="16.5" customHeight="1" x14ac:dyDescent="0.4">
      <c r="A287" s="410"/>
      <c r="B287" s="443"/>
      <c r="C287" s="410"/>
      <c r="D287" s="410"/>
      <c r="E287" s="410"/>
      <c r="F287" s="410"/>
      <c r="G287" s="410"/>
      <c r="H287" s="410"/>
      <c r="I287" s="410"/>
      <c r="J287" s="410"/>
      <c r="K287" s="410"/>
      <c r="L287" s="410"/>
      <c r="M287" s="410"/>
      <c r="N287" s="410"/>
      <c r="O287" s="410"/>
      <c r="P287" s="410"/>
      <c r="Q287" s="410"/>
      <c r="R287" s="410"/>
      <c r="S287" s="410"/>
      <c r="T287" s="410"/>
      <c r="U287" s="410"/>
      <c r="V287" s="410"/>
      <c r="W287" s="357"/>
      <c r="X287" s="357"/>
      <c r="Y287" s="357"/>
      <c r="Z287" s="357"/>
    </row>
    <row r="288" spans="1:26" ht="16.5" customHeight="1" x14ac:dyDescent="0.4">
      <c r="A288" s="410"/>
      <c r="B288" s="443"/>
      <c r="C288" s="410"/>
      <c r="D288" s="410"/>
      <c r="E288" s="410"/>
      <c r="F288" s="410"/>
      <c r="G288" s="410"/>
      <c r="H288" s="410"/>
      <c r="I288" s="410"/>
      <c r="J288" s="410"/>
      <c r="K288" s="410"/>
      <c r="L288" s="410"/>
      <c r="M288" s="410"/>
      <c r="N288" s="410"/>
      <c r="O288" s="410"/>
      <c r="P288" s="410"/>
      <c r="Q288" s="410"/>
      <c r="R288" s="410"/>
      <c r="S288" s="410"/>
      <c r="T288" s="410"/>
      <c r="U288" s="410"/>
      <c r="V288" s="410"/>
      <c r="W288" s="357"/>
      <c r="X288" s="357"/>
      <c r="Y288" s="357"/>
      <c r="Z288" s="357"/>
    </row>
    <row r="289" spans="1:26" ht="16.5" customHeight="1" x14ac:dyDescent="0.4">
      <c r="A289" s="410"/>
      <c r="B289" s="443"/>
      <c r="C289" s="410"/>
      <c r="D289" s="410"/>
      <c r="E289" s="410"/>
      <c r="F289" s="410"/>
      <c r="G289" s="410"/>
      <c r="H289" s="410"/>
      <c r="I289" s="410"/>
      <c r="J289" s="410"/>
      <c r="K289" s="410"/>
      <c r="L289" s="410"/>
      <c r="M289" s="410"/>
      <c r="N289" s="410"/>
      <c r="O289" s="410"/>
      <c r="P289" s="410"/>
      <c r="Q289" s="410"/>
      <c r="R289" s="410"/>
      <c r="S289" s="410"/>
      <c r="T289" s="410"/>
      <c r="U289" s="410"/>
      <c r="V289" s="410"/>
      <c r="W289" s="357"/>
      <c r="X289" s="357"/>
      <c r="Y289" s="357"/>
      <c r="Z289" s="357"/>
    </row>
    <row r="290" spans="1:26" ht="16.5" customHeight="1" x14ac:dyDescent="0.4">
      <c r="A290" s="410"/>
      <c r="B290" s="443"/>
      <c r="C290" s="410"/>
      <c r="D290" s="410"/>
      <c r="E290" s="410"/>
      <c r="F290" s="410"/>
      <c r="G290" s="410"/>
      <c r="H290" s="410"/>
      <c r="I290" s="410"/>
      <c r="J290" s="410"/>
      <c r="K290" s="410"/>
      <c r="L290" s="410"/>
      <c r="M290" s="410"/>
      <c r="N290" s="410"/>
      <c r="O290" s="410"/>
      <c r="P290" s="410"/>
      <c r="Q290" s="410"/>
      <c r="R290" s="410"/>
      <c r="S290" s="410"/>
      <c r="T290" s="410"/>
      <c r="U290" s="410"/>
      <c r="V290" s="410"/>
      <c r="W290" s="357"/>
      <c r="X290" s="357"/>
      <c r="Y290" s="357"/>
      <c r="Z290" s="357"/>
    </row>
    <row r="291" spans="1:26" ht="16.5" customHeight="1" x14ac:dyDescent="0.4">
      <c r="A291" s="410"/>
      <c r="B291" s="443"/>
      <c r="C291" s="410"/>
      <c r="D291" s="410"/>
      <c r="E291" s="410"/>
      <c r="F291" s="410"/>
      <c r="G291" s="410"/>
      <c r="H291" s="410"/>
      <c r="I291" s="410"/>
      <c r="J291" s="410"/>
      <c r="K291" s="410"/>
      <c r="L291" s="410"/>
      <c r="M291" s="410"/>
      <c r="N291" s="410"/>
      <c r="O291" s="410"/>
      <c r="P291" s="410"/>
      <c r="Q291" s="410"/>
      <c r="R291" s="410"/>
      <c r="S291" s="410"/>
      <c r="T291" s="410"/>
      <c r="U291" s="410"/>
      <c r="V291" s="410"/>
      <c r="W291" s="357"/>
      <c r="X291" s="357"/>
      <c r="Y291" s="357"/>
      <c r="Z291" s="357"/>
    </row>
    <row r="292" spans="1:26" ht="16.5" customHeight="1" x14ac:dyDescent="0.4">
      <c r="A292" s="410"/>
      <c r="B292" s="443"/>
      <c r="C292" s="410"/>
      <c r="D292" s="410"/>
      <c r="E292" s="410"/>
      <c r="F292" s="410"/>
      <c r="G292" s="410"/>
      <c r="H292" s="410"/>
      <c r="I292" s="410"/>
      <c r="J292" s="410"/>
      <c r="K292" s="410"/>
      <c r="L292" s="410"/>
      <c r="M292" s="410"/>
      <c r="N292" s="410"/>
      <c r="O292" s="410"/>
      <c r="P292" s="410"/>
      <c r="Q292" s="410"/>
      <c r="R292" s="410"/>
      <c r="S292" s="410"/>
      <c r="T292" s="410"/>
      <c r="U292" s="410"/>
      <c r="V292" s="410"/>
      <c r="W292" s="357"/>
      <c r="X292" s="357"/>
      <c r="Y292" s="357"/>
      <c r="Z292" s="357"/>
    </row>
    <row r="293" spans="1:26" ht="16.5" customHeight="1" x14ac:dyDescent="0.4">
      <c r="A293" s="410"/>
      <c r="B293" s="443"/>
      <c r="C293" s="410"/>
      <c r="D293" s="410"/>
      <c r="E293" s="410"/>
      <c r="F293" s="410"/>
      <c r="G293" s="410"/>
      <c r="H293" s="410"/>
      <c r="I293" s="410"/>
      <c r="J293" s="410"/>
      <c r="K293" s="410"/>
      <c r="L293" s="410"/>
      <c r="M293" s="410"/>
      <c r="N293" s="410"/>
      <c r="O293" s="410"/>
      <c r="P293" s="410"/>
      <c r="Q293" s="410"/>
      <c r="R293" s="410"/>
      <c r="S293" s="410"/>
      <c r="T293" s="410"/>
      <c r="U293" s="410"/>
      <c r="V293" s="410"/>
      <c r="W293" s="357"/>
      <c r="X293" s="357"/>
      <c r="Y293" s="357"/>
      <c r="Z293" s="357"/>
    </row>
    <row r="294" spans="1:26" ht="16.5" customHeight="1" x14ac:dyDescent="0.4">
      <c r="A294" s="410"/>
      <c r="B294" s="443"/>
      <c r="C294" s="410"/>
      <c r="D294" s="410"/>
      <c r="E294" s="410"/>
      <c r="F294" s="410"/>
      <c r="G294" s="410"/>
      <c r="H294" s="410"/>
      <c r="I294" s="410"/>
      <c r="J294" s="410"/>
      <c r="K294" s="410"/>
      <c r="L294" s="410"/>
      <c r="M294" s="410"/>
      <c r="N294" s="410"/>
      <c r="O294" s="410"/>
      <c r="P294" s="410"/>
      <c r="Q294" s="410"/>
      <c r="R294" s="410"/>
      <c r="S294" s="410"/>
      <c r="T294" s="410"/>
      <c r="U294" s="410"/>
      <c r="V294" s="410"/>
      <c r="W294" s="357"/>
      <c r="X294" s="357"/>
      <c r="Y294" s="357"/>
      <c r="Z294" s="357"/>
    </row>
    <row r="295" spans="1:26" ht="16.5" customHeight="1" x14ac:dyDescent="0.4">
      <c r="A295" s="410"/>
      <c r="B295" s="443"/>
      <c r="C295" s="410"/>
      <c r="D295" s="410"/>
      <c r="E295" s="410"/>
      <c r="F295" s="410"/>
      <c r="G295" s="410"/>
      <c r="H295" s="410"/>
      <c r="I295" s="410"/>
      <c r="J295" s="410"/>
      <c r="K295" s="410"/>
      <c r="L295" s="410"/>
      <c r="M295" s="410"/>
      <c r="N295" s="410"/>
      <c r="O295" s="410"/>
      <c r="P295" s="410"/>
      <c r="Q295" s="410"/>
      <c r="R295" s="410"/>
      <c r="S295" s="410"/>
      <c r="T295" s="410"/>
      <c r="U295" s="410"/>
      <c r="V295" s="410"/>
      <c r="W295" s="357"/>
      <c r="X295" s="357"/>
      <c r="Y295" s="357"/>
      <c r="Z295" s="357"/>
    </row>
    <row r="296" spans="1:26" ht="16.5" customHeight="1" x14ac:dyDescent="0.4">
      <c r="A296" s="410"/>
      <c r="B296" s="443"/>
      <c r="C296" s="410"/>
      <c r="D296" s="410"/>
      <c r="E296" s="410"/>
      <c r="F296" s="410"/>
      <c r="G296" s="410"/>
      <c r="H296" s="410"/>
      <c r="I296" s="410"/>
      <c r="J296" s="410"/>
      <c r="K296" s="410"/>
      <c r="L296" s="410"/>
      <c r="M296" s="410"/>
      <c r="N296" s="410"/>
      <c r="O296" s="410"/>
      <c r="P296" s="410"/>
      <c r="Q296" s="410"/>
      <c r="R296" s="410"/>
      <c r="S296" s="410"/>
      <c r="T296" s="410"/>
      <c r="U296" s="410"/>
      <c r="V296" s="410"/>
      <c r="W296" s="357"/>
      <c r="X296" s="357"/>
      <c r="Y296" s="357"/>
      <c r="Z296" s="357"/>
    </row>
    <row r="297" spans="1:26" ht="16.5" customHeight="1" x14ac:dyDescent="0.4">
      <c r="A297" s="410"/>
      <c r="B297" s="443"/>
      <c r="C297" s="410"/>
      <c r="D297" s="410"/>
      <c r="E297" s="410"/>
      <c r="F297" s="410"/>
      <c r="G297" s="410"/>
      <c r="H297" s="410"/>
      <c r="I297" s="410"/>
      <c r="J297" s="410"/>
      <c r="K297" s="410"/>
      <c r="L297" s="410"/>
      <c r="M297" s="410"/>
      <c r="N297" s="410"/>
      <c r="O297" s="410"/>
      <c r="P297" s="410"/>
      <c r="Q297" s="410"/>
      <c r="R297" s="410"/>
      <c r="S297" s="410"/>
      <c r="T297" s="410"/>
      <c r="U297" s="410"/>
      <c r="V297" s="410"/>
      <c r="W297" s="357"/>
      <c r="X297" s="357"/>
      <c r="Y297" s="357"/>
      <c r="Z297" s="357"/>
    </row>
    <row r="298" spans="1:26" ht="16.5" customHeight="1" x14ac:dyDescent="0.4">
      <c r="A298" s="410"/>
      <c r="B298" s="443"/>
      <c r="C298" s="410"/>
      <c r="D298" s="410"/>
      <c r="E298" s="410"/>
      <c r="F298" s="410"/>
      <c r="G298" s="410"/>
      <c r="H298" s="410"/>
      <c r="I298" s="410"/>
      <c r="J298" s="410"/>
      <c r="K298" s="410"/>
      <c r="L298" s="410"/>
      <c r="M298" s="410"/>
      <c r="N298" s="410"/>
      <c r="O298" s="410"/>
      <c r="P298" s="410"/>
      <c r="Q298" s="410"/>
      <c r="R298" s="410"/>
      <c r="S298" s="410"/>
      <c r="T298" s="410"/>
      <c r="U298" s="410"/>
      <c r="V298" s="410"/>
      <c r="W298" s="357"/>
      <c r="X298" s="357"/>
      <c r="Y298" s="357"/>
      <c r="Z298" s="357"/>
    </row>
    <row r="299" spans="1:26" ht="16.5" customHeight="1" x14ac:dyDescent="0.4">
      <c r="A299" s="410"/>
      <c r="B299" s="443"/>
      <c r="C299" s="410"/>
      <c r="D299" s="410"/>
      <c r="E299" s="410"/>
      <c r="F299" s="410"/>
      <c r="G299" s="410"/>
      <c r="H299" s="410"/>
      <c r="I299" s="410"/>
      <c r="J299" s="410"/>
      <c r="K299" s="410"/>
      <c r="L299" s="410"/>
      <c r="M299" s="410"/>
      <c r="N299" s="410"/>
      <c r="O299" s="410"/>
      <c r="P299" s="410"/>
      <c r="Q299" s="410"/>
      <c r="R299" s="410"/>
      <c r="S299" s="410"/>
      <c r="T299" s="410"/>
      <c r="U299" s="410"/>
      <c r="V299" s="410"/>
      <c r="W299" s="357"/>
      <c r="X299" s="357"/>
      <c r="Y299" s="357"/>
      <c r="Z299" s="357"/>
    </row>
    <row r="300" spans="1:26" ht="16.5" customHeight="1" x14ac:dyDescent="0.4">
      <c r="A300" s="410"/>
      <c r="B300" s="443"/>
      <c r="C300" s="410"/>
      <c r="D300" s="410"/>
      <c r="E300" s="410"/>
      <c r="F300" s="410"/>
      <c r="G300" s="410"/>
      <c r="H300" s="410"/>
      <c r="I300" s="410"/>
      <c r="J300" s="410"/>
      <c r="K300" s="410"/>
      <c r="L300" s="410"/>
      <c r="M300" s="410"/>
      <c r="N300" s="410"/>
      <c r="O300" s="410"/>
      <c r="P300" s="410"/>
      <c r="Q300" s="410"/>
      <c r="R300" s="410"/>
      <c r="S300" s="410"/>
      <c r="T300" s="410"/>
      <c r="U300" s="410"/>
      <c r="V300" s="410"/>
      <c r="W300" s="357"/>
      <c r="X300" s="357"/>
      <c r="Y300" s="357"/>
      <c r="Z300" s="357"/>
    </row>
    <row r="301" spans="1:26" ht="16.5" customHeight="1" x14ac:dyDescent="0.4">
      <c r="A301" s="410"/>
      <c r="B301" s="443"/>
      <c r="C301" s="410"/>
      <c r="D301" s="410"/>
      <c r="E301" s="410"/>
      <c r="F301" s="410"/>
      <c r="G301" s="410"/>
      <c r="H301" s="410"/>
      <c r="I301" s="410"/>
      <c r="J301" s="410"/>
      <c r="K301" s="410"/>
      <c r="L301" s="410"/>
      <c r="M301" s="410"/>
      <c r="N301" s="410"/>
      <c r="O301" s="410"/>
      <c r="P301" s="410"/>
      <c r="Q301" s="410"/>
      <c r="R301" s="410"/>
      <c r="S301" s="410"/>
      <c r="T301" s="410"/>
      <c r="U301" s="410"/>
      <c r="V301" s="410"/>
      <c r="W301" s="357"/>
      <c r="X301" s="357"/>
      <c r="Y301" s="357"/>
      <c r="Z301" s="357"/>
    </row>
    <row r="302" spans="1:26" ht="16.5" customHeight="1" x14ac:dyDescent="0.4">
      <c r="A302" s="410"/>
      <c r="B302" s="443"/>
      <c r="C302" s="410"/>
      <c r="D302" s="410"/>
      <c r="E302" s="410"/>
      <c r="F302" s="410"/>
      <c r="G302" s="410"/>
      <c r="H302" s="410"/>
      <c r="I302" s="410"/>
      <c r="J302" s="410"/>
      <c r="K302" s="410"/>
      <c r="L302" s="410"/>
      <c r="M302" s="410"/>
      <c r="N302" s="410"/>
      <c r="O302" s="410"/>
      <c r="P302" s="410"/>
      <c r="Q302" s="410"/>
      <c r="R302" s="410"/>
      <c r="S302" s="410"/>
      <c r="T302" s="410"/>
      <c r="U302" s="410"/>
      <c r="V302" s="410"/>
      <c r="W302" s="357"/>
      <c r="X302" s="357"/>
      <c r="Y302" s="357"/>
      <c r="Z302" s="357"/>
    </row>
    <row r="303" spans="1:26" ht="16.5" customHeight="1" x14ac:dyDescent="0.4">
      <c r="A303" s="410"/>
      <c r="B303" s="443"/>
      <c r="C303" s="410"/>
      <c r="D303" s="410"/>
      <c r="E303" s="410"/>
      <c r="F303" s="410"/>
      <c r="G303" s="410"/>
      <c r="H303" s="410"/>
      <c r="I303" s="410"/>
      <c r="J303" s="410"/>
      <c r="K303" s="410"/>
      <c r="L303" s="410"/>
      <c r="M303" s="410"/>
      <c r="N303" s="410"/>
      <c r="O303" s="410"/>
      <c r="P303" s="410"/>
      <c r="Q303" s="410"/>
      <c r="R303" s="410"/>
      <c r="S303" s="410"/>
      <c r="T303" s="410"/>
      <c r="U303" s="410"/>
      <c r="V303" s="410"/>
      <c r="W303" s="357"/>
      <c r="X303" s="357"/>
      <c r="Y303" s="357"/>
      <c r="Z303" s="357"/>
    </row>
    <row r="304" spans="1:26" ht="16.5" customHeight="1" x14ac:dyDescent="0.4">
      <c r="A304" s="410"/>
      <c r="B304" s="443"/>
      <c r="C304" s="410"/>
      <c r="D304" s="410"/>
      <c r="E304" s="410"/>
      <c r="F304" s="410"/>
      <c r="G304" s="410"/>
      <c r="H304" s="410"/>
      <c r="I304" s="410"/>
      <c r="J304" s="410"/>
      <c r="K304" s="410"/>
      <c r="L304" s="410"/>
      <c r="M304" s="410"/>
      <c r="N304" s="410"/>
      <c r="O304" s="410"/>
      <c r="P304" s="410"/>
      <c r="Q304" s="410"/>
      <c r="R304" s="410"/>
      <c r="S304" s="410"/>
      <c r="T304" s="410"/>
      <c r="U304" s="410"/>
      <c r="V304" s="410"/>
      <c r="W304" s="357"/>
      <c r="X304" s="357"/>
      <c r="Y304" s="357"/>
      <c r="Z304" s="357"/>
    </row>
    <row r="305" spans="1:26" ht="16.5" customHeight="1" x14ac:dyDescent="0.4">
      <c r="A305" s="410"/>
      <c r="B305" s="443"/>
      <c r="C305" s="410"/>
      <c r="D305" s="410"/>
      <c r="E305" s="410"/>
      <c r="F305" s="410"/>
      <c r="G305" s="410"/>
      <c r="H305" s="410"/>
      <c r="I305" s="410"/>
      <c r="J305" s="410"/>
      <c r="K305" s="410"/>
      <c r="L305" s="410"/>
      <c r="M305" s="410"/>
      <c r="N305" s="410"/>
      <c r="O305" s="410"/>
      <c r="P305" s="410"/>
      <c r="Q305" s="410"/>
      <c r="R305" s="410"/>
      <c r="S305" s="410"/>
      <c r="T305" s="410"/>
      <c r="U305" s="410"/>
      <c r="V305" s="410"/>
      <c r="W305" s="357"/>
      <c r="X305" s="357"/>
      <c r="Y305" s="357"/>
      <c r="Z305" s="357"/>
    </row>
    <row r="306" spans="1:26" ht="16.5" customHeight="1" x14ac:dyDescent="0.4">
      <c r="A306" s="410"/>
      <c r="B306" s="443"/>
      <c r="C306" s="410"/>
      <c r="D306" s="410"/>
      <c r="E306" s="410"/>
      <c r="F306" s="410"/>
      <c r="G306" s="410"/>
      <c r="H306" s="410"/>
      <c r="I306" s="410"/>
      <c r="J306" s="410"/>
      <c r="K306" s="410"/>
      <c r="L306" s="410"/>
      <c r="M306" s="410"/>
      <c r="N306" s="410"/>
      <c r="O306" s="410"/>
      <c r="P306" s="410"/>
      <c r="Q306" s="410"/>
      <c r="R306" s="410"/>
      <c r="S306" s="410"/>
      <c r="T306" s="410"/>
      <c r="U306" s="410"/>
      <c r="V306" s="410"/>
      <c r="W306" s="357"/>
      <c r="X306" s="357"/>
      <c r="Y306" s="357"/>
      <c r="Z306" s="357"/>
    </row>
    <row r="307" spans="1:26" ht="16.5" customHeight="1" x14ac:dyDescent="0.4">
      <c r="A307" s="410"/>
      <c r="B307" s="443"/>
      <c r="C307" s="410"/>
      <c r="D307" s="410"/>
      <c r="E307" s="410"/>
      <c r="F307" s="410"/>
      <c r="G307" s="410"/>
      <c r="H307" s="410"/>
      <c r="I307" s="410"/>
      <c r="J307" s="410"/>
      <c r="K307" s="410"/>
      <c r="L307" s="410"/>
      <c r="M307" s="410"/>
      <c r="N307" s="410"/>
      <c r="O307" s="410"/>
      <c r="P307" s="410"/>
      <c r="Q307" s="410"/>
      <c r="R307" s="410"/>
      <c r="S307" s="410"/>
      <c r="T307" s="410"/>
      <c r="U307" s="410"/>
      <c r="V307" s="410"/>
      <c r="W307" s="357"/>
      <c r="X307" s="357"/>
      <c r="Y307" s="357"/>
      <c r="Z307" s="357"/>
    </row>
    <row r="308" spans="1:26" ht="16.5" customHeight="1" x14ac:dyDescent="0.4">
      <c r="A308" s="410"/>
      <c r="B308" s="443"/>
      <c r="C308" s="410"/>
      <c r="D308" s="410"/>
      <c r="E308" s="410"/>
      <c r="F308" s="410"/>
      <c r="G308" s="410"/>
      <c r="H308" s="410"/>
      <c r="I308" s="410"/>
      <c r="J308" s="410"/>
      <c r="K308" s="410"/>
      <c r="L308" s="410"/>
      <c r="M308" s="410"/>
      <c r="N308" s="410"/>
      <c r="O308" s="410"/>
      <c r="P308" s="410"/>
      <c r="Q308" s="410"/>
      <c r="R308" s="410"/>
      <c r="S308" s="410"/>
      <c r="T308" s="410"/>
      <c r="U308" s="410"/>
      <c r="V308" s="410"/>
      <c r="W308" s="357"/>
      <c r="X308" s="357"/>
      <c r="Y308" s="357"/>
      <c r="Z308" s="357"/>
    </row>
    <row r="309" spans="1:26" ht="16.5" customHeight="1" x14ac:dyDescent="0.4">
      <c r="A309" s="410"/>
      <c r="B309" s="443"/>
      <c r="C309" s="410"/>
      <c r="D309" s="410"/>
      <c r="E309" s="410"/>
      <c r="F309" s="410"/>
      <c r="G309" s="410"/>
      <c r="H309" s="410"/>
      <c r="I309" s="410"/>
      <c r="J309" s="410"/>
      <c r="K309" s="410"/>
      <c r="L309" s="410"/>
      <c r="M309" s="410"/>
      <c r="N309" s="410"/>
      <c r="O309" s="410"/>
      <c r="P309" s="410"/>
      <c r="Q309" s="410"/>
      <c r="R309" s="410"/>
      <c r="S309" s="410"/>
      <c r="T309" s="410"/>
      <c r="U309" s="410"/>
      <c r="V309" s="410"/>
      <c r="W309" s="357"/>
      <c r="X309" s="357"/>
      <c r="Y309" s="357"/>
      <c r="Z309" s="357"/>
    </row>
    <row r="310" spans="1:26" ht="16.5" customHeight="1" x14ac:dyDescent="0.4">
      <c r="A310" s="410"/>
      <c r="B310" s="443"/>
      <c r="C310" s="410"/>
      <c r="D310" s="410"/>
      <c r="E310" s="410"/>
      <c r="F310" s="410"/>
      <c r="G310" s="410"/>
      <c r="H310" s="410"/>
      <c r="I310" s="410"/>
      <c r="J310" s="410"/>
      <c r="K310" s="410"/>
      <c r="L310" s="410"/>
      <c r="M310" s="410"/>
      <c r="N310" s="410"/>
      <c r="O310" s="410"/>
      <c r="P310" s="410"/>
      <c r="Q310" s="410"/>
      <c r="R310" s="410"/>
      <c r="S310" s="410"/>
      <c r="T310" s="410"/>
      <c r="U310" s="410"/>
      <c r="V310" s="410"/>
      <c r="W310" s="357"/>
      <c r="X310" s="357"/>
      <c r="Y310" s="357"/>
      <c r="Z310" s="357"/>
    </row>
    <row r="311" spans="1:26" ht="16.5" customHeight="1" x14ac:dyDescent="0.4">
      <c r="A311" s="410"/>
      <c r="B311" s="443"/>
      <c r="C311" s="410"/>
      <c r="D311" s="410"/>
      <c r="E311" s="410"/>
      <c r="F311" s="410"/>
      <c r="G311" s="410"/>
      <c r="H311" s="410"/>
      <c r="I311" s="410"/>
      <c r="J311" s="410"/>
      <c r="K311" s="410"/>
      <c r="L311" s="410"/>
      <c r="M311" s="410"/>
      <c r="N311" s="410"/>
      <c r="O311" s="410"/>
      <c r="P311" s="410"/>
      <c r="Q311" s="410"/>
      <c r="R311" s="410"/>
      <c r="S311" s="410"/>
      <c r="T311" s="410"/>
      <c r="U311" s="410"/>
      <c r="V311" s="410"/>
      <c r="W311" s="357"/>
      <c r="X311" s="357"/>
      <c r="Y311" s="357"/>
      <c r="Z311" s="357"/>
    </row>
    <row r="312" spans="1:26" ht="16.5" customHeight="1" x14ac:dyDescent="0.4">
      <c r="A312" s="410"/>
      <c r="B312" s="443"/>
      <c r="C312" s="410"/>
      <c r="D312" s="410"/>
      <c r="E312" s="410"/>
      <c r="F312" s="410"/>
      <c r="G312" s="410"/>
      <c r="H312" s="410"/>
      <c r="I312" s="410"/>
      <c r="J312" s="410"/>
      <c r="K312" s="410"/>
      <c r="L312" s="410"/>
      <c r="M312" s="410"/>
      <c r="N312" s="410"/>
      <c r="O312" s="410"/>
      <c r="P312" s="410"/>
      <c r="Q312" s="410"/>
      <c r="R312" s="410"/>
      <c r="S312" s="410"/>
      <c r="T312" s="410"/>
      <c r="U312" s="410"/>
      <c r="V312" s="410"/>
      <c r="W312" s="357"/>
      <c r="X312" s="357"/>
      <c r="Y312" s="357"/>
      <c r="Z312" s="357"/>
    </row>
    <row r="313" spans="1:26" ht="15.75" customHeight="1" x14ac:dyDescent="0.4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</row>
    <row r="314" spans="1:26" ht="15.75" customHeight="1" x14ac:dyDescent="0.4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</row>
    <row r="315" spans="1:26" ht="15.75" customHeight="1" x14ac:dyDescent="0.4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</row>
    <row r="316" spans="1:26" ht="15.75" customHeight="1" x14ac:dyDescent="0.4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</row>
    <row r="317" spans="1:26" ht="15.75" customHeight="1" x14ac:dyDescent="0.4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</row>
    <row r="318" spans="1:26" ht="15.75" customHeight="1" x14ac:dyDescent="0.4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</row>
    <row r="319" spans="1:26" ht="15.75" customHeight="1" x14ac:dyDescent="0.4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</row>
    <row r="320" spans="1:26" ht="15.75" customHeight="1" x14ac:dyDescent="0.4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</row>
    <row r="321" spans="1:26" ht="15.75" customHeight="1" x14ac:dyDescent="0.4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</row>
    <row r="322" spans="1:26" ht="15.75" customHeight="1" x14ac:dyDescent="0.4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</row>
    <row r="323" spans="1:26" ht="15.75" customHeight="1" x14ac:dyDescent="0.4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</row>
    <row r="324" spans="1:26" ht="15.75" customHeight="1" x14ac:dyDescent="0.4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</row>
    <row r="325" spans="1:26" ht="15.75" customHeight="1" x14ac:dyDescent="0.4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</row>
    <row r="326" spans="1:26" ht="15.75" customHeight="1" x14ac:dyDescent="0.4"/>
    <row r="327" spans="1:26" ht="15.75" customHeight="1" x14ac:dyDescent="0.4"/>
    <row r="328" spans="1:26" ht="15.75" customHeight="1" x14ac:dyDescent="0.4"/>
    <row r="329" spans="1:26" ht="15.75" customHeight="1" x14ac:dyDescent="0.4"/>
    <row r="330" spans="1:26" ht="15.75" customHeight="1" x14ac:dyDescent="0.4"/>
    <row r="331" spans="1:26" ht="15.75" customHeight="1" x14ac:dyDescent="0.4"/>
    <row r="332" spans="1:26" ht="15.75" customHeight="1" x14ac:dyDescent="0.4"/>
    <row r="333" spans="1:26" ht="15.75" customHeight="1" x14ac:dyDescent="0.4"/>
    <row r="334" spans="1:26" ht="15.75" customHeight="1" x14ac:dyDescent="0.4"/>
    <row r="335" spans="1:26" ht="15.75" customHeight="1" x14ac:dyDescent="0.4"/>
    <row r="336" spans="1:2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autoFilter ref="A2:V116" xr:uid="{00000000-0009-0000-0000-000004000000}"/>
  <printOptions horizontalCentered="1"/>
  <pageMargins left="0.19685039370078741" right="0.51181102362204722" top="0.74803149606299213" bottom="0.74803149606299213" header="0" footer="0"/>
  <pageSetup paperSize="9" scale="6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49EDD"/>
    <pageSetUpPr fitToPage="1"/>
  </sheetPr>
  <dimension ref="A1:AC1000"/>
  <sheetViews>
    <sheetView showGridLines="0" workbookViewId="0"/>
  </sheetViews>
  <sheetFormatPr defaultColWidth="11.25" defaultRowHeight="15" customHeight="1" x14ac:dyDescent="0.4"/>
  <cols>
    <col min="1" max="1" width="11.33203125" customWidth="1"/>
    <col min="2" max="13" width="10.6640625" customWidth="1"/>
    <col min="14" max="14" width="5" customWidth="1"/>
    <col min="15" max="15" width="10.6640625" customWidth="1"/>
    <col min="16" max="16" width="11" customWidth="1"/>
    <col min="17" max="17" width="12.4140625" customWidth="1"/>
    <col min="18" max="21" width="14.6640625" customWidth="1"/>
    <col min="22" max="22" width="8.33203125" customWidth="1"/>
    <col min="23" max="23" width="5" customWidth="1"/>
    <col min="24" max="25" width="11" customWidth="1"/>
    <col min="26" max="29" width="10.33203125" customWidth="1"/>
  </cols>
  <sheetData>
    <row r="1" spans="1:29" ht="18.75" customHeight="1" x14ac:dyDescent="0.4">
      <c r="A1" s="119" t="s">
        <v>59</v>
      </c>
      <c r="B1" s="120"/>
      <c r="C1" s="120"/>
      <c r="D1" s="120"/>
      <c r="E1" s="120"/>
      <c r="F1" s="120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29" ht="15.75" customHeight="1" x14ac:dyDescent="0.4">
      <c r="A2" s="122" t="s">
        <v>60</v>
      </c>
      <c r="B2" s="120"/>
      <c r="C2" s="120"/>
      <c r="D2" s="120"/>
      <c r="E2" s="120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</row>
    <row r="3" spans="1:29" ht="15.75" customHeight="1" x14ac:dyDescent="0.4">
      <c r="A3" s="123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</row>
    <row r="4" spans="1:29" ht="15.75" customHeight="1" x14ac:dyDescent="0.4">
      <c r="A4" s="124" t="s">
        <v>61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spans="1:29" ht="15.75" customHeight="1" x14ac:dyDescent="0.4">
      <c r="A5" s="121" t="s">
        <v>62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</row>
    <row r="6" spans="1:29" ht="15.75" customHeight="1" x14ac:dyDescent="0.4">
      <c r="A6" s="125" t="s">
        <v>63</v>
      </c>
      <c r="B6" s="121" t="s">
        <v>64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</row>
    <row r="7" spans="1:29" ht="15.75" customHeight="1" x14ac:dyDescent="0.4">
      <c r="A7" s="125" t="s">
        <v>65</v>
      </c>
      <c r="B7" s="121" t="s">
        <v>66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</row>
    <row r="8" spans="1:29" ht="15.75" customHeight="1" x14ac:dyDescent="0.4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</row>
    <row r="9" spans="1:29" ht="15.75" customHeight="1" x14ac:dyDescent="0.4">
      <c r="A9" s="124" t="s">
        <v>67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</row>
    <row r="10" spans="1:29" ht="15.75" customHeight="1" x14ac:dyDescent="0.4">
      <c r="A10" s="121" t="s">
        <v>62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</row>
    <row r="11" spans="1:29" ht="15.75" customHeight="1" x14ac:dyDescent="0.4">
      <c r="A11" s="125" t="s">
        <v>63</v>
      </c>
      <c r="B11" s="121" t="s">
        <v>68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</row>
    <row r="12" spans="1:29" ht="15.75" customHeight="1" x14ac:dyDescent="0.4">
      <c r="A12" s="125" t="s">
        <v>65</v>
      </c>
      <c r="B12" s="121" t="s">
        <v>69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</row>
    <row r="13" spans="1:29" ht="15.75" customHeight="1" x14ac:dyDescent="0.4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</row>
    <row r="14" spans="1:29" ht="15.75" customHeight="1" x14ac:dyDescent="0.4">
      <c r="A14" s="126" t="s">
        <v>70</v>
      </c>
      <c r="B14" s="126" t="s">
        <v>71</v>
      </c>
      <c r="C14" s="126" t="s">
        <v>72</v>
      </c>
      <c r="D14" s="126" t="s">
        <v>73</v>
      </c>
      <c r="E14" s="126" t="s">
        <v>74</v>
      </c>
      <c r="F14" s="126" t="s">
        <v>75</v>
      </c>
      <c r="G14" s="127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</row>
    <row r="15" spans="1:29" ht="15.75" customHeight="1" x14ac:dyDescent="0.4">
      <c r="A15" s="127" t="s">
        <v>76</v>
      </c>
      <c r="B15" s="128">
        <v>6322</v>
      </c>
      <c r="C15" s="128">
        <v>12.26</v>
      </c>
      <c r="D15" s="128">
        <v>0.66</v>
      </c>
      <c r="E15" s="128">
        <v>7.94</v>
      </c>
      <c r="F15" s="127" t="s">
        <v>77</v>
      </c>
      <c r="G15" s="127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</row>
    <row r="16" spans="1:29" ht="15.75" customHeight="1" x14ac:dyDescent="0.4">
      <c r="A16" s="127" t="s">
        <v>78</v>
      </c>
      <c r="B16" s="128">
        <v>5300</v>
      </c>
      <c r="C16" s="128">
        <v>21.32</v>
      </c>
      <c r="D16" s="128">
        <v>0.75</v>
      </c>
      <c r="E16" s="128">
        <v>6.04</v>
      </c>
      <c r="F16" s="127" t="s">
        <v>79</v>
      </c>
      <c r="G16" s="127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</row>
    <row r="17" spans="1:29" ht="15.75" customHeight="1" x14ac:dyDescent="0.4">
      <c r="A17" s="127" t="s">
        <v>80</v>
      </c>
      <c r="B17" s="128">
        <v>4100</v>
      </c>
      <c r="C17" s="128">
        <v>35.729999999999997</v>
      </c>
      <c r="D17" s="128">
        <v>0.23</v>
      </c>
      <c r="E17" s="128">
        <v>3.9</v>
      </c>
      <c r="F17" s="127" t="s">
        <v>81</v>
      </c>
      <c r="G17" s="127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</row>
    <row r="18" spans="1:29" ht="15.75" customHeight="1" x14ac:dyDescent="0.4">
      <c r="A18" s="127"/>
      <c r="B18" s="128"/>
      <c r="C18" s="128"/>
      <c r="D18" s="128"/>
      <c r="E18" s="128"/>
      <c r="F18" s="127" t="s">
        <v>82</v>
      </c>
      <c r="G18" s="127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</row>
    <row r="19" spans="1:29" ht="15.75" customHeight="1" x14ac:dyDescent="0.4">
      <c r="A19" s="127" t="s">
        <v>83</v>
      </c>
      <c r="B19" s="128">
        <v>3400</v>
      </c>
      <c r="C19" s="128">
        <v>44.3</v>
      </c>
      <c r="D19" s="128">
        <v>0.24</v>
      </c>
      <c r="E19" s="128">
        <v>3.88</v>
      </c>
      <c r="F19" s="127" t="s">
        <v>84</v>
      </c>
      <c r="G19" s="127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</row>
    <row r="20" spans="1:29" ht="15.75" customHeight="1" x14ac:dyDescent="0.4">
      <c r="A20" s="127" t="s">
        <v>85</v>
      </c>
      <c r="B20" s="128">
        <v>6322</v>
      </c>
      <c r="C20" s="128">
        <v>12.26</v>
      </c>
      <c r="D20" s="128">
        <v>0.66</v>
      </c>
      <c r="E20" s="128">
        <v>7.94</v>
      </c>
      <c r="F20" s="127" t="s">
        <v>86</v>
      </c>
      <c r="G20" s="127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</row>
    <row r="21" spans="1:29" ht="15.75" customHeight="1" x14ac:dyDescent="0.4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</row>
    <row r="22" spans="1:29" ht="15.75" customHeight="1" x14ac:dyDescent="0.4">
      <c r="A22" s="129" t="s">
        <v>87</v>
      </c>
      <c r="B22" s="130"/>
      <c r="C22" s="130"/>
      <c r="D22" s="130"/>
      <c r="E22" s="130"/>
      <c r="F22" s="13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</row>
    <row r="23" spans="1:29" ht="15.75" customHeight="1" x14ac:dyDescent="0.4">
      <c r="A23" s="444" t="s">
        <v>88</v>
      </c>
      <c r="B23" s="445" t="s">
        <v>76</v>
      </c>
      <c r="C23" s="445" t="s">
        <v>78</v>
      </c>
      <c r="D23" s="445" t="s">
        <v>80</v>
      </c>
      <c r="E23" s="445" t="s">
        <v>83</v>
      </c>
      <c r="F23" s="446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1:29" ht="15.75" customHeight="1" x14ac:dyDescent="0.4">
      <c r="A24" s="447">
        <v>43831</v>
      </c>
      <c r="B24" s="331">
        <v>65.930000000000007</v>
      </c>
      <c r="C24" s="331"/>
      <c r="D24" s="331"/>
      <c r="E24" s="331"/>
      <c r="F24" s="448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1:29" ht="15.75" customHeight="1" x14ac:dyDescent="0.4">
      <c r="A25" s="447">
        <v>43862</v>
      </c>
      <c r="B25" s="331">
        <v>66.89</v>
      </c>
      <c r="C25" s="331"/>
      <c r="D25" s="331"/>
      <c r="E25" s="331"/>
      <c r="F25" s="448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1:29" ht="15.75" customHeight="1" x14ac:dyDescent="0.4">
      <c r="A26" s="447">
        <v>43891</v>
      </c>
      <c r="B26" s="331">
        <v>67.08</v>
      </c>
      <c r="C26" s="331"/>
      <c r="D26" s="331"/>
      <c r="E26" s="331"/>
      <c r="F26" s="448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1:29" ht="15.75" customHeight="1" x14ac:dyDescent="0.4">
      <c r="A27" s="447">
        <v>43922</v>
      </c>
      <c r="B27" s="331">
        <v>65.77</v>
      </c>
      <c r="C27" s="331"/>
      <c r="D27" s="331"/>
      <c r="E27" s="331"/>
      <c r="F27" s="448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1:29" ht="15.75" customHeight="1" x14ac:dyDescent="0.4">
      <c r="A28" s="447">
        <v>43952</v>
      </c>
      <c r="B28" s="331">
        <v>61.11</v>
      </c>
      <c r="C28" s="331"/>
      <c r="D28" s="331"/>
      <c r="E28" s="331"/>
      <c r="F28" s="448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1:29" ht="15.75" customHeight="1" x14ac:dyDescent="0.4">
      <c r="A29" s="447">
        <v>43983</v>
      </c>
      <c r="B29" s="331">
        <v>52.98</v>
      </c>
      <c r="C29" s="331"/>
      <c r="D29" s="331"/>
      <c r="E29" s="331"/>
      <c r="F29" s="448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1:29" ht="15.75" customHeight="1" x14ac:dyDescent="0.4">
      <c r="A30" s="447">
        <v>44013</v>
      </c>
      <c r="B30" s="331">
        <v>52.16</v>
      </c>
      <c r="C30" s="331"/>
      <c r="D30" s="331"/>
      <c r="E30" s="331"/>
      <c r="F30" s="448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1:29" ht="15.75" customHeight="1" x14ac:dyDescent="0.4">
      <c r="A31" s="447">
        <v>44044</v>
      </c>
      <c r="B31" s="331">
        <v>50.34</v>
      </c>
      <c r="C31" s="331"/>
      <c r="D31" s="331"/>
      <c r="E31" s="331"/>
      <c r="F31" s="448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1:29" ht="15.75" customHeight="1" x14ac:dyDescent="0.4">
      <c r="A32" s="447">
        <v>44075</v>
      </c>
      <c r="B32" s="331">
        <v>49.42</v>
      </c>
      <c r="C32" s="331"/>
      <c r="D32" s="331"/>
      <c r="E32" s="331"/>
      <c r="F32" s="448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1:29" ht="15.75" customHeight="1" x14ac:dyDescent="0.4">
      <c r="A33" s="447">
        <v>44105</v>
      </c>
      <c r="B33" s="331">
        <v>51</v>
      </c>
      <c r="C33" s="331"/>
      <c r="D33" s="331"/>
      <c r="E33" s="331"/>
      <c r="F33" s="448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1:29" ht="15.75" customHeight="1" x14ac:dyDescent="0.4">
      <c r="A34" s="447">
        <v>44136</v>
      </c>
      <c r="B34" s="331">
        <v>55.71</v>
      </c>
      <c r="C34" s="331"/>
      <c r="D34" s="331"/>
      <c r="E34" s="331"/>
      <c r="F34" s="448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</row>
    <row r="35" spans="1:29" ht="15.75" customHeight="1" x14ac:dyDescent="0.4">
      <c r="A35" s="447">
        <v>44166</v>
      </c>
      <c r="B35" s="331">
        <v>59.65</v>
      </c>
      <c r="C35" s="331"/>
      <c r="D35" s="331"/>
      <c r="E35" s="331"/>
      <c r="F35" s="448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1:29" ht="15.75" customHeight="1" x14ac:dyDescent="0.4">
      <c r="A36" s="447">
        <v>44197</v>
      </c>
      <c r="B36" s="331">
        <v>75.84</v>
      </c>
      <c r="C36" s="331"/>
      <c r="D36" s="331"/>
      <c r="E36" s="331"/>
      <c r="F36" s="448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1:29" ht="15.75" customHeight="1" x14ac:dyDescent="0.4">
      <c r="A37" s="447">
        <v>44228</v>
      </c>
      <c r="B37" s="331">
        <v>87.79</v>
      </c>
      <c r="C37" s="331"/>
      <c r="D37" s="331"/>
      <c r="E37" s="331"/>
      <c r="F37" s="448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1:29" ht="15.75" customHeight="1" x14ac:dyDescent="0.4">
      <c r="A38" s="447">
        <v>44256</v>
      </c>
      <c r="B38" s="331">
        <v>84.47</v>
      </c>
      <c r="C38" s="331"/>
      <c r="D38" s="331"/>
      <c r="E38" s="331"/>
      <c r="F38" s="448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1:29" ht="15.75" customHeight="1" x14ac:dyDescent="0.4">
      <c r="A39" s="447">
        <v>44287</v>
      </c>
      <c r="B39" s="331">
        <v>86.68</v>
      </c>
      <c r="C39" s="331"/>
      <c r="D39" s="331"/>
      <c r="E39" s="331"/>
      <c r="F39" s="448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1:29" ht="15.75" customHeight="1" x14ac:dyDescent="0.4">
      <c r="A40" s="447">
        <v>44317</v>
      </c>
      <c r="B40" s="331">
        <v>89.74</v>
      </c>
      <c r="C40" s="331"/>
      <c r="D40" s="331"/>
      <c r="E40" s="331"/>
      <c r="F40" s="448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1:29" ht="15.75" customHeight="1" x14ac:dyDescent="0.4">
      <c r="A41" s="447">
        <v>44348</v>
      </c>
      <c r="B41" s="331">
        <v>100.33</v>
      </c>
      <c r="C41" s="331"/>
      <c r="D41" s="331"/>
      <c r="E41" s="331"/>
      <c r="F41" s="448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</row>
    <row r="42" spans="1:29" ht="15.75" customHeight="1" x14ac:dyDescent="0.4">
      <c r="A42" s="447">
        <v>44378</v>
      </c>
      <c r="B42" s="331">
        <v>115.35</v>
      </c>
      <c r="C42" s="331"/>
      <c r="D42" s="331"/>
      <c r="E42" s="331"/>
      <c r="F42" s="448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</row>
    <row r="43" spans="1:29" ht="15.75" customHeight="1" x14ac:dyDescent="0.4">
      <c r="A43" s="447">
        <v>44409</v>
      </c>
      <c r="B43" s="331">
        <v>130.99</v>
      </c>
      <c r="C43" s="331"/>
      <c r="D43" s="331"/>
      <c r="E43" s="331"/>
      <c r="F43" s="448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1:29" ht="15.75" customHeight="1" x14ac:dyDescent="0.4">
      <c r="A44" s="447">
        <v>44440</v>
      </c>
      <c r="B44" s="331">
        <v>150.03</v>
      </c>
      <c r="C44" s="331"/>
      <c r="D44" s="331"/>
      <c r="E44" s="331"/>
      <c r="F44" s="448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</row>
    <row r="45" spans="1:29" ht="15.75" customHeight="1" x14ac:dyDescent="0.4">
      <c r="A45" s="447">
        <v>44470</v>
      </c>
      <c r="B45" s="331">
        <v>161.63</v>
      </c>
      <c r="C45" s="331"/>
      <c r="D45" s="331"/>
      <c r="E45" s="331"/>
      <c r="F45" s="448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1:29" ht="15.75" customHeight="1" x14ac:dyDescent="0.4">
      <c r="A46" s="447">
        <v>44501</v>
      </c>
      <c r="B46" s="331">
        <v>215.01</v>
      </c>
      <c r="C46" s="331"/>
      <c r="D46" s="331"/>
      <c r="E46" s="331"/>
      <c r="F46" s="448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1:29" ht="15.75" customHeight="1" x14ac:dyDescent="0.4">
      <c r="A47" s="447">
        <v>44531</v>
      </c>
      <c r="B47" s="331">
        <v>159.79</v>
      </c>
      <c r="C47" s="331"/>
      <c r="D47" s="331"/>
      <c r="E47" s="331"/>
      <c r="F47" s="448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</row>
    <row r="48" spans="1:29" ht="15.75" customHeight="1" x14ac:dyDescent="0.4">
      <c r="A48" s="447">
        <v>44562</v>
      </c>
      <c r="B48" s="331">
        <v>158.5</v>
      </c>
      <c r="C48" s="331"/>
      <c r="D48" s="331"/>
      <c r="E48" s="331"/>
      <c r="F48" s="448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1:29" ht="15.75" customHeight="1" x14ac:dyDescent="0.4">
      <c r="A49" s="447">
        <v>44593</v>
      </c>
      <c r="B49" s="331">
        <v>188.38</v>
      </c>
      <c r="C49" s="331"/>
      <c r="D49" s="331"/>
      <c r="E49" s="331"/>
      <c r="F49" s="448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1:29" ht="15.75" customHeight="1" x14ac:dyDescent="0.4">
      <c r="A50" s="447">
        <v>44621</v>
      </c>
      <c r="B50" s="331">
        <v>203.69</v>
      </c>
      <c r="C50" s="331"/>
      <c r="D50" s="331"/>
      <c r="E50" s="331"/>
      <c r="F50" s="448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</row>
    <row r="51" spans="1:29" ht="15.75" customHeight="1" x14ac:dyDescent="0.4">
      <c r="A51" s="447">
        <v>44652</v>
      </c>
      <c r="B51" s="331">
        <v>288.39999999999998</v>
      </c>
      <c r="C51" s="331"/>
      <c r="D51" s="331"/>
      <c r="E51" s="331"/>
      <c r="F51" s="448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</row>
    <row r="52" spans="1:29" ht="15.75" customHeight="1" x14ac:dyDescent="0.4">
      <c r="A52" s="447">
        <v>44682</v>
      </c>
      <c r="B52" s="331">
        <v>275.64</v>
      </c>
      <c r="C52" s="331"/>
      <c r="D52" s="331"/>
      <c r="E52" s="331"/>
      <c r="F52" s="448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</row>
    <row r="53" spans="1:29" ht="15.75" customHeight="1" x14ac:dyDescent="0.4">
      <c r="A53" s="447">
        <v>44713</v>
      </c>
      <c r="B53" s="331">
        <v>323.91000000000003</v>
      </c>
      <c r="C53" s="331"/>
      <c r="D53" s="331"/>
      <c r="E53" s="331"/>
      <c r="F53" s="448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1:29" ht="15.75" customHeight="1" x14ac:dyDescent="0.4">
      <c r="A54" s="447">
        <v>44743</v>
      </c>
      <c r="B54" s="331">
        <v>319</v>
      </c>
      <c r="C54" s="331"/>
      <c r="D54" s="331"/>
      <c r="E54" s="331"/>
      <c r="F54" s="448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</row>
    <row r="55" spans="1:29" ht="15.75" customHeight="1" x14ac:dyDescent="0.4">
      <c r="A55" s="447">
        <v>44774</v>
      </c>
      <c r="B55" s="331">
        <v>321.58999999999997</v>
      </c>
      <c r="C55" s="331"/>
      <c r="D55" s="331"/>
      <c r="E55" s="331"/>
      <c r="F55" s="448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</row>
    <row r="56" spans="1:29" ht="15.75" customHeight="1" x14ac:dyDescent="0.4">
      <c r="A56" s="447">
        <v>44805</v>
      </c>
      <c r="B56" s="331">
        <v>319.22000000000003</v>
      </c>
      <c r="C56" s="331"/>
      <c r="D56" s="331"/>
      <c r="E56" s="331"/>
      <c r="F56" s="448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1:29" ht="15.75" customHeight="1" x14ac:dyDescent="0.4">
      <c r="A57" s="447">
        <v>44835</v>
      </c>
      <c r="B57" s="331">
        <v>330.97</v>
      </c>
      <c r="C57" s="331"/>
      <c r="D57" s="331"/>
      <c r="E57" s="331"/>
      <c r="F57" s="448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</row>
    <row r="58" spans="1:29" ht="15.75" customHeight="1" x14ac:dyDescent="0.4">
      <c r="A58" s="447">
        <v>44866</v>
      </c>
      <c r="B58" s="331">
        <v>308.2</v>
      </c>
      <c r="C58" s="331"/>
      <c r="D58" s="331"/>
      <c r="E58" s="331"/>
      <c r="F58" s="448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</row>
    <row r="59" spans="1:29" ht="15.75" customHeight="1" x14ac:dyDescent="0.4">
      <c r="A59" s="447">
        <v>44896</v>
      </c>
      <c r="B59" s="331">
        <v>281.48</v>
      </c>
      <c r="C59" s="331"/>
      <c r="D59" s="331"/>
      <c r="E59" s="331"/>
      <c r="F59" s="448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</row>
    <row r="60" spans="1:29" ht="15.75" customHeight="1" x14ac:dyDescent="0.4">
      <c r="A60" s="447">
        <v>44949</v>
      </c>
      <c r="B60" s="331">
        <v>305.20999999999998</v>
      </c>
      <c r="C60" s="331"/>
      <c r="D60" s="331"/>
      <c r="E60" s="331"/>
      <c r="F60" s="448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</row>
    <row r="61" spans="1:29" ht="15.75" customHeight="1" x14ac:dyDescent="0.4">
      <c r="A61" s="447">
        <v>44980</v>
      </c>
      <c r="B61" s="331">
        <v>277.05</v>
      </c>
      <c r="C61" s="331"/>
      <c r="D61" s="331"/>
      <c r="E61" s="331"/>
      <c r="F61" s="448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</row>
    <row r="62" spans="1:29" ht="15.75" customHeight="1" x14ac:dyDescent="0.4">
      <c r="A62" s="447">
        <v>45008</v>
      </c>
      <c r="B62" s="331">
        <v>283.08</v>
      </c>
      <c r="C62" s="331">
        <v>136.69999999999999</v>
      </c>
      <c r="D62" s="331">
        <v>102.26</v>
      </c>
      <c r="E62" s="331"/>
      <c r="F62" s="448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</row>
    <row r="63" spans="1:29" ht="15.75" customHeight="1" x14ac:dyDescent="0.4">
      <c r="A63" s="447">
        <v>45039</v>
      </c>
      <c r="B63" s="331">
        <v>265.25</v>
      </c>
      <c r="C63" s="331">
        <v>102.53</v>
      </c>
      <c r="D63" s="331">
        <v>87.81</v>
      </c>
      <c r="E63" s="331"/>
      <c r="F63" s="448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</row>
    <row r="64" spans="1:29" ht="15.75" customHeight="1" x14ac:dyDescent="0.4">
      <c r="A64" s="447">
        <v>45069</v>
      </c>
      <c r="B64" s="331">
        <v>206.16</v>
      </c>
      <c r="C64" s="331">
        <v>119.64</v>
      </c>
      <c r="D64" s="331">
        <v>82.23</v>
      </c>
      <c r="E64" s="331"/>
      <c r="F64" s="448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</row>
    <row r="65" spans="1:29" ht="15.75" customHeight="1" x14ac:dyDescent="0.4">
      <c r="A65" s="447">
        <v>45100</v>
      </c>
      <c r="B65" s="331">
        <v>191.26</v>
      </c>
      <c r="C65" s="331">
        <v>112.59</v>
      </c>
      <c r="D65" s="331">
        <v>78.349999999999994</v>
      </c>
      <c r="E65" s="331"/>
      <c r="F65" s="448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</row>
    <row r="66" spans="1:29" ht="15.75" customHeight="1" x14ac:dyDescent="0.4">
      <c r="A66" s="447">
        <v>45130</v>
      </c>
      <c r="B66" s="331">
        <v>191.6</v>
      </c>
      <c r="C66" s="331">
        <v>109.27</v>
      </c>
      <c r="D66" s="331">
        <v>75.2</v>
      </c>
      <c r="E66" s="331"/>
      <c r="F66" s="448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</row>
    <row r="67" spans="1:29" ht="15.75" customHeight="1" x14ac:dyDescent="0.4">
      <c r="A67" s="447">
        <v>45161</v>
      </c>
      <c r="B67" s="331">
        <v>179.9</v>
      </c>
      <c r="C67" s="331">
        <v>84.75</v>
      </c>
      <c r="D67" s="331">
        <v>57.38</v>
      </c>
      <c r="E67" s="331">
        <v>31.96</v>
      </c>
      <c r="F67" s="448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</row>
    <row r="68" spans="1:29" ht="15.75" customHeight="1" x14ac:dyDescent="0.4">
      <c r="A68" s="447">
        <v>45192</v>
      </c>
      <c r="B68" s="331">
        <v>133.13</v>
      </c>
      <c r="C68" s="331">
        <v>89.11</v>
      </c>
      <c r="D68" s="331">
        <v>53.83</v>
      </c>
      <c r="E68" s="331">
        <v>31.82</v>
      </c>
      <c r="F68" s="448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</row>
    <row r="69" spans="1:29" ht="15.75" customHeight="1" x14ac:dyDescent="0.4">
      <c r="A69" s="447">
        <v>45222</v>
      </c>
      <c r="B69" s="331">
        <v>123.96</v>
      </c>
      <c r="C69" s="331">
        <v>81.38</v>
      </c>
      <c r="D69" s="331">
        <v>50.41</v>
      </c>
      <c r="E69" s="331">
        <v>25.5</v>
      </c>
      <c r="F69" s="448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</row>
    <row r="70" spans="1:29" ht="15.75" customHeight="1" x14ac:dyDescent="0.4">
      <c r="A70" s="447">
        <v>45253</v>
      </c>
      <c r="B70" s="331">
        <v>139.80000000000001</v>
      </c>
      <c r="C70" s="331">
        <v>103.2</v>
      </c>
      <c r="D70" s="331">
        <v>52.86</v>
      </c>
      <c r="E70" s="331">
        <v>28.49</v>
      </c>
      <c r="F70" s="448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</row>
    <row r="71" spans="1:29" ht="15.75" customHeight="1" x14ac:dyDescent="0.4">
      <c r="A71" s="447">
        <v>45283</v>
      </c>
      <c r="B71" s="331">
        <v>117.38</v>
      </c>
      <c r="C71" s="331">
        <v>85.92</v>
      </c>
      <c r="D71" s="331">
        <v>57.7</v>
      </c>
      <c r="E71" s="331">
        <v>34.18</v>
      </c>
      <c r="F71" s="448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</row>
    <row r="72" spans="1:29" ht="15.75" customHeight="1" x14ac:dyDescent="0.4">
      <c r="A72" s="447">
        <v>45315</v>
      </c>
      <c r="B72" s="331">
        <v>125.85</v>
      </c>
      <c r="C72" s="331">
        <v>87.36</v>
      </c>
      <c r="D72" s="331">
        <v>58.56</v>
      </c>
      <c r="E72" s="331">
        <v>37.090000000000003</v>
      </c>
      <c r="F72" s="448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</row>
    <row r="73" spans="1:29" ht="15.75" customHeight="1" x14ac:dyDescent="0.4">
      <c r="A73" s="447">
        <v>45346</v>
      </c>
      <c r="B73" s="331">
        <v>125.95</v>
      </c>
      <c r="C73" s="331">
        <v>87.65</v>
      </c>
      <c r="D73" s="331">
        <v>57.86</v>
      </c>
      <c r="E73" s="331">
        <v>37.54</v>
      </c>
      <c r="F73" s="448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</row>
    <row r="74" spans="1:29" ht="15.75" customHeight="1" x14ac:dyDescent="0.4">
      <c r="A74" s="447">
        <v>45375</v>
      </c>
      <c r="B74" s="331">
        <v>109.77</v>
      </c>
      <c r="C74" s="331">
        <v>88.77</v>
      </c>
      <c r="D74" s="331">
        <v>56.83</v>
      </c>
      <c r="E74" s="331">
        <v>37.6</v>
      </c>
      <c r="F74" s="448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</row>
    <row r="75" spans="1:29" ht="15.75" customHeight="1" x14ac:dyDescent="0.4">
      <c r="A75" s="447">
        <v>45406</v>
      </c>
      <c r="B75" s="331">
        <v>121.13</v>
      </c>
      <c r="C75" s="331">
        <v>86.93</v>
      </c>
      <c r="D75" s="331">
        <v>57.17</v>
      </c>
      <c r="E75" s="331">
        <v>36.32</v>
      </c>
      <c r="F75" s="448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</row>
    <row r="76" spans="1:29" ht="15.75" customHeight="1" x14ac:dyDescent="0.4">
      <c r="A76" s="447">
        <v>45436</v>
      </c>
      <c r="B76" s="331">
        <v>114.06</v>
      </c>
      <c r="C76" s="331">
        <v>91.77</v>
      </c>
      <c r="D76" s="331">
        <v>56.52</v>
      </c>
      <c r="E76" s="331">
        <v>36.39</v>
      </c>
      <c r="F76" s="448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</row>
    <row r="77" spans="1:29" ht="15.75" customHeight="1" x14ac:dyDescent="0.4">
      <c r="A77" s="447">
        <v>45467</v>
      </c>
      <c r="B77" s="331">
        <v>123</v>
      </c>
      <c r="C77" s="331">
        <v>88.65</v>
      </c>
      <c r="D77" s="331">
        <v>54.79</v>
      </c>
      <c r="E77" s="331">
        <v>35.82</v>
      </c>
      <c r="F77" s="448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</row>
    <row r="78" spans="1:29" ht="15.75" customHeight="1" x14ac:dyDescent="0.4">
      <c r="A78" s="447">
        <v>45497</v>
      </c>
      <c r="B78" s="331">
        <v>130.44</v>
      </c>
      <c r="C78" s="331">
        <v>91.85</v>
      </c>
      <c r="D78" s="331">
        <v>56.09</v>
      </c>
      <c r="E78" s="331">
        <v>36.22</v>
      </c>
      <c r="F78" s="448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</row>
    <row r="79" spans="1:29" ht="15.75" customHeight="1" x14ac:dyDescent="0.4">
      <c r="A79" s="447">
        <v>45528</v>
      </c>
      <c r="B79" s="331">
        <v>115.29</v>
      </c>
      <c r="C79" s="331">
        <v>86.2</v>
      </c>
      <c r="D79" s="331">
        <v>54.63</v>
      </c>
      <c r="E79" s="331">
        <v>35.619999999999997</v>
      </c>
      <c r="F79" s="448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</row>
    <row r="80" spans="1:29" ht="15.75" customHeight="1" x14ac:dyDescent="0.4">
      <c r="A80" s="447">
        <v>45559</v>
      </c>
      <c r="B80" s="331">
        <v>125.15</v>
      </c>
      <c r="C80" s="331">
        <v>85.01</v>
      </c>
      <c r="D80" s="331">
        <v>53.26</v>
      </c>
      <c r="E80" s="331">
        <v>35.89</v>
      </c>
      <c r="F80" s="448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</row>
    <row r="81" spans="1:29" ht="15.75" customHeight="1" x14ac:dyDescent="0.4">
      <c r="A81" s="447">
        <v>45589</v>
      </c>
      <c r="B81" s="331">
        <v>131.16999999999999</v>
      </c>
      <c r="C81" s="331">
        <v>79.69</v>
      </c>
      <c r="D81" s="331">
        <v>52.41</v>
      </c>
      <c r="E81" s="331">
        <v>34.67</v>
      </c>
      <c r="F81" s="448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</row>
    <row r="82" spans="1:29" ht="15.75" customHeight="1" x14ac:dyDescent="0.4">
      <c r="A82" s="447">
        <v>45620</v>
      </c>
      <c r="B82" s="331">
        <v>114.43</v>
      </c>
      <c r="C82" s="331">
        <v>83.46</v>
      </c>
      <c r="D82" s="331">
        <v>51.91</v>
      </c>
      <c r="E82" s="331">
        <v>35.57</v>
      </c>
      <c r="F82" s="448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</row>
    <row r="83" spans="1:29" ht="15.75" customHeight="1" x14ac:dyDescent="0.4">
      <c r="A83" s="447">
        <v>45650</v>
      </c>
      <c r="B83" s="331">
        <v>122.51</v>
      </c>
      <c r="C83" s="331">
        <v>81.59</v>
      </c>
      <c r="D83" s="331">
        <v>51.78</v>
      </c>
      <c r="E83" s="331">
        <v>35.28</v>
      </c>
      <c r="F83" s="448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</row>
    <row r="84" spans="1:29" ht="15.75" customHeight="1" x14ac:dyDescent="0.4">
      <c r="A84" s="447">
        <v>45658</v>
      </c>
      <c r="B84" s="120">
        <v>124.24</v>
      </c>
      <c r="C84" s="120">
        <v>82.26</v>
      </c>
      <c r="D84" s="120">
        <v>52.75</v>
      </c>
      <c r="E84" s="120">
        <v>34.380000000000003</v>
      </c>
      <c r="F84" s="448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</row>
    <row r="85" spans="1:29" ht="15.75" customHeight="1" x14ac:dyDescent="0.4">
      <c r="A85" s="447">
        <v>45689</v>
      </c>
      <c r="B85" s="120">
        <v>124.01</v>
      </c>
      <c r="C85" s="120">
        <v>83.95</v>
      </c>
      <c r="D85" s="120">
        <v>50.52</v>
      </c>
      <c r="E85" s="120">
        <v>34.700000000000003</v>
      </c>
      <c r="F85" s="448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</row>
    <row r="86" spans="1:29" ht="15.75" customHeight="1" x14ac:dyDescent="0.4">
      <c r="A86" s="449">
        <v>45717</v>
      </c>
      <c r="B86" s="120">
        <v>128.24</v>
      </c>
      <c r="C86" s="120">
        <v>82.66</v>
      </c>
      <c r="D86" s="331">
        <v>50.7</v>
      </c>
      <c r="E86" s="120">
        <v>34.14</v>
      </c>
      <c r="F86" s="448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</row>
    <row r="87" spans="1:29" ht="15.75" customHeight="1" x14ac:dyDescent="0.4">
      <c r="A87" s="449">
        <v>45731</v>
      </c>
      <c r="B87" s="120">
        <v>117.76</v>
      </c>
      <c r="C87" s="120">
        <v>80.7</v>
      </c>
      <c r="D87" s="120">
        <v>49.44</v>
      </c>
      <c r="E87" s="120">
        <v>33.17</v>
      </c>
      <c r="F87" s="448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</row>
    <row r="88" spans="1:29" ht="15.75" customHeight="1" x14ac:dyDescent="0.4">
      <c r="A88" s="449">
        <v>45748</v>
      </c>
      <c r="B88" s="120">
        <v>123.32</v>
      </c>
      <c r="C88" s="120">
        <v>78.400000000000006</v>
      </c>
      <c r="D88" s="120">
        <v>49.54</v>
      </c>
      <c r="E88" s="120">
        <v>32.71</v>
      </c>
      <c r="F88" s="448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</row>
    <row r="89" spans="1:29" ht="15.75" customHeight="1" x14ac:dyDescent="0.4">
      <c r="A89" s="449">
        <v>45762</v>
      </c>
      <c r="B89" s="120">
        <v>120.2</v>
      </c>
      <c r="C89" s="120">
        <v>78.459999999999994</v>
      </c>
      <c r="D89" s="120">
        <v>50.07</v>
      </c>
      <c r="E89" s="120">
        <v>34.32</v>
      </c>
      <c r="F89" s="448"/>
      <c r="G89" s="121"/>
      <c r="H89" s="121"/>
      <c r="I89" s="121"/>
      <c r="J89" s="121"/>
      <c r="K89" s="121"/>
      <c r="L89" s="121"/>
      <c r="M89" s="121"/>
      <c r="N89" s="121"/>
      <c r="O89" s="143"/>
      <c r="P89" s="144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</row>
    <row r="90" spans="1:29" ht="15.75" customHeight="1" x14ac:dyDescent="0.4">
      <c r="A90" s="449">
        <v>45778</v>
      </c>
      <c r="B90" s="120">
        <v>121.15</v>
      </c>
      <c r="C90" s="120">
        <v>80.8</v>
      </c>
      <c r="D90" s="120">
        <v>50.43</v>
      </c>
      <c r="E90" s="120">
        <v>34.729999999999997</v>
      </c>
      <c r="F90" s="448"/>
      <c r="G90" s="121"/>
      <c r="H90" s="121"/>
      <c r="I90" s="121"/>
      <c r="J90" s="121"/>
      <c r="K90" s="121"/>
      <c r="L90" s="121"/>
      <c r="M90" s="121"/>
      <c r="N90" s="121"/>
      <c r="O90" s="143"/>
      <c r="P90" s="144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</row>
    <row r="91" spans="1:29" ht="15.75" customHeight="1" x14ac:dyDescent="0.4">
      <c r="A91" s="449">
        <v>45792</v>
      </c>
      <c r="B91" s="120">
        <v>110.38</v>
      </c>
      <c r="C91" s="120">
        <v>76.62</v>
      </c>
      <c r="D91" s="120">
        <v>50.58</v>
      </c>
      <c r="E91" s="120">
        <v>35.42</v>
      </c>
      <c r="F91" s="448"/>
      <c r="G91" s="121"/>
      <c r="H91" s="121"/>
      <c r="I91" s="121"/>
      <c r="J91" s="121"/>
      <c r="K91" s="121"/>
      <c r="L91" s="121"/>
      <c r="M91" s="121"/>
      <c r="N91" s="121"/>
      <c r="O91" s="143"/>
      <c r="P91" s="144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</row>
    <row r="92" spans="1:29" ht="15.75" customHeight="1" x14ac:dyDescent="0.4">
      <c r="A92" s="449">
        <v>45809</v>
      </c>
      <c r="B92" s="120">
        <v>100.97</v>
      </c>
      <c r="C92" s="120">
        <v>77.59</v>
      </c>
      <c r="D92" s="120">
        <v>50.08</v>
      </c>
      <c r="E92" s="120">
        <v>35.47</v>
      </c>
      <c r="F92" s="448"/>
      <c r="G92" s="121">
        <f>(0.7*(SUM(B90:B91)/2))+(0.3*(SUM(B88:B91)/4))</f>
        <v>116.66425</v>
      </c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</row>
    <row r="93" spans="1:29" ht="15.75" customHeight="1" x14ac:dyDescent="0.4">
      <c r="A93" s="449">
        <v>45823</v>
      </c>
      <c r="B93" s="450">
        <v>98.61</v>
      </c>
      <c r="C93" s="120">
        <v>75.64</v>
      </c>
      <c r="D93" s="450">
        <v>50.25</v>
      </c>
      <c r="E93" s="120">
        <v>36.14</v>
      </c>
      <c r="F93" s="448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</row>
    <row r="94" spans="1:29" ht="15.75" customHeight="1" x14ac:dyDescent="0.4">
      <c r="A94" s="451">
        <v>45839</v>
      </c>
      <c r="B94" s="452">
        <v>107.35</v>
      </c>
      <c r="C94" s="149">
        <v>71.5</v>
      </c>
      <c r="D94" s="452">
        <v>49.78</v>
      </c>
      <c r="E94" s="453">
        <v>35.869999999999997</v>
      </c>
      <c r="F94" s="448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</row>
    <row r="95" spans="1:29" ht="15.75" customHeight="1" x14ac:dyDescent="0.4">
      <c r="A95" s="477"/>
      <c r="B95" s="465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</row>
    <row r="96" spans="1:29" ht="15.75" customHeight="1" x14ac:dyDescent="0.4">
      <c r="A96" s="478" t="s">
        <v>90</v>
      </c>
      <c r="B96" s="463"/>
      <c r="C96" s="481" t="s">
        <v>91</v>
      </c>
      <c r="D96" s="468"/>
      <c r="E96" s="468"/>
      <c r="F96" s="468"/>
      <c r="G96" s="469"/>
      <c r="H96" s="150" t="s">
        <v>92</v>
      </c>
      <c r="I96" s="150" t="s">
        <v>92</v>
      </c>
      <c r="J96" s="150" t="s">
        <v>93</v>
      </c>
      <c r="K96" s="150" t="s">
        <v>93</v>
      </c>
      <c r="L96" s="454" t="s">
        <v>93</v>
      </c>
      <c r="M96" s="151" t="s">
        <v>94</v>
      </c>
      <c r="N96" s="151" t="s">
        <v>95</v>
      </c>
      <c r="O96" s="151" t="s">
        <v>96</v>
      </c>
      <c r="P96" s="152" t="s">
        <v>97</v>
      </c>
      <c r="Q96" s="152" t="s">
        <v>97</v>
      </c>
      <c r="R96" s="153" t="s">
        <v>98</v>
      </c>
      <c r="S96" s="153" t="s">
        <v>99</v>
      </c>
      <c r="T96" s="455" t="s">
        <v>271</v>
      </c>
      <c r="U96" s="455" t="s">
        <v>100</v>
      </c>
      <c r="V96" s="155" t="s">
        <v>103</v>
      </c>
      <c r="W96" s="155"/>
      <c r="X96" s="156" t="s">
        <v>104</v>
      </c>
      <c r="Y96" s="156" t="s">
        <v>105</v>
      </c>
      <c r="Z96" s="121"/>
      <c r="AA96" s="121"/>
      <c r="AB96" s="121"/>
      <c r="AC96" s="121"/>
    </row>
    <row r="97" spans="1:29" ht="15.75" customHeight="1" x14ac:dyDescent="0.4">
      <c r="A97" s="479"/>
      <c r="B97" s="480"/>
      <c r="C97" s="158" t="s">
        <v>71</v>
      </c>
      <c r="D97" s="158" t="s">
        <v>108</v>
      </c>
      <c r="E97" s="158" t="s">
        <v>109</v>
      </c>
      <c r="F97" s="158" t="s">
        <v>110</v>
      </c>
      <c r="G97" s="158" t="s">
        <v>111</v>
      </c>
      <c r="H97" s="159" t="s">
        <v>112</v>
      </c>
      <c r="I97" s="158" t="s">
        <v>113</v>
      </c>
      <c r="J97" s="160" t="s">
        <v>114</v>
      </c>
      <c r="K97" s="160" t="s">
        <v>115</v>
      </c>
      <c r="L97" s="456" t="s">
        <v>272</v>
      </c>
      <c r="M97" s="160"/>
      <c r="N97" s="160"/>
      <c r="O97" s="160"/>
      <c r="P97" s="161"/>
      <c r="Q97" s="457" t="s">
        <v>272</v>
      </c>
      <c r="R97" s="162" t="s">
        <v>116</v>
      </c>
      <c r="S97" s="162" t="s">
        <v>117</v>
      </c>
      <c r="T97" s="458" t="s">
        <v>273</v>
      </c>
      <c r="U97" s="458"/>
      <c r="V97" s="164" t="s">
        <v>119</v>
      </c>
      <c r="W97" s="164" t="s">
        <v>102</v>
      </c>
      <c r="X97" s="165" t="s">
        <v>120</v>
      </c>
      <c r="Y97" s="165" t="s">
        <v>120</v>
      </c>
      <c r="Z97" s="167"/>
      <c r="AA97" s="167"/>
      <c r="AB97" s="167"/>
      <c r="AC97" s="167"/>
    </row>
    <row r="98" spans="1:29" ht="36.75" customHeight="1" x14ac:dyDescent="0.4">
      <c r="A98" s="168" t="s">
        <v>274</v>
      </c>
      <c r="B98" s="169"/>
      <c r="C98" s="170">
        <v>3800</v>
      </c>
      <c r="D98" s="210">
        <v>41</v>
      </c>
      <c r="E98" s="210">
        <v>15</v>
      </c>
      <c r="F98" s="210">
        <v>0.6</v>
      </c>
      <c r="G98" s="210">
        <v>6</v>
      </c>
      <c r="H98" s="172">
        <f t="shared" ref="H98:H101" si="0">((100-D98)/(100-E98))*F98</f>
        <v>0.41647058823529409</v>
      </c>
      <c r="I98" s="172">
        <f t="shared" ref="I98:I101" si="1">((100-D98)/(100-E98))*G98</f>
        <v>4.1647058823529406</v>
      </c>
      <c r="J98" s="172" t="str">
        <f t="shared" ref="J98:J99" si="2">IF(C98&gt;6000,"HBA 0",IF(C98&gt;5300,"HBA I",IF(C98&gt;4100,"HBA II","HBA III")))</f>
        <v>HBA III</v>
      </c>
      <c r="K98" s="172">
        <f t="array" ref="K98">IF(J98="", "", INDEX($B$60:$E$94, MATCH(DATE(2025,7,1), $A$60:$A$94, 0), MATCH(J98, $B$23:$E$23, 0)))</f>
        <v>35.869999999999997</v>
      </c>
      <c r="L98" s="172">
        <f>0.7*(SUM(E91:E92)/2)+0.3*(SUM(E92:E93)/2)</f>
        <v>35.552999999999997</v>
      </c>
      <c r="M98" s="172">
        <f t="shared" ref="M98:M101" si="3">IF(J98="HBA 0", K98*C98/6322*((100 - D98)/(100 - 12.26)), IF(J98="HBA I", K98*C98/5300*((100 - D98)/(100 - 21.32)), IF(J98="HBA II", K98*C98/4100*((100 - D98)/(100 - 35.73)), IF(J98="HBA III", K98*C98/3400*((100 - D98)/((100 - 44.3)/N98)), ""))))</f>
        <v>46.258245960502698</v>
      </c>
      <c r="N98" s="459">
        <f t="shared" ref="N98:N101" si="4">IF(C98&lt;=3400, (((100 - 44.3)/(100 - D98))*D98 + (100 - 44.3))/100, IF(C98&lt;4100, (((100 - 35.73)/(100 - D98))*D98 + (100 - 35.73))/100, ""))</f>
        <v>1.0893220338983052</v>
      </c>
      <c r="O98" s="174">
        <f t="shared" ref="O98:O101" si="5">IF(J98="HBA 0", (H98 - 0.66)*4 + (I98 - 7.94)*0.4, IF(J98="HBA I", (H98 - 0.75)*4 + (I98 - 6.04)*0.4, IF(J98="HBA II", (H98 - 0.23)*4 + (I98 - 3.9)*0.4, IF(J98="HBA III", (H98 - 0.24)*4 + (I98 - 3.88)*0.4, ""))))</f>
        <v>0.81976470588235273</v>
      </c>
      <c r="P98" s="175">
        <f>IF(C98&gt;5999,K98*C98/6322*((100 - D98)/(100 - 12.26)) - O98,IF(C98&gt;5299,K98*C98/5300*((100 - D98)/(100 - 21.32)) - O98,IF(C98&gt;3999,K98*C98/4100*((100 - D98)/(100 - 35.73)) - O98,IF(C98&gt;3399,K98*C98/4100*((100 - D98)/(100 - (35.73/N98))) - O98,K98*C98/3400*((100 - D98)/((100 - 44.3)/N98)) - O98))))</f>
        <v>28.36896957354875</v>
      </c>
      <c r="Q98" s="175">
        <f t="shared" ref="Q98:Q101" si="6">IF(C98&gt;5999,L98*C98/6322*((100 - D98)/(100 - 12.26)) - O98,IF(C98&gt;5299,L98*C98/5300*((100 - D98)/(100 - 21.32)) - O98,IF(C98&gt;3999,L98*C98/4100*((100 - D98)/(100 - 35.73)) - O98,IF(C98&gt;3399,L98*C98/4100*((100 - D98)/(100 - (35.73/N98))) - O98,L98*C98/3400*((100 - D98)/((100 - 44.3)/N98)) - O98))))</f>
        <v>28.111015049808028</v>
      </c>
      <c r="R98" s="176"/>
      <c r="S98" s="177"/>
      <c r="T98" s="176">
        <v>0</v>
      </c>
      <c r="U98" s="178" t="e">
        <f>((#REF!*50%)+(#REF!*50%))+T98</f>
        <v>#REF!</v>
      </c>
      <c r="V98" s="179"/>
      <c r="W98" s="179"/>
      <c r="X98" s="179"/>
      <c r="Y98" s="179"/>
      <c r="Z98" s="180"/>
      <c r="AA98" s="180"/>
      <c r="AB98" s="180"/>
      <c r="AC98" s="180"/>
    </row>
    <row r="99" spans="1:29" ht="36.75" customHeight="1" x14ac:dyDescent="0.4">
      <c r="A99" s="168" t="s">
        <v>274</v>
      </c>
      <c r="B99" s="169"/>
      <c r="C99" s="181">
        <v>3700</v>
      </c>
      <c r="D99" s="210">
        <v>41</v>
      </c>
      <c r="E99" s="210">
        <v>15</v>
      </c>
      <c r="F99" s="210">
        <v>0.6</v>
      </c>
      <c r="G99" s="210">
        <v>6</v>
      </c>
      <c r="H99" s="183">
        <f t="shared" si="0"/>
        <v>0.41647058823529409</v>
      </c>
      <c r="I99" s="183">
        <f t="shared" si="1"/>
        <v>4.1647058823529406</v>
      </c>
      <c r="J99" s="183" t="str">
        <f t="shared" si="2"/>
        <v>HBA III</v>
      </c>
      <c r="K99" s="172">
        <f t="array" ref="K99">IF(J99="", "", INDEX($B$60:$E$94, MATCH(DATE(2025,7,1), $A$60:$A$94, 0), MATCH(J99, $B$23:$E$23, 0)))</f>
        <v>35.869999999999997</v>
      </c>
      <c r="L99" s="172">
        <f>0.7*(SUM(E91:E92)/2)+0.3*(SUM(E92:E93)/2)</f>
        <v>35.552999999999997</v>
      </c>
      <c r="M99" s="183">
        <f t="shared" si="3"/>
        <v>45.040923698384198</v>
      </c>
      <c r="N99" s="460">
        <f t="shared" si="4"/>
        <v>1.0893220338983052</v>
      </c>
      <c r="O99" s="185">
        <f t="shared" si="5"/>
        <v>0.81976470588235273</v>
      </c>
      <c r="P99" s="175">
        <f t="shared" ref="P99:P101" si="7">IF(C99&gt;5999,K99*C99/6322*((100 - D99)/(100 - 12.26)) - O99,IF(C99&gt;5299,K99*C99/5299*((100 - D99)/(100 - 21.32)) - O99,IF(C99&gt;3999,K99*C99/4100*((100 - D99)/(100 - 35.73)) - O99,IF(C99&gt;3399,K99*C99/4100*((100 - D99)/(100 - (35.73/N99))) - O99,K99*C99/3400*((100 - D99)/((100 - 44.3)/N99)) - O99))))</f>
        <v>27.600844987247932</v>
      </c>
      <c r="Q99" s="175">
        <f t="shared" si="6"/>
        <v>27.349678740447754</v>
      </c>
      <c r="R99" s="186"/>
      <c r="S99" s="187"/>
      <c r="T99" s="176">
        <v>0</v>
      </c>
      <c r="U99" s="178" t="e">
        <f t="shared" ref="U99:U100" si="8">(((#REF!*50%)+(#REF!*50%))*C99/5400)+T99</f>
        <v>#REF!</v>
      </c>
      <c r="V99" s="179"/>
      <c r="W99" s="179"/>
      <c r="X99" s="179"/>
      <c r="Y99" s="179"/>
      <c r="Z99" s="180"/>
      <c r="AA99" s="180"/>
      <c r="AB99" s="180"/>
      <c r="AC99" s="180"/>
    </row>
    <row r="100" spans="1:29" ht="36.75" customHeight="1" x14ac:dyDescent="0.4">
      <c r="A100" s="168" t="s">
        <v>274</v>
      </c>
      <c r="B100" s="169"/>
      <c r="C100" s="181">
        <v>3650</v>
      </c>
      <c r="D100" s="210">
        <v>41</v>
      </c>
      <c r="E100" s="210">
        <v>15</v>
      </c>
      <c r="F100" s="210">
        <v>0.6</v>
      </c>
      <c r="G100" s="210">
        <v>6</v>
      </c>
      <c r="H100" s="183">
        <f t="shared" si="0"/>
        <v>0.41647058823529409</v>
      </c>
      <c r="I100" s="183">
        <f t="shared" si="1"/>
        <v>4.1647058823529406</v>
      </c>
      <c r="J100" s="183" t="str">
        <f t="shared" ref="J100:J101" si="9">IF(C100&gt;5999,"HBA 0",IF(C100&gt;5299,"HBA I",IF(C100&gt;4099,"HBA II","HBA III")))</f>
        <v>HBA III</v>
      </c>
      <c r="K100" s="172">
        <f t="array" ref="K100">IF(J100="", "", INDEX($B$60:$E$94, MATCH(DATE(2025,7,1), $A$60:$A$94, 0), MATCH(J100, $B$23:$E$23, 0)))</f>
        <v>35.869999999999997</v>
      </c>
      <c r="L100" s="172">
        <f>0.7*(SUM(E91:E92)/2)+0.3*(SUM(E92:E93)/2)</f>
        <v>35.552999999999997</v>
      </c>
      <c r="M100" s="183">
        <f t="shared" si="3"/>
        <v>44.432262567324948</v>
      </c>
      <c r="N100" s="460">
        <f t="shared" si="4"/>
        <v>1.0893220338983052</v>
      </c>
      <c r="O100" s="185">
        <f t="shared" si="5"/>
        <v>0.81976470588235273</v>
      </c>
      <c r="P100" s="175">
        <f t="shared" si="7"/>
        <v>27.216782694097525</v>
      </c>
      <c r="Q100" s="175">
        <f t="shared" si="6"/>
        <v>26.96901058576762</v>
      </c>
      <c r="R100" s="186"/>
      <c r="S100" s="187"/>
      <c r="T100" s="176">
        <v>0</v>
      </c>
      <c r="U100" s="178" t="e">
        <f t="shared" si="8"/>
        <v>#REF!</v>
      </c>
      <c r="V100" s="179"/>
      <c r="W100" s="179"/>
      <c r="X100" s="179"/>
      <c r="Y100" s="179"/>
      <c r="Z100" s="180"/>
      <c r="AA100" s="180"/>
      <c r="AB100" s="180"/>
      <c r="AC100" s="180"/>
    </row>
    <row r="101" spans="1:29" ht="36.75" customHeight="1" x14ac:dyDescent="0.4">
      <c r="A101" s="168" t="s">
        <v>274</v>
      </c>
      <c r="B101" s="169"/>
      <c r="C101" s="181">
        <v>3600</v>
      </c>
      <c r="D101" s="210">
        <v>41</v>
      </c>
      <c r="E101" s="210">
        <v>15</v>
      </c>
      <c r="F101" s="210">
        <v>0.6</v>
      </c>
      <c r="G101" s="210">
        <v>6</v>
      </c>
      <c r="H101" s="183">
        <f t="shared" si="0"/>
        <v>0.41647058823529409</v>
      </c>
      <c r="I101" s="183">
        <f t="shared" si="1"/>
        <v>4.1647058823529406</v>
      </c>
      <c r="J101" s="183" t="str">
        <f t="shared" si="9"/>
        <v>HBA III</v>
      </c>
      <c r="K101" s="172">
        <f t="array" ref="K101">IF(J101="", "", INDEX($B$60:$E$94, MATCH(DATE(2025,7,1), $A$60:$A$94, 0), MATCH(J101, $B$23:$E$23, 0)))</f>
        <v>35.869999999999997</v>
      </c>
      <c r="L101" s="172">
        <f>0.7*(SUM(E91:E92)/2)+0.3*(SUM(E92:E93)/2)</f>
        <v>35.552999999999997</v>
      </c>
      <c r="M101" s="183">
        <f t="shared" si="3"/>
        <v>43.823601436265712</v>
      </c>
      <c r="N101" s="460">
        <f t="shared" si="4"/>
        <v>1.0893220338983052</v>
      </c>
      <c r="O101" s="185">
        <f t="shared" si="5"/>
        <v>0.81976470588235273</v>
      </c>
      <c r="P101" s="175">
        <f t="shared" si="7"/>
        <v>26.832720400947114</v>
      </c>
      <c r="Q101" s="175">
        <f t="shared" si="6"/>
        <v>26.588342431087483</v>
      </c>
      <c r="R101" s="186"/>
      <c r="S101" s="187"/>
      <c r="T101" s="176"/>
      <c r="U101" s="178"/>
      <c r="V101" s="179"/>
      <c r="W101" s="179"/>
      <c r="X101" s="179"/>
      <c r="Y101" s="179"/>
      <c r="Z101" s="180"/>
      <c r="AA101" s="180"/>
      <c r="AB101" s="180"/>
      <c r="AC101" s="180"/>
    </row>
    <row r="102" spans="1:29" ht="36.75" customHeight="1" x14ac:dyDescent="0.4">
      <c r="A102" s="168"/>
      <c r="B102" s="169"/>
      <c r="C102" s="181"/>
      <c r="D102" s="182"/>
      <c r="E102" s="182"/>
      <c r="F102" s="182"/>
      <c r="G102" s="182"/>
      <c r="H102" s="183"/>
      <c r="I102" s="183"/>
      <c r="J102" s="183"/>
      <c r="K102" s="172"/>
      <c r="L102" s="172"/>
      <c r="M102" s="183"/>
      <c r="N102" s="184"/>
      <c r="O102" s="185"/>
      <c r="P102" s="175"/>
      <c r="Q102" s="175"/>
      <c r="R102" s="186"/>
      <c r="S102" s="187"/>
      <c r="T102" s="186"/>
      <c r="U102" s="178"/>
      <c r="V102" s="179"/>
      <c r="W102" s="179"/>
      <c r="X102" s="179"/>
      <c r="Y102" s="179"/>
      <c r="Z102" s="180"/>
      <c r="AA102" s="180"/>
      <c r="AB102" s="180"/>
      <c r="AC102" s="180"/>
    </row>
    <row r="103" spans="1:29" ht="36.75" customHeight="1" x14ac:dyDescent="0.4">
      <c r="A103" s="168"/>
      <c r="B103" s="169"/>
      <c r="C103" s="181"/>
      <c r="D103" s="182"/>
      <c r="E103" s="182"/>
      <c r="F103" s="182"/>
      <c r="G103" s="182"/>
      <c r="H103" s="183"/>
      <c r="I103" s="183"/>
      <c r="J103" s="183"/>
      <c r="K103" s="172"/>
      <c r="L103" s="172"/>
      <c r="M103" s="183"/>
      <c r="N103" s="188"/>
      <c r="O103" s="185"/>
      <c r="P103" s="175"/>
      <c r="Q103" s="175"/>
      <c r="R103" s="182"/>
      <c r="S103" s="189"/>
      <c r="T103" s="186"/>
      <c r="U103" s="178"/>
      <c r="V103" s="179"/>
      <c r="W103" s="179"/>
      <c r="X103" s="179"/>
      <c r="Y103" s="179"/>
      <c r="Z103" s="180"/>
      <c r="AA103" s="180"/>
      <c r="AB103" s="180"/>
      <c r="AC103" s="180"/>
    </row>
    <row r="104" spans="1:29" ht="36.75" customHeight="1" x14ac:dyDescent="0.4">
      <c r="A104" s="168"/>
      <c r="B104" s="169"/>
      <c r="C104" s="181"/>
      <c r="D104" s="182"/>
      <c r="E104" s="182"/>
      <c r="F104" s="182"/>
      <c r="G104" s="182"/>
      <c r="H104" s="183"/>
      <c r="I104" s="183"/>
      <c r="J104" s="190"/>
      <c r="K104" s="172"/>
      <c r="L104" s="172"/>
      <c r="M104" s="183"/>
      <c r="N104" s="188"/>
      <c r="O104" s="185"/>
      <c r="P104" s="175"/>
      <c r="Q104" s="175"/>
      <c r="R104" s="182"/>
      <c r="S104" s="191"/>
      <c r="T104" s="186"/>
      <c r="U104" s="178"/>
      <c r="V104" s="179"/>
      <c r="W104" s="179"/>
      <c r="X104" s="179"/>
      <c r="Y104" s="179"/>
      <c r="Z104" s="180"/>
      <c r="AA104" s="180"/>
      <c r="AB104" s="180"/>
      <c r="AC104" s="180"/>
    </row>
    <row r="105" spans="1:29" ht="36.75" hidden="1" customHeight="1" x14ac:dyDescent="0.4">
      <c r="A105" s="168"/>
      <c r="B105" s="169"/>
      <c r="C105" s="181"/>
      <c r="D105" s="182"/>
      <c r="E105" s="182"/>
      <c r="F105" s="182"/>
      <c r="G105" s="182"/>
      <c r="H105" s="183"/>
      <c r="I105" s="192"/>
      <c r="J105" s="192"/>
      <c r="K105" s="172"/>
      <c r="L105" s="172"/>
      <c r="M105" s="183"/>
      <c r="N105" s="188"/>
      <c r="O105" s="185"/>
      <c r="P105" s="175"/>
      <c r="Q105" s="175"/>
      <c r="R105" s="182"/>
      <c r="S105" s="191"/>
      <c r="T105" s="186"/>
      <c r="U105" s="178"/>
      <c r="V105" s="179"/>
      <c r="W105" s="179"/>
      <c r="X105" s="179"/>
      <c r="Y105" s="179"/>
      <c r="Z105" s="180"/>
      <c r="AA105" s="180"/>
      <c r="AB105" s="180"/>
      <c r="AC105" s="180"/>
    </row>
    <row r="106" spans="1:29" ht="36.75" customHeight="1" x14ac:dyDescent="0.4">
      <c r="A106" s="168"/>
      <c r="B106" s="169"/>
      <c r="C106" s="181"/>
      <c r="D106" s="182"/>
      <c r="E106" s="182"/>
      <c r="F106" s="182"/>
      <c r="G106" s="182"/>
      <c r="H106" s="183"/>
      <c r="I106" s="183"/>
      <c r="J106" s="192"/>
      <c r="K106" s="172"/>
      <c r="L106" s="172"/>
      <c r="M106" s="183"/>
      <c r="N106" s="188"/>
      <c r="O106" s="185"/>
      <c r="P106" s="175"/>
      <c r="Q106" s="175"/>
      <c r="R106" s="182"/>
      <c r="S106" s="191"/>
      <c r="T106" s="186"/>
      <c r="U106" s="178"/>
      <c r="V106" s="179"/>
      <c r="W106" s="179"/>
      <c r="X106" s="179"/>
      <c r="Y106" s="179"/>
      <c r="Z106" s="180"/>
      <c r="AA106" s="180"/>
      <c r="AB106" s="180"/>
      <c r="AC106" s="180"/>
    </row>
    <row r="107" spans="1:29" ht="36.75" customHeight="1" x14ac:dyDescent="0.4">
      <c r="A107" s="168"/>
      <c r="B107" s="169"/>
      <c r="C107" s="181"/>
      <c r="D107" s="182"/>
      <c r="E107" s="182"/>
      <c r="F107" s="182"/>
      <c r="G107" s="182"/>
      <c r="H107" s="183"/>
      <c r="I107" s="192"/>
      <c r="J107" s="192"/>
      <c r="K107" s="172"/>
      <c r="L107" s="172"/>
      <c r="M107" s="183"/>
      <c r="N107" s="188"/>
      <c r="O107" s="185"/>
      <c r="P107" s="175"/>
      <c r="Q107" s="175"/>
      <c r="R107" s="193"/>
      <c r="S107" s="191"/>
      <c r="T107" s="186"/>
      <c r="U107" s="194"/>
      <c r="V107" s="195"/>
      <c r="W107" s="195"/>
      <c r="X107" s="195"/>
      <c r="Y107" s="195"/>
      <c r="Z107" s="180"/>
      <c r="AA107" s="180"/>
      <c r="AB107" s="180"/>
      <c r="AC107" s="180"/>
    </row>
    <row r="108" spans="1:29" ht="36.75" customHeight="1" x14ac:dyDescent="0.4">
      <c r="A108" s="168"/>
      <c r="B108" s="169"/>
      <c r="C108" s="181"/>
      <c r="D108" s="182"/>
      <c r="E108" s="182"/>
      <c r="F108" s="182"/>
      <c r="G108" s="182"/>
      <c r="H108" s="183"/>
      <c r="I108" s="192"/>
      <c r="J108" s="192"/>
      <c r="K108" s="172"/>
      <c r="L108" s="172"/>
      <c r="M108" s="183"/>
      <c r="N108" s="188"/>
      <c r="O108" s="185"/>
      <c r="P108" s="175"/>
      <c r="Q108" s="175"/>
      <c r="R108" s="193"/>
      <c r="S108" s="191"/>
      <c r="T108" s="186"/>
      <c r="U108" s="178"/>
      <c r="V108" s="179"/>
      <c r="W108" s="179"/>
      <c r="X108" s="179"/>
      <c r="Y108" s="179"/>
      <c r="Z108" s="180"/>
      <c r="AA108" s="180"/>
      <c r="AB108" s="180"/>
      <c r="AC108" s="180"/>
    </row>
    <row r="109" spans="1:29" ht="36.75" customHeight="1" x14ac:dyDescent="0.4">
      <c r="A109" s="168"/>
      <c r="B109" s="169"/>
      <c r="C109" s="181"/>
      <c r="D109" s="182"/>
      <c r="E109" s="182"/>
      <c r="F109" s="182"/>
      <c r="G109" s="182"/>
      <c r="H109" s="183"/>
      <c r="I109" s="192"/>
      <c r="J109" s="192"/>
      <c r="K109" s="172"/>
      <c r="L109" s="172"/>
      <c r="M109" s="183"/>
      <c r="N109" s="188"/>
      <c r="O109" s="185"/>
      <c r="P109" s="175"/>
      <c r="Q109" s="175"/>
      <c r="R109" s="193"/>
      <c r="S109" s="191"/>
      <c r="T109" s="186"/>
      <c r="U109" s="178"/>
      <c r="V109" s="179"/>
      <c r="W109" s="179"/>
      <c r="X109" s="179"/>
      <c r="Y109" s="179"/>
      <c r="Z109" s="180"/>
      <c r="AA109" s="180"/>
      <c r="AB109" s="180"/>
      <c r="AC109" s="180"/>
    </row>
    <row r="110" spans="1:29" ht="36.75" customHeight="1" x14ac:dyDescent="0.4">
      <c r="A110" s="168"/>
      <c r="B110" s="169"/>
      <c r="C110" s="181"/>
      <c r="D110" s="182"/>
      <c r="E110" s="182"/>
      <c r="F110" s="182"/>
      <c r="G110" s="182"/>
      <c r="H110" s="183"/>
      <c r="I110" s="192"/>
      <c r="J110" s="192"/>
      <c r="K110" s="172"/>
      <c r="L110" s="172"/>
      <c r="M110" s="183"/>
      <c r="N110" s="188"/>
      <c r="O110" s="185"/>
      <c r="P110" s="175"/>
      <c r="Q110" s="175"/>
      <c r="R110" s="193"/>
      <c r="S110" s="191"/>
      <c r="T110" s="186"/>
      <c r="U110" s="178"/>
      <c r="V110" s="179"/>
      <c r="W110" s="179"/>
      <c r="X110" s="179"/>
      <c r="Y110" s="179"/>
      <c r="Z110" s="180"/>
      <c r="AA110" s="180"/>
      <c r="AB110" s="180"/>
      <c r="AC110" s="180"/>
    </row>
    <row r="111" spans="1:29" ht="36.75" customHeight="1" x14ac:dyDescent="0.4">
      <c r="A111" s="168"/>
      <c r="B111" s="169"/>
      <c r="C111" s="181"/>
      <c r="D111" s="182"/>
      <c r="E111" s="182"/>
      <c r="F111" s="182"/>
      <c r="G111" s="182"/>
      <c r="H111" s="183"/>
      <c r="I111" s="192"/>
      <c r="J111" s="192"/>
      <c r="K111" s="196"/>
      <c r="L111" s="196"/>
      <c r="M111" s="197"/>
      <c r="N111" s="198"/>
      <c r="O111" s="199"/>
      <c r="P111" s="175"/>
      <c r="Q111" s="175"/>
      <c r="R111" s="193"/>
      <c r="S111" s="191"/>
      <c r="T111" s="186"/>
      <c r="U111" s="178"/>
      <c r="V111" s="179"/>
      <c r="W111" s="179"/>
      <c r="X111" s="179"/>
      <c r="Y111" s="179"/>
      <c r="Z111" s="180"/>
      <c r="AA111" s="180"/>
      <c r="AB111" s="180"/>
      <c r="AC111" s="180"/>
    </row>
    <row r="112" spans="1:29" ht="36.75" customHeight="1" x14ac:dyDescent="0.4">
      <c r="A112" s="168"/>
      <c r="B112" s="169"/>
      <c r="C112" s="181"/>
      <c r="D112" s="182"/>
      <c r="E112" s="182"/>
      <c r="F112" s="182"/>
      <c r="G112" s="182"/>
      <c r="H112" s="183"/>
      <c r="I112" s="192"/>
      <c r="J112" s="192"/>
      <c r="K112" s="172"/>
      <c r="L112" s="172"/>
      <c r="M112" s="183"/>
      <c r="N112" s="188"/>
      <c r="O112" s="185"/>
      <c r="P112" s="175"/>
      <c r="Q112" s="175"/>
      <c r="R112" s="193"/>
      <c r="S112" s="191"/>
      <c r="T112" s="186"/>
      <c r="U112" s="178"/>
      <c r="V112" s="179"/>
      <c r="W112" s="179"/>
      <c r="X112" s="179"/>
      <c r="Y112" s="179"/>
      <c r="Z112" s="180"/>
      <c r="AA112" s="180"/>
      <c r="AB112" s="180"/>
      <c r="AC112" s="180"/>
    </row>
    <row r="113" spans="1:29" ht="36.75" customHeight="1" x14ac:dyDescent="0.4">
      <c r="A113" s="168"/>
      <c r="B113" s="169"/>
      <c r="C113" s="170"/>
      <c r="D113" s="171"/>
      <c r="E113" s="171"/>
      <c r="F113" s="171"/>
      <c r="G113" s="171"/>
      <c r="H113" s="183"/>
      <c r="I113" s="192"/>
      <c r="J113" s="192"/>
      <c r="K113" s="172"/>
      <c r="L113" s="172"/>
      <c r="M113" s="183"/>
      <c r="N113" s="200"/>
      <c r="O113" s="185"/>
      <c r="P113" s="175"/>
      <c r="Q113" s="175"/>
      <c r="R113" s="193"/>
      <c r="S113" s="191"/>
      <c r="T113" s="186"/>
      <c r="U113" s="178"/>
      <c r="V113" s="179"/>
      <c r="W113" s="201"/>
      <c r="X113" s="201"/>
      <c r="Y113" s="201"/>
      <c r="Z113" s="180"/>
      <c r="AA113" s="180"/>
      <c r="AB113" s="180"/>
      <c r="AC113" s="180"/>
    </row>
    <row r="114" spans="1:29" ht="36.75" customHeight="1" x14ac:dyDescent="0.4">
      <c r="A114" s="168"/>
      <c r="B114" s="169"/>
      <c r="C114" s="181"/>
      <c r="D114" s="182"/>
      <c r="E114" s="182"/>
      <c r="F114" s="182"/>
      <c r="G114" s="182"/>
      <c r="H114" s="183"/>
      <c r="I114" s="192"/>
      <c r="J114" s="192"/>
      <c r="K114" s="172"/>
      <c r="L114" s="172"/>
      <c r="M114" s="183"/>
      <c r="N114" s="188"/>
      <c r="O114" s="185"/>
      <c r="P114" s="175"/>
      <c r="Q114" s="175"/>
      <c r="R114" s="193"/>
      <c r="S114" s="191"/>
      <c r="T114" s="186"/>
      <c r="U114" s="178"/>
      <c r="V114" s="179"/>
      <c r="W114" s="179"/>
      <c r="X114" s="179"/>
      <c r="Y114" s="179"/>
      <c r="Z114" s="180"/>
      <c r="AA114" s="180"/>
      <c r="AB114" s="180"/>
      <c r="AC114" s="180"/>
    </row>
    <row r="115" spans="1:29" ht="36.75" customHeight="1" x14ac:dyDescent="0.4">
      <c r="A115" s="168"/>
      <c r="B115" s="169"/>
      <c r="C115" s="181"/>
      <c r="D115" s="182"/>
      <c r="E115" s="182"/>
      <c r="F115" s="182"/>
      <c r="G115" s="182"/>
      <c r="H115" s="183"/>
      <c r="I115" s="192"/>
      <c r="J115" s="192"/>
      <c r="K115" s="172"/>
      <c r="L115" s="172"/>
      <c r="M115" s="183"/>
      <c r="N115" s="188"/>
      <c r="O115" s="185"/>
      <c r="P115" s="175"/>
      <c r="Q115" s="175"/>
      <c r="R115" s="193"/>
      <c r="S115" s="191"/>
      <c r="T115" s="186"/>
      <c r="U115" s="178"/>
      <c r="V115" s="179"/>
      <c r="W115" s="179"/>
      <c r="X115" s="179"/>
      <c r="Y115" s="179"/>
      <c r="Z115" s="180"/>
      <c r="AA115" s="180"/>
      <c r="AB115" s="180"/>
      <c r="AC115" s="180"/>
    </row>
    <row r="116" spans="1:29" ht="36.75" customHeight="1" x14ac:dyDescent="0.4">
      <c r="A116" s="168"/>
      <c r="B116" s="169"/>
      <c r="C116" s="181"/>
      <c r="D116" s="182"/>
      <c r="E116" s="182"/>
      <c r="F116" s="182"/>
      <c r="G116" s="182"/>
      <c r="H116" s="183"/>
      <c r="I116" s="192"/>
      <c r="J116" s="192"/>
      <c r="K116" s="172"/>
      <c r="L116" s="172"/>
      <c r="M116" s="183"/>
      <c r="N116" s="188"/>
      <c r="O116" s="185"/>
      <c r="P116" s="175"/>
      <c r="Q116" s="175"/>
      <c r="R116" s="193"/>
      <c r="S116" s="191"/>
      <c r="T116" s="186"/>
      <c r="U116" s="178"/>
      <c r="V116" s="179"/>
      <c r="W116" s="179"/>
      <c r="X116" s="179"/>
      <c r="Y116" s="179"/>
      <c r="Z116" s="180"/>
      <c r="AA116" s="180"/>
      <c r="AB116" s="180"/>
      <c r="AC116" s="180"/>
    </row>
    <row r="117" spans="1:29" ht="36.75" customHeight="1" x14ac:dyDescent="0.4">
      <c r="A117" s="168"/>
      <c r="B117" s="169"/>
      <c r="C117" s="181"/>
      <c r="D117" s="182"/>
      <c r="E117" s="182"/>
      <c r="F117" s="182"/>
      <c r="G117" s="182"/>
      <c r="H117" s="183"/>
      <c r="I117" s="192"/>
      <c r="J117" s="192"/>
      <c r="K117" s="172"/>
      <c r="L117" s="172"/>
      <c r="M117" s="183"/>
      <c r="N117" s="188"/>
      <c r="O117" s="185"/>
      <c r="P117" s="175"/>
      <c r="Q117" s="175"/>
      <c r="R117" s="193"/>
      <c r="S117" s="191"/>
      <c r="T117" s="186"/>
      <c r="U117" s="178"/>
      <c r="V117" s="179"/>
      <c r="W117" s="179"/>
      <c r="X117" s="179"/>
      <c r="Y117" s="179"/>
      <c r="Z117" s="180"/>
      <c r="AA117" s="180"/>
      <c r="AB117" s="180"/>
      <c r="AC117" s="180"/>
    </row>
    <row r="118" spans="1:29" ht="36.75" customHeight="1" x14ac:dyDescent="0.4">
      <c r="A118" s="168"/>
      <c r="B118" s="169"/>
      <c r="C118" s="181"/>
      <c r="D118" s="182"/>
      <c r="E118" s="182"/>
      <c r="F118" s="182"/>
      <c r="G118" s="182"/>
      <c r="H118" s="183"/>
      <c r="I118" s="192"/>
      <c r="J118" s="192"/>
      <c r="K118" s="172"/>
      <c r="L118" s="172"/>
      <c r="M118" s="183"/>
      <c r="N118" s="188"/>
      <c r="O118" s="185"/>
      <c r="P118" s="175"/>
      <c r="Q118" s="175"/>
      <c r="R118" s="193"/>
      <c r="S118" s="191"/>
      <c r="T118" s="186"/>
      <c r="U118" s="178"/>
      <c r="V118" s="179"/>
      <c r="W118" s="179"/>
      <c r="X118" s="179"/>
      <c r="Y118" s="179"/>
      <c r="Z118" s="180"/>
      <c r="AA118" s="180"/>
      <c r="AB118" s="180"/>
      <c r="AC118" s="180"/>
    </row>
    <row r="119" spans="1:29" ht="36.75" customHeight="1" x14ac:dyDescent="0.4">
      <c r="A119" s="168"/>
      <c r="B119" s="169"/>
      <c r="C119" s="181"/>
      <c r="D119" s="182"/>
      <c r="E119" s="182"/>
      <c r="F119" s="182"/>
      <c r="G119" s="182"/>
      <c r="H119" s="183"/>
      <c r="I119" s="192"/>
      <c r="J119" s="192"/>
      <c r="K119" s="172"/>
      <c r="L119" s="172"/>
      <c r="M119" s="183"/>
      <c r="N119" s="188"/>
      <c r="O119" s="185"/>
      <c r="P119" s="175"/>
      <c r="Q119" s="175"/>
      <c r="R119" s="193"/>
      <c r="S119" s="191"/>
      <c r="T119" s="186"/>
      <c r="U119" s="178"/>
      <c r="V119" s="179"/>
      <c r="W119" s="179"/>
      <c r="X119" s="179"/>
      <c r="Y119" s="179"/>
      <c r="Z119" s="180"/>
      <c r="AA119" s="180"/>
      <c r="AB119" s="180"/>
      <c r="AC119" s="180"/>
    </row>
    <row r="120" spans="1:29" ht="36.75" customHeight="1" x14ac:dyDescent="0.4">
      <c r="A120" s="202"/>
      <c r="B120" s="169"/>
      <c r="C120" s="203"/>
      <c r="D120" s="182"/>
      <c r="E120" s="182"/>
      <c r="F120" s="182"/>
      <c r="G120" s="182"/>
      <c r="H120" s="183"/>
      <c r="I120" s="192"/>
      <c r="J120" s="192"/>
      <c r="K120" s="172"/>
      <c r="L120" s="172"/>
      <c r="M120" s="183"/>
      <c r="N120" s="188"/>
      <c r="O120" s="185"/>
      <c r="P120" s="175"/>
      <c r="Q120" s="175"/>
      <c r="R120" s="193"/>
      <c r="S120" s="191"/>
      <c r="T120" s="186"/>
      <c r="U120" s="178"/>
      <c r="V120" s="179"/>
      <c r="W120" s="179"/>
      <c r="X120" s="204"/>
      <c r="Y120" s="204"/>
      <c r="Z120" s="180"/>
      <c r="AA120" s="180"/>
      <c r="AB120" s="180"/>
      <c r="AC120" s="180"/>
    </row>
    <row r="121" spans="1:29" ht="36.75" customHeight="1" x14ac:dyDescent="0.4">
      <c r="A121" s="202"/>
      <c r="B121" s="169"/>
      <c r="C121" s="205"/>
      <c r="D121" s="182"/>
      <c r="E121" s="182"/>
      <c r="F121" s="182"/>
      <c r="G121" s="182"/>
      <c r="H121" s="183"/>
      <c r="I121" s="192"/>
      <c r="J121" s="192"/>
      <c r="K121" s="172"/>
      <c r="L121" s="172"/>
      <c r="M121" s="183"/>
      <c r="N121" s="188"/>
      <c r="O121" s="185"/>
      <c r="P121" s="175"/>
      <c r="Q121" s="175"/>
      <c r="R121" s="193"/>
      <c r="S121" s="191"/>
      <c r="T121" s="186"/>
      <c r="U121" s="194"/>
      <c r="V121" s="195"/>
      <c r="W121" s="195"/>
      <c r="X121" s="206"/>
      <c r="Y121" s="204"/>
      <c r="Z121" s="180"/>
      <c r="AA121" s="180"/>
      <c r="AB121" s="180"/>
      <c r="AC121" s="180"/>
    </row>
    <row r="122" spans="1:29" ht="36.75" customHeight="1" x14ac:dyDescent="0.4">
      <c r="A122" s="202"/>
      <c r="B122" s="169"/>
      <c r="C122" s="205"/>
      <c r="D122" s="171"/>
      <c r="E122" s="171"/>
      <c r="F122" s="171"/>
      <c r="G122" s="171"/>
      <c r="H122" s="183"/>
      <c r="I122" s="183"/>
      <c r="J122" s="183"/>
      <c r="K122" s="172"/>
      <c r="L122" s="172"/>
      <c r="M122" s="183"/>
      <c r="N122" s="184"/>
      <c r="O122" s="185"/>
      <c r="P122" s="175"/>
      <c r="Q122" s="175"/>
      <c r="R122" s="186"/>
      <c r="S122" s="187"/>
      <c r="T122" s="176"/>
      <c r="U122" s="178"/>
      <c r="V122" s="179"/>
      <c r="W122" s="179"/>
      <c r="X122" s="204"/>
      <c r="Y122" s="204"/>
      <c r="Z122" s="180"/>
      <c r="AA122" s="180"/>
      <c r="AB122" s="180"/>
      <c r="AC122" s="180"/>
    </row>
    <row r="123" spans="1:29" ht="36.75" customHeight="1" x14ac:dyDescent="0.4">
      <c r="A123" s="202"/>
      <c r="B123" s="207"/>
      <c r="C123" s="205"/>
      <c r="D123" s="182"/>
      <c r="E123" s="182"/>
      <c r="F123" s="208"/>
      <c r="G123" s="182"/>
      <c r="H123" s="183"/>
      <c r="I123" s="183"/>
      <c r="J123" s="183"/>
      <c r="K123" s="172"/>
      <c r="L123" s="172"/>
      <c r="M123" s="183"/>
      <c r="N123" s="184"/>
      <c r="O123" s="185"/>
      <c r="P123" s="175"/>
      <c r="Q123" s="175"/>
      <c r="R123" s="186"/>
      <c r="S123" s="187"/>
      <c r="T123" s="186"/>
      <c r="U123" s="178"/>
      <c r="V123" s="179"/>
      <c r="W123" s="179"/>
      <c r="X123" s="204"/>
      <c r="Y123" s="204"/>
      <c r="Z123" s="180"/>
      <c r="AA123" s="180"/>
      <c r="AB123" s="180"/>
      <c r="AC123" s="180"/>
    </row>
    <row r="124" spans="1:29" ht="36.75" customHeight="1" x14ac:dyDescent="0.4">
      <c r="A124" s="202"/>
      <c r="B124" s="207"/>
      <c r="C124" s="205"/>
      <c r="D124" s="182"/>
      <c r="E124" s="182"/>
      <c r="F124" s="208"/>
      <c r="G124" s="182"/>
      <c r="H124" s="183"/>
      <c r="I124" s="183"/>
      <c r="J124" s="183"/>
      <c r="K124" s="172"/>
      <c r="L124" s="172"/>
      <c r="M124" s="183"/>
      <c r="N124" s="188"/>
      <c r="O124" s="185"/>
      <c r="P124" s="175"/>
      <c r="Q124" s="175"/>
      <c r="R124" s="182"/>
      <c r="S124" s="189"/>
      <c r="T124" s="186"/>
      <c r="U124" s="178"/>
      <c r="V124" s="179"/>
      <c r="W124" s="179"/>
      <c r="X124" s="204"/>
      <c r="Y124" s="204"/>
      <c r="Z124" s="180"/>
      <c r="AA124" s="180"/>
      <c r="AB124" s="180"/>
      <c r="AC124" s="180"/>
    </row>
    <row r="125" spans="1:29" ht="36.75" customHeight="1" x14ac:dyDescent="0.4">
      <c r="A125" s="202"/>
      <c r="B125" s="207"/>
      <c r="C125" s="205"/>
      <c r="D125" s="182"/>
      <c r="E125" s="182"/>
      <c r="F125" s="182"/>
      <c r="G125" s="182"/>
      <c r="H125" s="183"/>
      <c r="I125" s="192"/>
      <c r="J125" s="192"/>
      <c r="K125" s="172"/>
      <c r="L125" s="172"/>
      <c r="M125" s="183"/>
      <c r="N125" s="188"/>
      <c r="O125" s="185"/>
      <c r="P125" s="175"/>
      <c r="Q125" s="175"/>
      <c r="R125" s="193"/>
      <c r="S125" s="191"/>
      <c r="T125" s="186"/>
      <c r="U125" s="178"/>
      <c r="V125" s="179"/>
      <c r="W125" s="179"/>
      <c r="X125" s="204"/>
      <c r="Y125" s="204"/>
      <c r="Z125" s="180"/>
      <c r="AA125" s="180"/>
      <c r="AB125" s="180"/>
      <c r="AC125" s="180"/>
    </row>
    <row r="126" spans="1:29" ht="36.75" customHeight="1" x14ac:dyDescent="0.4">
      <c r="A126" s="202"/>
      <c r="B126" s="169"/>
      <c r="C126" s="209"/>
      <c r="D126" s="171"/>
      <c r="E126" s="171"/>
      <c r="F126" s="171"/>
      <c r="G126" s="171"/>
      <c r="H126" s="183"/>
      <c r="I126" s="192"/>
      <c r="J126" s="192"/>
      <c r="K126" s="172"/>
      <c r="L126" s="172"/>
      <c r="M126" s="183"/>
      <c r="N126" s="200"/>
      <c r="O126" s="185"/>
      <c r="P126" s="175"/>
      <c r="Q126" s="175"/>
      <c r="R126" s="193"/>
      <c r="S126" s="191"/>
      <c r="T126" s="186"/>
      <c r="U126" s="178"/>
      <c r="V126" s="179"/>
      <c r="W126" s="179"/>
      <c r="X126" s="204"/>
      <c r="Y126" s="204"/>
      <c r="Z126" s="180"/>
      <c r="AA126" s="180"/>
      <c r="AB126" s="180"/>
      <c r="AC126" s="180"/>
    </row>
    <row r="127" spans="1:29" ht="36.75" customHeight="1" x14ac:dyDescent="0.4">
      <c r="A127" s="202"/>
      <c r="B127" s="169"/>
      <c r="C127" s="203"/>
      <c r="D127" s="210"/>
      <c r="E127" s="171"/>
      <c r="F127" s="171"/>
      <c r="G127" s="171"/>
      <c r="H127" s="183"/>
      <c r="I127" s="183"/>
      <c r="J127" s="183"/>
      <c r="K127" s="172"/>
      <c r="L127" s="172"/>
      <c r="M127" s="183"/>
      <c r="N127" s="184"/>
      <c r="O127" s="185"/>
      <c r="P127" s="175"/>
      <c r="Q127" s="175"/>
      <c r="R127" s="186"/>
      <c r="S127" s="187"/>
      <c r="T127" s="176"/>
      <c r="U127" s="178"/>
      <c r="V127" s="179"/>
      <c r="W127" s="179"/>
      <c r="X127" s="204"/>
      <c r="Y127" s="204"/>
      <c r="Z127" s="180"/>
      <c r="AA127" s="180"/>
      <c r="AB127" s="180"/>
      <c r="AC127" s="180"/>
    </row>
    <row r="128" spans="1:29" ht="15.75" customHeight="1" x14ac:dyDescent="0.4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44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</row>
    <row r="129" spans="1:29" ht="15.75" customHeight="1" x14ac:dyDescent="0.4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44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</row>
    <row r="130" spans="1:29" ht="15.75" customHeight="1" x14ac:dyDescent="0.4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</row>
    <row r="131" spans="1:29" ht="15.75" customHeight="1" x14ac:dyDescent="0.4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</row>
    <row r="132" spans="1:29" ht="15.75" customHeight="1" x14ac:dyDescent="0.4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</row>
    <row r="133" spans="1:29" ht="15.75" customHeight="1" x14ac:dyDescent="0.4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</row>
    <row r="134" spans="1:29" ht="15.75" customHeight="1" x14ac:dyDescent="0.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</row>
    <row r="135" spans="1:29" ht="15.75" customHeight="1" x14ac:dyDescent="0.4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</row>
    <row r="136" spans="1:29" ht="15.75" customHeight="1" x14ac:dyDescent="0.4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</row>
    <row r="137" spans="1:29" ht="15.75" customHeight="1" x14ac:dyDescent="0.4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</row>
    <row r="138" spans="1:29" ht="15.75" customHeight="1" x14ac:dyDescent="0.4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</row>
    <row r="139" spans="1:29" ht="15.75" customHeight="1" x14ac:dyDescent="0.4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</row>
    <row r="140" spans="1:29" ht="15.75" customHeight="1" x14ac:dyDescent="0.4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</row>
    <row r="141" spans="1:29" ht="15.75" customHeight="1" x14ac:dyDescent="0.4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</row>
    <row r="142" spans="1:29" ht="15.75" customHeight="1" x14ac:dyDescent="0.4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</row>
    <row r="143" spans="1:29" ht="15.75" customHeight="1" x14ac:dyDescent="0.4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</row>
    <row r="144" spans="1:29" ht="15.75" customHeight="1" x14ac:dyDescent="0.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</row>
    <row r="145" spans="1:29" ht="15.75" customHeight="1" x14ac:dyDescent="0.4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</row>
    <row r="146" spans="1:29" ht="15.75" customHeight="1" x14ac:dyDescent="0.4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</row>
    <row r="147" spans="1:29" ht="15.75" customHeight="1" x14ac:dyDescent="0.4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</row>
    <row r="148" spans="1:29" ht="15.75" customHeight="1" x14ac:dyDescent="0.4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</row>
    <row r="149" spans="1:29" ht="15.75" customHeight="1" x14ac:dyDescent="0.4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</row>
    <row r="150" spans="1:29" ht="15.75" customHeight="1" x14ac:dyDescent="0.4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</row>
    <row r="151" spans="1:29" ht="15.75" customHeight="1" x14ac:dyDescent="0.4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</row>
    <row r="152" spans="1:29" ht="15.75" customHeight="1" x14ac:dyDescent="0.4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</row>
    <row r="153" spans="1:29" ht="15.75" customHeight="1" x14ac:dyDescent="0.4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</row>
    <row r="154" spans="1:29" ht="15.75" customHeight="1" x14ac:dyDescent="0.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</row>
    <row r="155" spans="1:29" ht="15.75" customHeight="1" x14ac:dyDescent="0.4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</row>
    <row r="156" spans="1:29" ht="15.75" customHeight="1" x14ac:dyDescent="0.4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</row>
    <row r="157" spans="1:29" ht="15.75" customHeight="1" x14ac:dyDescent="0.4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</row>
    <row r="158" spans="1:29" ht="15.75" customHeight="1" x14ac:dyDescent="0.4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</row>
    <row r="159" spans="1:29" ht="15.75" customHeight="1" x14ac:dyDescent="0.4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</row>
    <row r="160" spans="1:29" ht="15.75" customHeight="1" x14ac:dyDescent="0.4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</row>
    <row r="161" spans="1:29" ht="15.75" customHeight="1" x14ac:dyDescent="0.4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</row>
    <row r="162" spans="1:29" ht="15.75" customHeight="1" x14ac:dyDescent="0.4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</row>
    <row r="163" spans="1:29" ht="15.75" customHeight="1" x14ac:dyDescent="0.4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</row>
    <row r="164" spans="1:29" ht="15.75" customHeight="1" x14ac:dyDescent="0.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</row>
    <row r="165" spans="1:29" ht="15.75" customHeight="1" x14ac:dyDescent="0.4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</row>
    <row r="166" spans="1:29" ht="15.75" customHeight="1" x14ac:dyDescent="0.4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</row>
    <row r="167" spans="1:29" ht="15.75" customHeight="1" x14ac:dyDescent="0.4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</row>
    <row r="168" spans="1:29" ht="15.75" customHeight="1" x14ac:dyDescent="0.4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</row>
    <row r="169" spans="1:29" ht="15.75" customHeight="1" x14ac:dyDescent="0.4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</row>
    <row r="170" spans="1:29" ht="15.75" customHeight="1" x14ac:dyDescent="0.4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</row>
    <row r="171" spans="1:29" ht="15.75" customHeight="1" x14ac:dyDescent="0.4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</row>
    <row r="172" spans="1:29" ht="15.75" customHeight="1" x14ac:dyDescent="0.4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</row>
    <row r="173" spans="1:29" ht="15.75" customHeight="1" x14ac:dyDescent="0.4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</row>
    <row r="174" spans="1:29" ht="15.75" customHeight="1" x14ac:dyDescent="0.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</row>
    <row r="175" spans="1:29" ht="15.75" customHeight="1" x14ac:dyDescent="0.4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</row>
    <row r="176" spans="1:29" ht="15.75" customHeight="1" x14ac:dyDescent="0.4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</row>
    <row r="177" spans="1:29" ht="15.75" customHeight="1" x14ac:dyDescent="0.4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</row>
    <row r="178" spans="1:29" ht="15.75" customHeight="1" x14ac:dyDescent="0.4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</row>
    <row r="179" spans="1:29" ht="15.75" customHeight="1" x14ac:dyDescent="0.4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</row>
    <row r="180" spans="1:29" ht="15.75" customHeight="1" x14ac:dyDescent="0.4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</row>
    <row r="181" spans="1:29" ht="15.75" customHeight="1" x14ac:dyDescent="0.4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</row>
    <row r="182" spans="1:29" ht="15.75" customHeight="1" x14ac:dyDescent="0.4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</row>
    <row r="183" spans="1:29" ht="15.75" customHeight="1" x14ac:dyDescent="0.4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</row>
    <row r="184" spans="1:29" ht="15.75" customHeight="1" x14ac:dyDescent="0.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</row>
    <row r="185" spans="1:29" ht="15.75" customHeight="1" x14ac:dyDescent="0.4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</row>
    <row r="186" spans="1:29" ht="15.75" customHeight="1" x14ac:dyDescent="0.4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</row>
    <row r="187" spans="1:29" ht="15.75" customHeight="1" x14ac:dyDescent="0.4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</row>
    <row r="188" spans="1:29" ht="15.75" customHeight="1" x14ac:dyDescent="0.4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</row>
    <row r="189" spans="1:29" ht="15.75" customHeight="1" x14ac:dyDescent="0.4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</row>
    <row r="190" spans="1:29" ht="15.75" customHeight="1" x14ac:dyDescent="0.4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</row>
    <row r="191" spans="1:29" ht="15.75" customHeight="1" x14ac:dyDescent="0.4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</row>
    <row r="192" spans="1:29" ht="15.75" customHeight="1" x14ac:dyDescent="0.4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</row>
    <row r="193" spans="1:29" ht="15.75" customHeight="1" x14ac:dyDescent="0.4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</row>
    <row r="194" spans="1:29" ht="15.75" customHeight="1" x14ac:dyDescent="0.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</row>
    <row r="195" spans="1:29" ht="15.75" customHeight="1" x14ac:dyDescent="0.4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</row>
    <row r="196" spans="1:29" ht="15.75" customHeight="1" x14ac:dyDescent="0.4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</row>
    <row r="197" spans="1:29" ht="15.75" customHeight="1" x14ac:dyDescent="0.4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</row>
    <row r="198" spans="1:29" ht="15.75" customHeight="1" x14ac:dyDescent="0.4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</row>
    <row r="199" spans="1:29" ht="15.75" customHeight="1" x14ac:dyDescent="0.4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</row>
    <row r="200" spans="1:29" ht="15.75" customHeight="1" x14ac:dyDescent="0.4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</row>
    <row r="201" spans="1:29" ht="15.75" customHeight="1" x14ac:dyDescent="0.4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</row>
    <row r="202" spans="1:29" ht="15.75" customHeight="1" x14ac:dyDescent="0.4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</row>
    <row r="203" spans="1:29" ht="15.75" customHeight="1" x14ac:dyDescent="0.4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</row>
    <row r="204" spans="1:29" ht="15.75" customHeight="1" x14ac:dyDescent="0.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</row>
    <row r="205" spans="1:29" ht="15.75" customHeight="1" x14ac:dyDescent="0.4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</row>
    <row r="206" spans="1:29" ht="15.75" customHeight="1" x14ac:dyDescent="0.4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</row>
    <row r="207" spans="1:29" ht="15.75" customHeight="1" x14ac:dyDescent="0.4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</row>
    <row r="208" spans="1:29" ht="15.75" customHeight="1" x14ac:dyDescent="0.4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</row>
    <row r="209" spans="1:29" ht="15.75" customHeight="1" x14ac:dyDescent="0.4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</row>
    <row r="210" spans="1:29" ht="15.75" customHeight="1" x14ac:dyDescent="0.4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</row>
    <row r="211" spans="1:29" ht="15.75" customHeight="1" x14ac:dyDescent="0.4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</row>
    <row r="212" spans="1:29" ht="15.75" customHeight="1" x14ac:dyDescent="0.4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</row>
    <row r="213" spans="1:29" ht="15.75" customHeight="1" x14ac:dyDescent="0.4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</row>
    <row r="214" spans="1:29" ht="15.75" customHeight="1" x14ac:dyDescent="0.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</row>
    <row r="215" spans="1:29" ht="15.75" customHeight="1" x14ac:dyDescent="0.4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</row>
    <row r="216" spans="1:29" ht="15.75" customHeight="1" x14ac:dyDescent="0.4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</row>
    <row r="217" spans="1:29" ht="15.75" customHeight="1" x14ac:dyDescent="0.4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</row>
    <row r="218" spans="1:29" ht="15.75" customHeight="1" x14ac:dyDescent="0.4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</row>
    <row r="219" spans="1:29" ht="15.75" customHeight="1" x14ac:dyDescent="0.4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</row>
    <row r="220" spans="1:29" ht="15.75" customHeight="1" x14ac:dyDescent="0.4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</row>
    <row r="221" spans="1:29" ht="15.75" customHeight="1" x14ac:dyDescent="0.4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</row>
    <row r="222" spans="1:29" ht="15.75" customHeight="1" x14ac:dyDescent="0.4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</row>
    <row r="223" spans="1:29" ht="15.75" customHeight="1" x14ac:dyDescent="0.4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</row>
    <row r="224" spans="1:29" ht="15.75" customHeight="1" x14ac:dyDescent="0.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</row>
    <row r="225" spans="1:29" ht="15.75" customHeight="1" x14ac:dyDescent="0.4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</row>
    <row r="226" spans="1:29" ht="15.75" customHeight="1" x14ac:dyDescent="0.4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</row>
    <row r="227" spans="1:29" ht="15.75" customHeight="1" x14ac:dyDescent="0.4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</row>
    <row r="228" spans="1:29" ht="15.75" customHeight="1" x14ac:dyDescent="0.4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</row>
    <row r="229" spans="1:29" ht="15.75" customHeight="1" x14ac:dyDescent="0.4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</row>
    <row r="230" spans="1:29" ht="15.75" customHeight="1" x14ac:dyDescent="0.4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</row>
    <row r="231" spans="1:29" ht="15.75" customHeight="1" x14ac:dyDescent="0.4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</row>
    <row r="232" spans="1:29" ht="15.75" customHeight="1" x14ac:dyDescent="0.4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</row>
    <row r="233" spans="1:29" ht="15.75" customHeight="1" x14ac:dyDescent="0.4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</row>
    <row r="234" spans="1:29" ht="15.75" customHeight="1" x14ac:dyDescent="0.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</row>
    <row r="235" spans="1:29" ht="15.75" customHeight="1" x14ac:dyDescent="0.4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</row>
    <row r="236" spans="1:29" ht="15.75" customHeight="1" x14ac:dyDescent="0.4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</row>
    <row r="237" spans="1:29" ht="15.75" customHeight="1" x14ac:dyDescent="0.4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</row>
    <row r="238" spans="1:29" ht="15.75" customHeight="1" x14ac:dyDescent="0.4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</row>
    <row r="239" spans="1:29" ht="15.75" customHeight="1" x14ac:dyDescent="0.4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</row>
    <row r="240" spans="1:29" ht="15.75" customHeight="1" x14ac:dyDescent="0.4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</row>
    <row r="241" spans="1:29" ht="15.75" customHeight="1" x14ac:dyDescent="0.4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</row>
    <row r="242" spans="1:29" ht="15.75" customHeight="1" x14ac:dyDescent="0.4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</row>
    <row r="243" spans="1:29" ht="15.75" customHeight="1" x14ac:dyDescent="0.4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</row>
    <row r="244" spans="1:29" ht="15.75" customHeight="1" x14ac:dyDescent="0.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</row>
    <row r="245" spans="1:29" ht="15.75" customHeight="1" x14ac:dyDescent="0.4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</row>
    <row r="246" spans="1:29" ht="15.75" customHeight="1" x14ac:dyDescent="0.4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</row>
    <row r="247" spans="1:29" ht="15.75" customHeight="1" x14ac:dyDescent="0.4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</row>
    <row r="248" spans="1:29" ht="15.75" customHeight="1" x14ac:dyDescent="0.4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</row>
    <row r="249" spans="1:29" ht="15.75" customHeight="1" x14ac:dyDescent="0.4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</row>
    <row r="250" spans="1:29" ht="15.75" customHeight="1" x14ac:dyDescent="0.4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</row>
    <row r="251" spans="1:29" ht="15.75" customHeight="1" x14ac:dyDescent="0.4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</row>
    <row r="252" spans="1:29" ht="15.75" customHeight="1" x14ac:dyDescent="0.4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</row>
    <row r="253" spans="1:29" ht="15.75" customHeight="1" x14ac:dyDescent="0.4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</row>
    <row r="254" spans="1:29" ht="15.75" customHeight="1" x14ac:dyDescent="0.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</row>
    <row r="255" spans="1:29" ht="15.75" customHeight="1" x14ac:dyDescent="0.4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</row>
    <row r="256" spans="1:29" ht="15.75" customHeight="1" x14ac:dyDescent="0.4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</row>
    <row r="257" spans="1:29" ht="15.75" customHeight="1" x14ac:dyDescent="0.4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</row>
    <row r="258" spans="1:29" ht="15.75" customHeight="1" x14ac:dyDescent="0.4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</row>
    <row r="259" spans="1:29" ht="15.75" customHeight="1" x14ac:dyDescent="0.4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</row>
    <row r="260" spans="1:29" ht="15.75" customHeight="1" x14ac:dyDescent="0.4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</row>
    <row r="261" spans="1:29" ht="15.75" customHeight="1" x14ac:dyDescent="0.4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</row>
    <row r="262" spans="1:29" ht="15.75" customHeight="1" x14ac:dyDescent="0.4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</row>
    <row r="263" spans="1:29" ht="15.75" customHeight="1" x14ac:dyDescent="0.4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</row>
    <row r="264" spans="1:29" ht="15.75" customHeight="1" x14ac:dyDescent="0.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</row>
    <row r="265" spans="1:29" ht="15.75" customHeight="1" x14ac:dyDescent="0.4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</row>
    <row r="266" spans="1:29" ht="15.75" customHeight="1" x14ac:dyDescent="0.4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</row>
    <row r="267" spans="1:29" ht="15.75" customHeight="1" x14ac:dyDescent="0.4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</row>
    <row r="268" spans="1:29" ht="15.75" customHeight="1" x14ac:dyDescent="0.4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</row>
    <row r="269" spans="1:29" ht="15.75" customHeight="1" x14ac:dyDescent="0.4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</row>
    <row r="270" spans="1:29" ht="15.75" customHeight="1" x14ac:dyDescent="0.4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</row>
    <row r="271" spans="1:29" ht="15.75" customHeight="1" x14ac:dyDescent="0.4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</row>
    <row r="272" spans="1:29" ht="15.75" customHeight="1" x14ac:dyDescent="0.4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</row>
    <row r="273" spans="1:29" ht="15.75" customHeight="1" x14ac:dyDescent="0.4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</row>
    <row r="274" spans="1:29" ht="15.75" customHeight="1" x14ac:dyDescent="0.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</row>
    <row r="275" spans="1:29" ht="15.75" customHeight="1" x14ac:dyDescent="0.4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</row>
    <row r="276" spans="1:29" ht="15.75" customHeight="1" x14ac:dyDescent="0.4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</row>
    <row r="277" spans="1:29" ht="15.75" customHeight="1" x14ac:dyDescent="0.4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</row>
    <row r="278" spans="1:29" ht="15.75" customHeight="1" x14ac:dyDescent="0.4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</row>
    <row r="279" spans="1:29" ht="15.75" customHeight="1" x14ac:dyDescent="0.4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</row>
    <row r="280" spans="1:29" ht="15.75" customHeight="1" x14ac:dyDescent="0.4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</row>
    <row r="281" spans="1:29" ht="15.75" customHeight="1" x14ac:dyDescent="0.4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</row>
    <row r="282" spans="1:29" ht="15.75" customHeight="1" x14ac:dyDescent="0.4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</row>
    <row r="283" spans="1:29" ht="15.75" customHeight="1" x14ac:dyDescent="0.4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</row>
    <row r="284" spans="1:29" ht="15.75" customHeight="1" x14ac:dyDescent="0.4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</row>
    <row r="285" spans="1:29" ht="15.75" customHeight="1" x14ac:dyDescent="0.4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</row>
    <row r="286" spans="1:29" ht="15.75" customHeight="1" x14ac:dyDescent="0.4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</row>
    <row r="287" spans="1:29" ht="15.75" customHeight="1" x14ac:dyDescent="0.4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</row>
    <row r="288" spans="1:29" ht="15.75" customHeight="1" x14ac:dyDescent="0.4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</row>
    <row r="289" spans="1:29" ht="15.75" customHeight="1" x14ac:dyDescent="0.4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</row>
    <row r="290" spans="1:29" ht="15.75" customHeight="1" x14ac:dyDescent="0.4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</row>
    <row r="291" spans="1:29" ht="15.75" customHeight="1" x14ac:dyDescent="0.4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</row>
    <row r="292" spans="1:29" ht="15.75" customHeight="1" x14ac:dyDescent="0.4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</row>
    <row r="293" spans="1:29" ht="15.75" customHeight="1" x14ac:dyDescent="0.4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</row>
    <row r="294" spans="1:29" ht="15.75" customHeight="1" x14ac:dyDescent="0.4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</row>
    <row r="295" spans="1:29" ht="15.75" customHeight="1" x14ac:dyDescent="0.4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</row>
    <row r="296" spans="1:29" ht="15.75" customHeight="1" x14ac:dyDescent="0.4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</row>
    <row r="297" spans="1:29" ht="15.75" customHeight="1" x14ac:dyDescent="0.4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</row>
    <row r="298" spans="1:29" ht="15.75" customHeight="1" x14ac:dyDescent="0.4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</row>
    <row r="299" spans="1:29" ht="15.75" customHeight="1" x14ac:dyDescent="0.4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</row>
    <row r="300" spans="1:29" ht="15.75" customHeight="1" x14ac:dyDescent="0.4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</row>
    <row r="301" spans="1:29" ht="15.75" customHeight="1" x14ac:dyDescent="0.4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</row>
    <row r="302" spans="1:29" ht="15.75" customHeight="1" x14ac:dyDescent="0.4"/>
    <row r="303" spans="1:29" ht="15.75" customHeight="1" x14ac:dyDescent="0.4"/>
    <row r="304" spans="1:29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3">
    <mergeCell ref="A95:B95"/>
    <mergeCell ref="A96:B97"/>
    <mergeCell ref="C96:G96"/>
  </mergeCells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ICI, GNewc, Delta</vt:lpstr>
      <vt:lpstr>HPB Calculation</vt:lpstr>
      <vt:lpstr>HPB</vt:lpstr>
      <vt:lpstr>HD 5000</vt:lpstr>
      <vt:lpstr>HBA</vt:lpstr>
      <vt:lpstr>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Salsadila Awuy</dc:creator>
  <cp:lastModifiedBy>LENOVO</cp:lastModifiedBy>
  <dcterms:created xsi:type="dcterms:W3CDTF">2025-03-18T02:31:59Z</dcterms:created>
  <dcterms:modified xsi:type="dcterms:W3CDTF">2026-03-30T03:07:11Z</dcterms:modified>
</cp:coreProperties>
</file>